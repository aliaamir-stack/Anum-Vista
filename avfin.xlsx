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esktop\AVU\AV 2026\"/>
    </mc:Choice>
  </mc:AlternateContent>
  <xr:revisionPtr revIDLastSave="0" documentId="13_ncr:1_{765DB36D-E03E-424F-AEAB-478C195EC2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P 2026" sheetId="5" r:id="rId1"/>
    <sheet name="Recpt 2026" sheetId="21" r:id="rId2"/>
    <sheet name="Exp 2026" sheetId="19" r:id="rId3"/>
    <sheet name="Funds Breakup" sheetId="7" r:id="rId4"/>
    <sheet name="Advertisment" sheetId="8" r:id="rId5"/>
    <sheet name="Sheet2" sheetId="17" r:id="rId6"/>
    <sheet name="Naveed" sheetId="12" r:id="rId7"/>
    <sheet name="FP 2025" sheetId="20" r:id="rId8"/>
    <sheet name="Recpt 2025" sheetId="2" r:id="rId9"/>
    <sheet name="Sheet1" sheetId="14" state="hidden" r:id="rId10"/>
    <sheet name="Exp" sheetId="3" state="hidden" r:id="rId11"/>
    <sheet name="Exp 2025" sheetId="16" r:id="rId12"/>
    <sheet name="Exp 2024" sheetId="15" state="hidden" r:id="rId13"/>
    <sheet name="Khyzer - JIJI" sheetId="13" r:id="rId14"/>
    <sheet name="Voucher" sheetId="4" r:id="rId15"/>
    <sheet name="Rehan Bhai" sheetId="18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xlnm._FilterDatabase" localSheetId="8" hidden="1">'Recpt 2025'!$B$6:$ED$6</definedName>
    <definedName name="_xlnm._FilterDatabase" localSheetId="1" hidden="1">'Recpt 2026'!$B$6:$I$6</definedName>
    <definedName name="ActNos">'[1]Actual Numbers'!$A$1:$M$53</definedName>
    <definedName name="asd">[2]WorkingPivot!$T:$Z</definedName>
    <definedName name="BasePoint">[3]WorkingPivots!$O$5</definedName>
    <definedName name="BrCodeBrName">[3]WorkingPivots!$AM$4:$AP$2503</definedName>
    <definedName name="DivisorBln">[3]WorkingPivots!$E$1</definedName>
    <definedName name="DivisorMn">[3]WorkingPivots!$D$1</definedName>
    <definedName name="DivisorThou">[4]WorkingPivots!$C$1</definedName>
    <definedName name="Down">'[5]Region wise'!$T$4</definedName>
    <definedName name="Equal">'[5]Region wise'!$S$4</definedName>
    <definedName name="gh">'[6]Snap-Shot'!$G$3</definedName>
    <definedName name="LastDay">[3]WorkingPivots!$M$5</definedName>
    <definedName name="LastMonth">[3]WorkingPivots!$N$5</definedName>
    <definedName name="LastWeekTrend">[3]WorkingPivots!$A$5:$H$24</definedName>
    <definedName name="LastWeekTrendInput">[3]Dashboard!$D$14</definedName>
    <definedName name="LastWeekTrendList">[3]WorkingPivots!$A$5:$A$24</definedName>
    <definedName name="LiabOD">'[1]Total Liab &amp; OD'!$A$2:$Q$52</definedName>
    <definedName name="Link_AreaWise">[7]!Table_CategoriesMaker.accdb2[#All]</definedName>
    <definedName name="Link_BrWise">[7]!Table_CategoriesMaker.accdb[#Data]</definedName>
    <definedName name="LoV_Regions">[8]LoV!$B$1:$B$36</definedName>
    <definedName name="MIS_Date">'[5]Branch wise'!$B$3</definedName>
    <definedName name="MIS_Dt">'[9]Snap-Shot'!$G$3</definedName>
    <definedName name="MISDate">[4]Dashboard!$B$3</definedName>
    <definedName name="MTDC_BestWorst">[3]WorkingPivots!$X$4:$AC$33</definedName>
    <definedName name="MTDC_Input">[3]Dashboard!$D$35</definedName>
    <definedName name="NewBase">'[5]2015 Final Working'!$M$1:$P$1729</definedName>
    <definedName name="ODC_BestWorst">[3]WorkingPivots!$Q$4:$V$35</definedName>
    <definedName name="ODC_Dashboard">[3]Dashboard!$A$1</definedName>
    <definedName name="ODC_Input">[3]Dashboard!$D$23</definedName>
    <definedName name="Range_AreaWise">[5]WorkingPivot!$K:$Q</definedName>
    <definedName name="Range_FTM">[5]WorkingPivot!$B$8:$C$1638</definedName>
    <definedName name="Range_PWMTD" localSheetId="10">[10]br.Issuance!#REF!</definedName>
    <definedName name="Range_PWMTD" localSheetId="12">[10]br.Issuance!#REF!</definedName>
    <definedName name="Range_PWMTD" localSheetId="11">[10]br.Issuance!#REF!</definedName>
    <definedName name="Range_PWMTD">[10]br.Issuance!#REF!</definedName>
    <definedName name="Range_PWRED" localSheetId="10">[10]br.Issuance!#REF!</definedName>
    <definedName name="Range_PWRED" localSheetId="12">[10]br.Issuance!#REF!</definedName>
    <definedName name="Range_PWRED" localSheetId="11">[10]br.Issuance!#REF!</definedName>
    <definedName name="Range_PWRED">[10]br.Issuance!#REF!</definedName>
    <definedName name="Range_PWYTD" localSheetId="10">[10]br.Issuance!#REF!</definedName>
    <definedName name="Range_PWYTD" localSheetId="12">[10]br.Issuance!#REF!</definedName>
    <definedName name="Range_PWYTD" localSheetId="11">[10]br.Issuance!#REF!</definedName>
    <definedName name="Range_PWYTD">[10]br.Issuance!#REF!</definedName>
    <definedName name="Range_QTR">[5]WorkingPivot!$E$8:$F$1638</definedName>
    <definedName name="Range_Region">[5]WorkingPivot!$T:$Z</definedName>
    <definedName name="Range_YTD">[5]WorkingPivot!$H$8:$I$1638</definedName>
    <definedName name="RangeBMAllowance">[7]!Table_CategoriesMaker.accdb6[[#All],[Area Name]:[Eligibility]]</definedName>
    <definedName name="RegionInput">'[11]Main One Pager'!$D$4</definedName>
    <definedName name="RegionReportingLines">[12]RegionReporting!$A$1:$B$22</definedName>
    <definedName name="SPLM">[3]WorkingPivots!$A$39</definedName>
    <definedName name="SPLM_Text">[3]WorkingPivots!$A$40</definedName>
    <definedName name="SPLY">[3]WorkingPivots!$B$39</definedName>
    <definedName name="SPLY_Text">[3]WorkingPivots!$B$40</definedName>
    <definedName name="Static">[3]Dashboard!$X$5</definedName>
    <definedName name="Targets">[13]Target!$B$3:$CM$32</definedName>
    <definedName name="Term" localSheetId="10">[3]Dashboard!#REF!</definedName>
    <definedName name="Term" localSheetId="12">[3]Dashboard!#REF!</definedName>
    <definedName name="Term" localSheetId="11">[3]Dashboard!#REF!</definedName>
    <definedName name="Term">[3]Dashboard!#REF!</definedName>
    <definedName name="TodayStatus">[3]WorkingPivots!$L$5</definedName>
    <definedName name="TrendChecker">[3]WorkingPivots!$I$24</definedName>
    <definedName name="Up">'[5]Region wise'!$R$4</definedName>
    <definedName name="YTDC_BestWorst">[3]WorkingPivots!$AE$4:$AJ$35</definedName>
    <definedName name="YTDC_Input">[3]Dashboard!$D$47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7" i="8" l="1"/>
  <c r="D29" i="8"/>
  <c r="D28" i="8"/>
  <c r="D32" i="8"/>
  <c r="D31" i="8"/>
  <c r="U26" i="21"/>
  <c r="L112" i="21"/>
  <c r="S17" i="5"/>
  <c r="U44" i="5"/>
  <c r="U42" i="5"/>
  <c r="U41" i="5"/>
  <c r="S30" i="5"/>
  <c r="S29" i="5"/>
  <c r="S21" i="5"/>
  <c r="S14" i="5"/>
  <c r="S11" i="5"/>
  <c r="O690" i="7"/>
  <c r="L690" i="7"/>
  <c r="C690" i="7"/>
  <c r="C663" i="7"/>
  <c r="I681" i="7"/>
  <c r="I680" i="7"/>
  <c r="I677" i="7"/>
  <c r="I673" i="7"/>
  <c r="I672" i="7"/>
  <c r="I668" i="7"/>
  <c r="I666" i="7"/>
  <c r="F664" i="7"/>
  <c r="O689" i="7"/>
  <c r="L689" i="7"/>
  <c r="C689" i="7"/>
  <c r="H48" i="19"/>
  <c r="H49" i="19" s="1"/>
  <c r="S25" i="5" s="1"/>
  <c r="H90" i="19"/>
  <c r="H91" i="19" s="1"/>
  <c r="I684" i="7" s="1"/>
  <c r="H38" i="19"/>
  <c r="H43" i="19" s="1"/>
  <c r="I676" i="7" s="1"/>
  <c r="O26" i="19"/>
  <c r="H31" i="19" s="1"/>
  <c r="H33" i="19" s="1"/>
  <c r="I674" i="7" s="1"/>
  <c r="H105" i="19"/>
  <c r="S35" i="5" s="1"/>
  <c r="H101" i="19"/>
  <c r="S34" i="5" s="1"/>
  <c r="H96" i="19"/>
  <c r="I685" i="7" s="1"/>
  <c r="H84" i="19"/>
  <c r="I683" i="7" s="1"/>
  <c r="H78" i="19"/>
  <c r="I682" i="7" s="1"/>
  <c r="H66" i="19"/>
  <c r="H62" i="19"/>
  <c r="S28" i="5" s="1"/>
  <c r="H58" i="19"/>
  <c r="I679" i="7" s="1"/>
  <c r="H52" i="19"/>
  <c r="S26" i="5" s="1"/>
  <c r="H36" i="19"/>
  <c r="H111" i="19" s="1"/>
  <c r="H30" i="19"/>
  <c r="H22" i="19"/>
  <c r="H19" i="19"/>
  <c r="S20" i="5" s="1"/>
  <c r="H10" i="19"/>
  <c r="I671" i="7" s="1"/>
  <c r="ED63" i="2"/>
  <c r="J115" i="21"/>
  <c r="J112" i="21"/>
  <c r="J111" i="21"/>
  <c r="J93" i="21"/>
  <c r="J81" i="21"/>
  <c r="I80" i="21"/>
  <c r="I79" i="21"/>
  <c r="I78" i="21"/>
  <c r="U44" i="21"/>
  <c r="J58" i="21"/>
  <c r="M58" i="21"/>
  <c r="M70" i="21" s="1"/>
  <c r="U14" i="21"/>
  <c r="V14" i="21"/>
  <c r="V13" i="21"/>
  <c r="U11" i="21"/>
  <c r="V11" i="21"/>
  <c r="U10" i="21"/>
  <c r="W10" i="21"/>
  <c r="W9" i="21"/>
  <c r="V9" i="21"/>
  <c r="U9" i="21"/>
  <c r="U8" i="21"/>
  <c r="DG87" i="2"/>
  <c r="DE116" i="2"/>
  <c r="DE98" i="2"/>
  <c r="DE86" i="2"/>
  <c r="DB70" i="2"/>
  <c r="DE70" i="2"/>
  <c r="DH70" i="2"/>
  <c r="D33" i="8"/>
  <c r="D30" i="8"/>
  <c r="CY77" i="2"/>
  <c r="CW77" i="2"/>
  <c r="CV77" i="2"/>
  <c r="CW70" i="2"/>
  <c r="CV70" i="2"/>
  <c r="CY78" i="2"/>
  <c r="O14" i="5"/>
  <c r="I641" i="7"/>
  <c r="I639" i="7"/>
  <c r="DK70" i="2"/>
  <c r="DH79" i="2"/>
  <c r="C662" i="7"/>
  <c r="O636" i="7"/>
  <c r="H42" i="5" s="1"/>
  <c r="O662" i="7"/>
  <c r="O663" i="7" s="1"/>
  <c r="Q42" i="5" s="1"/>
  <c r="L662" i="7"/>
  <c r="I612" i="7"/>
  <c r="I613" i="7"/>
  <c r="I614" i="7"/>
  <c r="I615" i="7"/>
  <c r="I616" i="7"/>
  <c r="V29" i="21"/>
  <c r="U56" i="21"/>
  <c r="U55" i="21"/>
  <c r="U54" i="21"/>
  <c r="U53" i="21"/>
  <c r="W53" i="21"/>
  <c r="V56" i="21"/>
  <c r="V55" i="21"/>
  <c r="V54" i="21"/>
  <c r="V53" i="21"/>
  <c r="V51" i="21"/>
  <c r="V50" i="21"/>
  <c r="V49" i="21"/>
  <c r="V48" i="21"/>
  <c r="U51" i="21"/>
  <c r="U50" i="21"/>
  <c r="U49" i="21"/>
  <c r="U48" i="21"/>
  <c r="V46" i="21"/>
  <c r="V45" i="21"/>
  <c r="V44" i="21"/>
  <c r="V43" i="21"/>
  <c r="V41" i="21"/>
  <c r="U46" i="21"/>
  <c r="U45" i="21"/>
  <c r="U43" i="21"/>
  <c r="U41" i="21"/>
  <c r="U40" i="21"/>
  <c r="U39" i="21"/>
  <c r="U38" i="21"/>
  <c r="F19" i="19"/>
  <c r="O20" i="5" s="1"/>
  <c r="F30" i="19"/>
  <c r="I646" i="7" s="1"/>
  <c r="F43" i="19"/>
  <c r="I649" i="7" s="1"/>
  <c r="F49" i="19"/>
  <c r="O25" i="5" s="1"/>
  <c r="F58" i="19"/>
  <c r="I652" i="7" s="1"/>
  <c r="F105" i="19"/>
  <c r="O35" i="5" s="1"/>
  <c r="F91" i="19"/>
  <c r="O32" i="5" s="1"/>
  <c r="O14" i="19"/>
  <c r="O18" i="19" s="1"/>
  <c r="F71" i="19"/>
  <c r="F78" i="19" s="1"/>
  <c r="F50" i="19"/>
  <c r="F52" i="19" s="1"/>
  <c r="F100" i="19"/>
  <c r="F101" i="19" s="1"/>
  <c r="O34" i="5" s="1"/>
  <c r="F96" i="19"/>
  <c r="F84" i="19"/>
  <c r="F66" i="19"/>
  <c r="F62" i="19"/>
  <c r="O28" i="5" s="1"/>
  <c r="F36" i="19"/>
  <c r="F111" i="19" s="1"/>
  <c r="F22" i="19"/>
  <c r="I645" i="7" s="1"/>
  <c r="F10" i="19"/>
  <c r="I644" i="7" s="1"/>
  <c r="V40" i="21"/>
  <c r="V39" i="21"/>
  <c r="V38" i="21"/>
  <c r="U36" i="21"/>
  <c r="U35" i="21"/>
  <c r="U34" i="21"/>
  <c r="U33" i="21"/>
  <c r="V33" i="21"/>
  <c r="V36" i="21"/>
  <c r="V35" i="21"/>
  <c r="V34" i="21"/>
  <c r="V31" i="21"/>
  <c r="V30" i="21"/>
  <c r="V28" i="21"/>
  <c r="U31" i="21"/>
  <c r="U30" i="21"/>
  <c r="U29" i="21"/>
  <c r="U28" i="21"/>
  <c r="V26" i="21"/>
  <c r="V25" i="21"/>
  <c r="V24" i="21"/>
  <c r="V23" i="21"/>
  <c r="U25" i="21"/>
  <c r="U24" i="21"/>
  <c r="W24" i="21" s="1"/>
  <c r="U23" i="21"/>
  <c r="V21" i="21"/>
  <c r="V20" i="21"/>
  <c r="V19" i="21"/>
  <c r="V18" i="21"/>
  <c r="U15" i="21"/>
  <c r="W15" i="21" s="1"/>
  <c r="U21" i="21"/>
  <c r="U20" i="21"/>
  <c r="U19" i="21"/>
  <c r="U18" i="21"/>
  <c r="U16" i="21"/>
  <c r="V15" i="21"/>
  <c r="U13" i="21"/>
  <c r="V10" i="21"/>
  <c r="V8" i="21"/>
  <c r="V16" i="21"/>
  <c r="J70" i="21"/>
  <c r="L45" i="5"/>
  <c r="L44" i="5"/>
  <c r="L43" i="5"/>
  <c r="L42" i="5"/>
  <c r="L41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6" i="5"/>
  <c r="J15" i="5"/>
  <c r="J14" i="5"/>
  <c r="J13" i="5"/>
  <c r="J12" i="5"/>
  <c r="J11" i="5"/>
  <c r="F16" i="5"/>
  <c r="F15" i="5"/>
  <c r="F14" i="5"/>
  <c r="F13" i="5"/>
  <c r="F12" i="5"/>
  <c r="O635" i="7"/>
  <c r="L635" i="7"/>
  <c r="L663" i="7" s="1"/>
  <c r="Q44" i="5" s="1"/>
  <c r="C635" i="7"/>
  <c r="Q41" i="5" s="1"/>
  <c r="T60" i="21"/>
  <c r="V58" i="21"/>
  <c r="U58" i="21"/>
  <c r="S58" i="21"/>
  <c r="S56" i="21"/>
  <c r="S55" i="21"/>
  <c r="S54" i="21"/>
  <c r="S53" i="21"/>
  <c r="S51" i="21"/>
  <c r="S50" i="21"/>
  <c r="S49" i="21"/>
  <c r="S48" i="21"/>
  <c r="S46" i="21"/>
  <c r="S45" i="21"/>
  <c r="S44" i="21"/>
  <c r="S43" i="21"/>
  <c r="S41" i="21"/>
  <c r="D41" i="21"/>
  <c r="S40" i="21"/>
  <c r="S39" i="21"/>
  <c r="S38" i="21"/>
  <c r="S36" i="21"/>
  <c r="S35" i="21"/>
  <c r="S34" i="21"/>
  <c r="S33" i="21"/>
  <c r="S31" i="21"/>
  <c r="S30" i="21"/>
  <c r="S29" i="21"/>
  <c r="S28" i="21"/>
  <c r="S26" i="21"/>
  <c r="S25" i="21"/>
  <c r="S24" i="21"/>
  <c r="S23" i="21"/>
  <c r="S21" i="21"/>
  <c r="S20" i="21"/>
  <c r="S19" i="21"/>
  <c r="S18" i="21"/>
  <c r="S16" i="21"/>
  <c r="S15" i="21"/>
  <c r="S14" i="21"/>
  <c r="S13" i="21"/>
  <c r="S11" i="21"/>
  <c r="S10" i="21"/>
  <c r="S9" i="21"/>
  <c r="S8" i="21"/>
  <c r="C608" i="7"/>
  <c r="C636" i="7" s="1"/>
  <c r="H41" i="5" s="1"/>
  <c r="O10" i="19"/>
  <c r="D31" i="19" s="1"/>
  <c r="D102" i="19"/>
  <c r="D105" i="19" s="1"/>
  <c r="I633" i="7" s="1"/>
  <c r="CW81" i="2"/>
  <c r="DN70" i="2"/>
  <c r="CX42" i="20"/>
  <c r="AX42" i="20"/>
  <c r="AP42" i="20"/>
  <c r="AH42" i="20"/>
  <c r="CH41" i="20"/>
  <c r="CD41" i="20"/>
  <c r="CP40" i="20"/>
  <c r="CL40" i="20"/>
  <c r="CH40" i="20"/>
  <c r="CD40" i="20"/>
  <c r="BZ40" i="20"/>
  <c r="CX40" i="20" s="1"/>
  <c r="C40" i="20"/>
  <c r="BZ39" i="20"/>
  <c r="BN39" i="20"/>
  <c r="BJ39" i="20"/>
  <c r="CX39" i="20" s="1"/>
  <c r="Z39" i="20"/>
  <c r="V39" i="20"/>
  <c r="R39" i="20"/>
  <c r="N39" i="20"/>
  <c r="CT38" i="20"/>
  <c r="CP38" i="20"/>
  <c r="CL38" i="20"/>
  <c r="CH38" i="20"/>
  <c r="CD38" i="20"/>
  <c r="BV38" i="20"/>
  <c r="BR38" i="20"/>
  <c r="BN38" i="20"/>
  <c r="BJ38" i="20"/>
  <c r="BF38" i="20"/>
  <c r="BB38" i="20"/>
  <c r="CX38" i="20" s="1"/>
  <c r="AX38" i="20"/>
  <c r="AT38" i="20"/>
  <c r="AP38" i="20"/>
  <c r="AL38" i="20"/>
  <c r="AH38" i="20"/>
  <c r="Z38" i="20"/>
  <c r="V38" i="20"/>
  <c r="R38" i="20"/>
  <c r="N38" i="20"/>
  <c r="J38" i="20"/>
  <c r="F38" i="20"/>
  <c r="CX37" i="20"/>
  <c r="BN37" i="20"/>
  <c r="BJ37" i="20"/>
  <c r="BF37" i="20"/>
  <c r="R37" i="20"/>
  <c r="N37" i="20"/>
  <c r="J37" i="20"/>
  <c r="F37" i="20"/>
  <c r="CL36" i="20"/>
  <c r="BV36" i="20"/>
  <c r="BR36" i="20"/>
  <c r="BN36" i="20"/>
  <c r="CX36" i="20" s="1"/>
  <c r="Z36" i="20"/>
  <c r="R36" i="20"/>
  <c r="N36" i="20"/>
  <c r="J36" i="20"/>
  <c r="F36" i="20"/>
  <c r="CT35" i="20"/>
  <c r="CP35" i="20"/>
  <c r="CL35" i="20"/>
  <c r="CH35" i="20"/>
  <c r="CD35" i="20"/>
  <c r="BZ35" i="20"/>
  <c r="BV35" i="20"/>
  <c r="BR35" i="20"/>
  <c r="BN35" i="20"/>
  <c r="BJ35" i="20"/>
  <c r="BF35" i="20"/>
  <c r="BB35" i="20"/>
  <c r="CX35" i="20" s="1"/>
  <c r="AX35" i="20"/>
  <c r="AT35" i="20"/>
  <c r="AP35" i="20"/>
  <c r="AL35" i="20"/>
  <c r="AH35" i="20"/>
  <c r="AD35" i="20"/>
  <c r="Z35" i="20"/>
  <c r="V35" i="20"/>
  <c r="R35" i="20"/>
  <c r="N35" i="20"/>
  <c r="J35" i="20"/>
  <c r="F35" i="20"/>
  <c r="CL34" i="20"/>
  <c r="CH34" i="20"/>
  <c r="CD34" i="20"/>
  <c r="BR34" i="20"/>
  <c r="BN34" i="20"/>
  <c r="BJ34" i="20"/>
  <c r="CX34" i="20" s="1"/>
  <c r="AT34" i="20"/>
  <c r="AL34" i="20"/>
  <c r="AH34" i="20"/>
  <c r="Z34" i="20"/>
  <c r="R34" i="20"/>
  <c r="N34" i="20"/>
  <c r="J34" i="20"/>
  <c r="F34" i="20"/>
  <c r="BR33" i="20"/>
  <c r="BN33" i="20"/>
  <c r="BJ33" i="20"/>
  <c r="CX33" i="20" s="1"/>
  <c r="CX32" i="20"/>
  <c r="BF32" i="20"/>
  <c r="CX31" i="20"/>
  <c r="BZ31" i="20"/>
  <c r="AH31" i="20"/>
  <c r="CL30" i="20"/>
  <c r="BZ30" i="20"/>
  <c r="CX30" i="20" s="1"/>
  <c r="Z30" i="20"/>
  <c r="BZ29" i="20"/>
  <c r="CX29" i="20" s="1"/>
  <c r="R29" i="20"/>
  <c r="N29" i="20"/>
  <c r="CH28" i="20"/>
  <c r="BZ28" i="20"/>
  <c r="BF28" i="20"/>
  <c r="CX28" i="20" s="1"/>
  <c r="AX28" i="20"/>
  <c r="AT28" i="20"/>
  <c r="AP28" i="20"/>
  <c r="AL28" i="20"/>
  <c r="AH28" i="20"/>
  <c r="R28" i="20"/>
  <c r="N28" i="20"/>
  <c r="J28" i="20"/>
  <c r="F28" i="20"/>
  <c r="CX27" i="20"/>
  <c r="CP27" i="20"/>
  <c r="CL27" i="20"/>
  <c r="BN27" i="20"/>
  <c r="AX27" i="20"/>
  <c r="AT27" i="20"/>
  <c r="AL27" i="20"/>
  <c r="AH27" i="20"/>
  <c r="R27" i="20"/>
  <c r="N27" i="20"/>
  <c r="J27" i="20"/>
  <c r="F27" i="20"/>
  <c r="CL26" i="20"/>
  <c r="CH26" i="20"/>
  <c r="CD26" i="20"/>
  <c r="BV26" i="20"/>
  <c r="BR26" i="20"/>
  <c r="BN26" i="20"/>
  <c r="BJ26" i="20"/>
  <c r="BF26" i="20"/>
  <c r="CX26" i="20" s="1"/>
  <c r="BB26" i="20"/>
  <c r="AT26" i="20"/>
  <c r="AP26" i="20"/>
  <c r="AL26" i="20"/>
  <c r="AH26" i="20"/>
  <c r="AD26" i="20"/>
  <c r="R26" i="20"/>
  <c r="N26" i="20"/>
  <c r="J26" i="20"/>
  <c r="F26" i="20"/>
  <c r="CT25" i="20"/>
  <c r="CP25" i="20"/>
  <c r="CL25" i="20"/>
  <c r="CH25" i="20"/>
  <c r="CD25" i="20"/>
  <c r="BZ25" i="20"/>
  <c r="BV25" i="20"/>
  <c r="BR25" i="20"/>
  <c r="BN25" i="20"/>
  <c r="BJ25" i="20"/>
  <c r="BF25" i="20"/>
  <c r="BB25" i="20"/>
  <c r="CX25" i="20" s="1"/>
  <c r="AX25" i="20"/>
  <c r="AT25" i="20"/>
  <c r="AP25" i="20"/>
  <c r="AL25" i="20"/>
  <c r="AH25" i="20"/>
  <c r="AD25" i="20"/>
  <c r="Z25" i="20"/>
  <c r="V25" i="20"/>
  <c r="R25" i="20"/>
  <c r="N25" i="20"/>
  <c r="J25" i="20"/>
  <c r="F25" i="20"/>
  <c r="CT24" i="20"/>
  <c r="CP24" i="20"/>
  <c r="CL24" i="20"/>
  <c r="CH24" i="20"/>
  <c r="CD24" i="20"/>
  <c r="BZ24" i="20"/>
  <c r="BV24" i="20"/>
  <c r="BR24" i="20"/>
  <c r="BN24" i="20"/>
  <c r="BJ24" i="20"/>
  <c r="BF24" i="20"/>
  <c r="BB24" i="20"/>
  <c r="CX24" i="20" s="1"/>
  <c r="AX24" i="20"/>
  <c r="AT24" i="20"/>
  <c r="AP24" i="20"/>
  <c r="AL24" i="20"/>
  <c r="AH24" i="20"/>
  <c r="AD24" i="20"/>
  <c r="Z24" i="20"/>
  <c r="V24" i="20"/>
  <c r="R24" i="20"/>
  <c r="N24" i="20"/>
  <c r="J24" i="20"/>
  <c r="F24" i="20"/>
  <c r="CT23" i="20"/>
  <c r="CP23" i="20"/>
  <c r="CL23" i="20"/>
  <c r="CH23" i="20"/>
  <c r="CD23" i="20"/>
  <c r="BZ23" i="20"/>
  <c r="BV23" i="20"/>
  <c r="BR23" i="20"/>
  <c r="BN23" i="20"/>
  <c r="BJ23" i="20"/>
  <c r="BF23" i="20"/>
  <c r="BB23" i="20"/>
  <c r="CX23" i="20" s="1"/>
  <c r="AX23" i="20"/>
  <c r="AT23" i="20"/>
  <c r="AP23" i="20"/>
  <c r="AL23" i="20"/>
  <c r="AH23" i="20"/>
  <c r="AD23" i="20"/>
  <c r="Z23" i="20"/>
  <c r="V23" i="20"/>
  <c r="R23" i="20"/>
  <c r="N23" i="20"/>
  <c r="J23" i="20"/>
  <c r="F23" i="20"/>
  <c r="CT22" i="20"/>
  <c r="CP22" i="20"/>
  <c r="CL22" i="20"/>
  <c r="CH22" i="20"/>
  <c r="CD22" i="20"/>
  <c r="BZ22" i="20"/>
  <c r="BV22" i="20"/>
  <c r="BR22" i="20"/>
  <c r="BN22" i="20"/>
  <c r="BJ22" i="20"/>
  <c r="BF22" i="20"/>
  <c r="BB22" i="20"/>
  <c r="CX22" i="20" s="1"/>
  <c r="AX22" i="20"/>
  <c r="AT22" i="20"/>
  <c r="AP22" i="20"/>
  <c r="AL22" i="20"/>
  <c r="AH22" i="20"/>
  <c r="AD22" i="20"/>
  <c r="Z22" i="20"/>
  <c r="V22" i="20"/>
  <c r="R22" i="20"/>
  <c r="N22" i="20"/>
  <c r="J22" i="20"/>
  <c r="F22" i="20"/>
  <c r="CT21" i="20"/>
  <c r="CT43" i="20" s="1"/>
  <c r="CP21" i="20"/>
  <c r="CL21" i="20"/>
  <c r="CH21" i="20"/>
  <c r="CD21" i="20"/>
  <c r="BZ21" i="20"/>
  <c r="BV21" i="20"/>
  <c r="BR21" i="20"/>
  <c r="BN21" i="20"/>
  <c r="BN43" i="20" s="1"/>
  <c r="BJ21" i="20"/>
  <c r="BF21" i="20"/>
  <c r="BB21" i="20"/>
  <c r="CX21" i="20" s="1"/>
  <c r="AX21" i="20"/>
  <c r="AT21" i="20"/>
  <c r="AP21" i="20"/>
  <c r="AL21" i="20"/>
  <c r="AH21" i="20"/>
  <c r="AH43" i="20" s="1"/>
  <c r="AD21" i="20"/>
  <c r="Z21" i="20"/>
  <c r="V21" i="20"/>
  <c r="R21" i="20"/>
  <c r="N21" i="20"/>
  <c r="J21" i="20"/>
  <c r="F21" i="20"/>
  <c r="CX20" i="20"/>
  <c r="CT20" i="20"/>
  <c r="CP20" i="20"/>
  <c r="CL20" i="20"/>
  <c r="CH20" i="20"/>
  <c r="CD20" i="20"/>
  <c r="BZ20" i="20"/>
  <c r="BV20" i="20"/>
  <c r="BR20" i="20"/>
  <c r="BN20" i="20"/>
  <c r="BJ20" i="20"/>
  <c r="BF20" i="20"/>
  <c r="BB20" i="20"/>
  <c r="AX20" i="20"/>
  <c r="AT20" i="20"/>
  <c r="AP20" i="20"/>
  <c r="AL20" i="20"/>
  <c r="AH20" i="20"/>
  <c r="AD20" i="20"/>
  <c r="Z20" i="20"/>
  <c r="V20" i="20"/>
  <c r="R20" i="20"/>
  <c r="N20" i="20"/>
  <c r="J20" i="20"/>
  <c r="F20" i="20"/>
  <c r="CT19" i="20"/>
  <c r="CP19" i="20"/>
  <c r="CP43" i="20" s="1"/>
  <c r="CL19" i="20"/>
  <c r="CL43" i="20" s="1"/>
  <c r="CH19" i="20"/>
  <c r="CH43" i="20" s="1"/>
  <c r="CD19" i="20"/>
  <c r="CD43" i="20" s="1"/>
  <c r="BZ19" i="20"/>
  <c r="BZ43" i="20" s="1"/>
  <c r="BV19" i="20"/>
  <c r="BV43" i="20" s="1"/>
  <c r="BR19" i="20"/>
  <c r="BR43" i="20" s="1"/>
  <c r="BN19" i="20"/>
  <c r="BJ19" i="20"/>
  <c r="BJ43" i="20" s="1"/>
  <c r="BF19" i="20"/>
  <c r="BF43" i="20" s="1"/>
  <c r="BB19" i="20"/>
  <c r="CX19" i="20" s="1"/>
  <c r="AX19" i="20"/>
  <c r="AX43" i="20" s="1"/>
  <c r="AT19" i="20"/>
  <c r="AT43" i="20" s="1"/>
  <c r="AP19" i="20"/>
  <c r="AP43" i="20" s="1"/>
  <c r="AL19" i="20"/>
  <c r="AL43" i="20" s="1"/>
  <c r="AH19" i="20"/>
  <c r="AD19" i="20"/>
  <c r="AD43" i="20" s="1"/>
  <c r="Z19" i="20"/>
  <c r="Z43" i="20" s="1"/>
  <c r="V19" i="20"/>
  <c r="V43" i="20" s="1"/>
  <c r="R19" i="20"/>
  <c r="R43" i="20" s="1"/>
  <c r="N19" i="20"/>
  <c r="N43" i="20" s="1"/>
  <c r="J19" i="20"/>
  <c r="J43" i="20" s="1"/>
  <c r="F19" i="20"/>
  <c r="F43" i="20" s="1"/>
  <c r="CT15" i="20"/>
  <c r="CH15" i="20"/>
  <c r="CD15" i="20"/>
  <c r="BZ15" i="20"/>
  <c r="BV15" i="20"/>
  <c r="BN15" i="20"/>
  <c r="BJ15" i="20"/>
  <c r="BF15" i="20"/>
  <c r="BB15" i="20"/>
  <c r="CT14" i="20"/>
  <c r="CL14" i="20"/>
  <c r="CH14" i="20"/>
  <c r="BZ14" i="20"/>
  <c r="BV14" i="20"/>
  <c r="BN14" i="20"/>
  <c r="BJ14" i="20"/>
  <c r="BF14" i="20"/>
  <c r="AX14" i="20"/>
  <c r="AT14" i="20"/>
  <c r="AL14" i="20"/>
  <c r="AH14" i="20"/>
  <c r="J14" i="20"/>
  <c r="CT13" i="20"/>
  <c r="CP13" i="20"/>
  <c r="CL13" i="20"/>
  <c r="CH13" i="20"/>
  <c r="BZ13" i="20"/>
  <c r="BV13" i="20"/>
  <c r="BR13" i="20"/>
  <c r="BN13" i="20"/>
  <c r="BJ13" i="20"/>
  <c r="BF13" i="20"/>
  <c r="BB13" i="20"/>
  <c r="AT13" i="20"/>
  <c r="AP13" i="20"/>
  <c r="AL13" i="20"/>
  <c r="AH13" i="20"/>
  <c r="AD13" i="20"/>
  <c r="R13" i="20"/>
  <c r="J13" i="20"/>
  <c r="F13" i="20"/>
  <c r="CT12" i="20"/>
  <c r="CP12" i="20"/>
  <c r="CL12" i="20"/>
  <c r="CH12" i="20"/>
  <c r="CD12" i="20"/>
  <c r="BZ12" i="20"/>
  <c r="BV12" i="20"/>
  <c r="BR12" i="20"/>
  <c r="BN12" i="20"/>
  <c r="BJ12" i="20"/>
  <c r="BF12" i="20"/>
  <c r="BB12" i="20"/>
  <c r="AX12" i="20"/>
  <c r="AT12" i="20"/>
  <c r="AP12" i="20"/>
  <c r="AL12" i="20"/>
  <c r="AH12" i="20"/>
  <c r="AD12" i="20"/>
  <c r="R12" i="20"/>
  <c r="J12" i="20"/>
  <c r="F12" i="20"/>
  <c r="EK39" i="2"/>
  <c r="EL58" i="2"/>
  <c r="EK58" i="2"/>
  <c r="EM58" i="2" s="1"/>
  <c r="EI58" i="2"/>
  <c r="EJ60" i="2"/>
  <c r="EL56" i="2"/>
  <c r="EL55" i="2"/>
  <c r="EL54" i="2"/>
  <c r="EL53" i="2"/>
  <c r="EL51" i="2"/>
  <c r="EL50" i="2"/>
  <c r="EL49" i="2"/>
  <c r="EL48" i="2"/>
  <c r="EL46" i="2"/>
  <c r="EM46" i="2" s="1"/>
  <c r="EL45" i="2"/>
  <c r="EL44" i="2"/>
  <c r="EL43" i="2"/>
  <c r="EM43" i="2" s="1"/>
  <c r="EL40" i="2"/>
  <c r="EM40" i="2" s="1"/>
  <c r="EL39" i="2"/>
  <c r="EM39" i="2" s="1"/>
  <c r="EL38" i="2"/>
  <c r="EL36" i="2"/>
  <c r="EM36" i="2" s="1"/>
  <c r="EL35" i="2"/>
  <c r="EL34" i="2"/>
  <c r="EM34" i="2" s="1"/>
  <c r="EL33" i="2"/>
  <c r="EM33" i="2" s="1"/>
  <c r="EL31" i="2"/>
  <c r="EL30" i="2"/>
  <c r="EL29" i="2"/>
  <c r="EL28" i="2"/>
  <c r="EM26" i="2"/>
  <c r="EL26" i="2"/>
  <c r="EM25" i="2"/>
  <c r="EL25" i="2"/>
  <c r="EL24" i="2"/>
  <c r="EL23" i="2"/>
  <c r="EM23" i="2" s="1"/>
  <c r="EL21" i="2"/>
  <c r="EL20" i="2"/>
  <c r="EL19" i="2"/>
  <c r="EM19" i="2" s="1"/>
  <c r="EL18" i="2"/>
  <c r="EM16" i="2"/>
  <c r="EL16" i="2"/>
  <c r="EL15" i="2"/>
  <c r="EL14" i="2"/>
  <c r="EL13" i="2"/>
  <c r="EL11" i="2"/>
  <c r="EM10" i="2"/>
  <c r="EL10" i="2"/>
  <c r="EL9" i="2"/>
  <c r="EM8" i="2"/>
  <c r="EL8" i="2"/>
  <c r="EC8" i="2"/>
  <c r="DT8" i="2"/>
  <c r="EK8" i="2"/>
  <c r="EK60" i="2" s="1"/>
  <c r="EI8" i="2"/>
  <c r="EI60" i="2" s="1"/>
  <c r="DN58" i="2"/>
  <c r="D58" i="19"/>
  <c r="I625" i="7" s="1"/>
  <c r="D52" i="19"/>
  <c r="I624" i="7" s="1"/>
  <c r="D30" i="19"/>
  <c r="I619" i="7" s="1"/>
  <c r="D22" i="19"/>
  <c r="D19" i="19"/>
  <c r="I618" i="7" s="1"/>
  <c r="D10" i="19"/>
  <c r="I617" i="7" s="1"/>
  <c r="D49" i="19"/>
  <c r="I623" i="7" s="1"/>
  <c r="D71" i="19"/>
  <c r="D78" i="19" s="1"/>
  <c r="F30" i="5" s="1"/>
  <c r="D101" i="19"/>
  <c r="I632" i="7" s="1"/>
  <c r="D96" i="19"/>
  <c r="I631" i="7" s="1"/>
  <c r="D91" i="19"/>
  <c r="I630" i="7" s="1"/>
  <c r="D84" i="19"/>
  <c r="I629" i="7" s="1"/>
  <c r="D66" i="19"/>
  <c r="I627" i="7" s="1"/>
  <c r="D62" i="19"/>
  <c r="I626" i="7" s="1"/>
  <c r="D43" i="19"/>
  <c r="I622" i="7" s="1"/>
  <c r="D36" i="19"/>
  <c r="D111" i="19" s="1"/>
  <c r="EK56" i="2"/>
  <c r="EK55" i="2"/>
  <c r="EK54" i="2"/>
  <c r="EK53" i="2"/>
  <c r="EK51" i="2"/>
  <c r="EK50" i="2"/>
  <c r="EM50" i="2" s="1"/>
  <c r="EK49" i="2"/>
  <c r="EK48" i="2"/>
  <c r="EK46" i="2"/>
  <c r="EK45" i="2"/>
  <c r="EK43" i="2"/>
  <c r="EK44" i="2"/>
  <c r="EK41" i="2"/>
  <c r="EK40" i="2"/>
  <c r="EK38" i="2"/>
  <c r="EK36" i="2"/>
  <c r="EK35" i="2"/>
  <c r="EK34" i="2"/>
  <c r="EK33" i="2"/>
  <c r="EK31" i="2"/>
  <c r="EK30" i="2"/>
  <c r="EK29" i="2"/>
  <c r="EK28" i="2"/>
  <c r="EK26" i="2"/>
  <c r="EK25" i="2"/>
  <c r="EK24" i="2"/>
  <c r="EK23" i="2"/>
  <c r="EK21" i="2"/>
  <c r="EK20" i="2"/>
  <c r="EK19" i="2"/>
  <c r="EK18" i="2"/>
  <c r="EK16" i="2"/>
  <c r="EK15" i="2"/>
  <c r="EM15" i="2" s="1"/>
  <c r="EK13" i="2"/>
  <c r="EK14" i="2"/>
  <c r="EK11" i="2"/>
  <c r="EM11" i="2" s="1"/>
  <c r="EK10" i="2"/>
  <c r="EK9" i="2"/>
  <c r="EI53" i="2"/>
  <c r="EI56" i="2"/>
  <c r="EI55" i="2"/>
  <c r="EI54" i="2"/>
  <c r="EI44" i="2"/>
  <c r="EI43" i="2"/>
  <c r="EI41" i="2"/>
  <c r="EI40" i="2"/>
  <c r="EI39" i="2"/>
  <c r="EI38" i="2"/>
  <c r="EI51" i="2"/>
  <c r="EI50" i="2"/>
  <c r="EI49" i="2"/>
  <c r="EI48" i="2"/>
  <c r="EI46" i="2"/>
  <c r="EI45" i="2"/>
  <c r="EI36" i="2"/>
  <c r="EI35" i="2"/>
  <c r="EI34" i="2"/>
  <c r="EI33" i="2"/>
  <c r="EI28" i="2"/>
  <c r="EI31" i="2"/>
  <c r="EI30" i="2"/>
  <c r="EI29" i="2"/>
  <c r="EI26" i="2"/>
  <c r="EI25" i="2"/>
  <c r="EI24" i="2"/>
  <c r="EI23" i="2"/>
  <c r="EI19" i="2"/>
  <c r="EI18" i="2"/>
  <c r="EI21" i="2"/>
  <c r="EI20" i="2"/>
  <c r="EI14" i="2"/>
  <c r="EI16" i="2"/>
  <c r="EI15" i="2"/>
  <c r="EI13" i="2"/>
  <c r="EI11" i="2"/>
  <c r="EI10" i="2"/>
  <c r="EI9" i="2"/>
  <c r="EB39" i="2"/>
  <c r="BU62" i="16"/>
  <c r="AW58" i="16" s="1"/>
  <c r="O44" i="17"/>
  <c r="M44" i="17"/>
  <c r="AY124" i="16"/>
  <c r="AY125" i="16" s="1"/>
  <c r="AY121" i="16"/>
  <c r="BM115" i="16"/>
  <c r="AY35" i="16" s="1"/>
  <c r="AY37" i="16" s="1"/>
  <c r="I592" i="7" s="1"/>
  <c r="AY122" i="16"/>
  <c r="AW121" i="16"/>
  <c r="AU121" i="16"/>
  <c r="I598" i="7"/>
  <c r="I596" i="7"/>
  <c r="I595" i="7"/>
  <c r="I594" i="7"/>
  <c r="I593" i="7"/>
  <c r="I591" i="7"/>
  <c r="I590" i="7"/>
  <c r="I589" i="7"/>
  <c r="I588" i="7"/>
  <c r="I586" i="7"/>
  <c r="F585" i="7"/>
  <c r="O606" i="7"/>
  <c r="L606" i="7"/>
  <c r="C606" i="7"/>
  <c r="I574" i="7"/>
  <c r="I576" i="7"/>
  <c r="I575" i="7"/>
  <c r="AW59" i="16"/>
  <c r="I573" i="7"/>
  <c r="I572" i="7"/>
  <c r="I571" i="7"/>
  <c r="I570" i="7"/>
  <c r="I569" i="7"/>
  <c r="I568" i="7"/>
  <c r="I567" i="7"/>
  <c r="I566" i="7"/>
  <c r="EB9" i="2"/>
  <c r="EC61" i="2"/>
  <c r="EB61" i="2"/>
  <c r="EB56" i="2"/>
  <c r="EB55" i="2"/>
  <c r="EB54" i="2"/>
  <c r="EB53" i="2"/>
  <c r="EC56" i="2"/>
  <c r="EC55" i="2"/>
  <c r="EC54" i="2"/>
  <c r="EC53" i="2"/>
  <c r="EC51" i="2"/>
  <c r="EC50" i="2"/>
  <c r="EC49" i="2"/>
  <c r="EC48" i="2"/>
  <c r="EB51" i="2"/>
  <c r="EB50" i="2"/>
  <c r="EB49" i="2"/>
  <c r="EB48" i="2"/>
  <c r="EC45" i="2"/>
  <c r="EC44" i="2"/>
  <c r="EC43" i="2"/>
  <c r="EB46" i="2"/>
  <c r="EB45" i="2"/>
  <c r="EB44" i="2"/>
  <c r="EB43" i="2"/>
  <c r="EB41" i="2"/>
  <c r="EB40" i="2"/>
  <c r="EB38" i="2"/>
  <c r="EC41" i="2"/>
  <c r="EC39" i="2"/>
  <c r="EC38" i="2"/>
  <c r="EC36" i="2"/>
  <c r="EC34" i="2"/>
  <c r="EB36" i="2"/>
  <c r="EB35" i="2"/>
  <c r="EB34" i="2"/>
  <c r="EB33" i="2"/>
  <c r="EB28" i="2"/>
  <c r="DK41" i="2"/>
  <c r="DK58" i="2" s="1"/>
  <c r="DK68" i="2" s="1"/>
  <c r="EC31" i="2"/>
  <c r="EC30" i="2"/>
  <c r="EC29" i="2"/>
  <c r="EB31" i="2"/>
  <c r="EB30" i="2"/>
  <c r="EB29" i="2"/>
  <c r="EC26" i="2"/>
  <c r="EC25" i="2"/>
  <c r="EC24" i="2"/>
  <c r="EB26" i="2"/>
  <c r="EB25" i="2"/>
  <c r="EB24" i="2"/>
  <c r="EB23" i="2"/>
  <c r="EC21" i="2"/>
  <c r="EC20" i="2"/>
  <c r="EC19" i="2"/>
  <c r="EC18" i="2"/>
  <c r="EB21" i="2"/>
  <c r="EB20" i="2"/>
  <c r="EB19" i="2"/>
  <c r="EB18" i="2"/>
  <c r="EC16" i="2"/>
  <c r="EC15" i="2"/>
  <c r="EC14" i="2"/>
  <c r="EC13" i="2"/>
  <c r="EB16" i="2"/>
  <c r="EB15" i="2"/>
  <c r="EB14" i="2"/>
  <c r="EB13" i="2"/>
  <c r="EB8" i="2"/>
  <c r="EC11" i="2"/>
  <c r="EC10" i="2"/>
  <c r="EB11" i="2"/>
  <c r="EB10" i="2"/>
  <c r="I564" i="7"/>
  <c r="DE58" i="2"/>
  <c r="CP11" i="20" s="1"/>
  <c r="CP16" i="20" s="1"/>
  <c r="O582" i="7"/>
  <c r="L582" i="7"/>
  <c r="C582" i="7"/>
  <c r="J39" i="8"/>
  <c r="J34" i="8"/>
  <c r="CV63" i="2"/>
  <c r="CD14" i="20" s="1"/>
  <c r="J29" i="8"/>
  <c r="J31" i="8" s="1"/>
  <c r="AY42" i="16"/>
  <c r="AY47" i="16" s="1"/>
  <c r="BM109" i="16"/>
  <c r="AW35" i="16"/>
  <c r="AW12" i="16"/>
  <c r="AW14" i="16" s="1"/>
  <c r="AW11" i="16"/>
  <c r="BM106" i="16"/>
  <c r="AW77" i="16"/>
  <c r="BM98" i="16"/>
  <c r="DE63" i="2"/>
  <c r="CP14" i="20" s="1"/>
  <c r="DB79" i="2"/>
  <c r="BQ67" i="16"/>
  <c r="BU67" i="16"/>
  <c r="I53" i="17"/>
  <c r="DH58" i="2"/>
  <c r="CT11" i="20" s="1"/>
  <c r="CT16" i="20" s="1"/>
  <c r="L558" i="7"/>
  <c r="AU59" i="16"/>
  <c r="AY116" i="16"/>
  <c r="AY112" i="16"/>
  <c r="AY109" i="16"/>
  <c r="AY104" i="16"/>
  <c r="AY100" i="16"/>
  <c r="AY93" i="16"/>
  <c r="AY87" i="16"/>
  <c r="AY75" i="16"/>
  <c r="AY70" i="16"/>
  <c r="AY67" i="16"/>
  <c r="AY62" i="16"/>
  <c r="AY57" i="16"/>
  <c r="AY40" i="16"/>
  <c r="AY34" i="16"/>
  <c r="AY26" i="16"/>
  <c r="AY23" i="16"/>
  <c r="AY14" i="16"/>
  <c r="AW116" i="16"/>
  <c r="AW112" i="16"/>
  <c r="AW109" i="16"/>
  <c r="AW104" i="16"/>
  <c r="AW100" i="16"/>
  <c r="AW93" i="16"/>
  <c r="AW87" i="16"/>
  <c r="AW75" i="16"/>
  <c r="AW70" i="16"/>
  <c r="AW67" i="16"/>
  <c r="AW57" i="16"/>
  <c r="AW47" i="16"/>
  <c r="AW40" i="16"/>
  <c r="AW37" i="16"/>
  <c r="AW34" i="16"/>
  <c r="AW26" i="16"/>
  <c r="AW23" i="16"/>
  <c r="C558" i="7"/>
  <c r="O558" i="7"/>
  <c r="I553" i="7"/>
  <c r="I545" i="7"/>
  <c r="I538" i="7"/>
  <c r="F537" i="7"/>
  <c r="I515" i="7"/>
  <c r="I525" i="7"/>
  <c r="C520" i="7"/>
  <c r="I519" i="7"/>
  <c r="C513" i="7"/>
  <c r="C512" i="7"/>
  <c r="L511" i="7"/>
  <c r="L531" i="7" s="1"/>
  <c r="O531" i="7"/>
  <c r="AS122" i="16"/>
  <c r="C481" i="7"/>
  <c r="O504" i="7"/>
  <c r="I504" i="7"/>
  <c r="CF49" i="20" s="1"/>
  <c r="F483" i="7"/>
  <c r="F481" i="7"/>
  <c r="C497" i="7"/>
  <c r="C498" i="7"/>
  <c r="C490" i="7"/>
  <c r="C488" i="7"/>
  <c r="C486" i="7"/>
  <c r="C485" i="7"/>
  <c r="C483" i="7"/>
  <c r="AU23" i="16"/>
  <c r="AQ23" i="16"/>
  <c r="I9" i="18"/>
  <c r="AU76" i="16"/>
  <c r="AU87" i="16" s="1"/>
  <c r="AU113" i="16"/>
  <c r="AU116" i="16" s="1"/>
  <c r="I556" i="7" s="1"/>
  <c r="AU26" i="16"/>
  <c r="I542" i="7" s="1"/>
  <c r="AU34" i="16"/>
  <c r="AU40" i="16"/>
  <c r="F549" i="7" s="1"/>
  <c r="AU47" i="16"/>
  <c r="I548" i="7" s="1"/>
  <c r="AU112" i="16"/>
  <c r="I552" i="7" s="1"/>
  <c r="BQ62" i="16"/>
  <c r="AU58" i="16" s="1"/>
  <c r="AU41" i="16"/>
  <c r="AU9" i="16"/>
  <c r="AU8" i="16"/>
  <c r="AU7" i="16"/>
  <c r="AU14" i="16" s="1"/>
  <c r="AO116" i="16"/>
  <c r="AQ116" i="16"/>
  <c r="AS116" i="16"/>
  <c r="CY58" i="2"/>
  <c r="CY68" i="2" s="1"/>
  <c r="CV46" i="2"/>
  <c r="EC46" i="2" s="1"/>
  <c r="I16" i="18"/>
  <c r="I15" i="18"/>
  <c r="I14" i="18"/>
  <c r="I13" i="18"/>
  <c r="I12" i="18"/>
  <c r="I11" i="18"/>
  <c r="I10" i="18"/>
  <c r="I8" i="18"/>
  <c r="I7" i="18"/>
  <c r="I6" i="18"/>
  <c r="I5" i="18"/>
  <c r="I4" i="18"/>
  <c r="I3" i="18"/>
  <c r="P16" i="17"/>
  <c r="AQ122" i="16"/>
  <c r="BM88" i="16"/>
  <c r="BM81" i="16"/>
  <c r="AS102" i="16"/>
  <c r="AS104" i="16" s="1"/>
  <c r="I524" i="7" s="1"/>
  <c r="AS30" i="16"/>
  <c r="AS34" i="16" s="1"/>
  <c r="AS8" i="16"/>
  <c r="BM84" i="16"/>
  <c r="AQ111" i="16"/>
  <c r="AQ112" i="16" s="1"/>
  <c r="AQ102" i="16"/>
  <c r="AQ104" i="16" s="1"/>
  <c r="EE58" i="2"/>
  <c r="AQ42" i="16"/>
  <c r="BM78" i="16"/>
  <c r="AQ35" i="16" s="1"/>
  <c r="AQ37" i="16" s="1"/>
  <c r="AU109" i="16"/>
  <c r="AU104" i="16"/>
  <c r="I551" i="7" s="1"/>
  <c r="AU100" i="16"/>
  <c r="AU93" i="16"/>
  <c r="AU75" i="16"/>
  <c r="I550" i="7" s="1"/>
  <c r="AU70" i="16"/>
  <c r="AU67" i="16"/>
  <c r="AU57" i="16"/>
  <c r="AS112" i="16"/>
  <c r="AS109" i="16"/>
  <c r="AS100" i="16"/>
  <c r="AS93" i="16"/>
  <c r="AS87" i="16"/>
  <c r="I518" i="7" s="1"/>
  <c r="AS75" i="16"/>
  <c r="AS70" i="16"/>
  <c r="AS67" i="16"/>
  <c r="AS62" i="16"/>
  <c r="AS57" i="16"/>
  <c r="AS47" i="16"/>
  <c r="I521" i="7" s="1"/>
  <c r="AS40" i="16"/>
  <c r="F522" i="7" s="1"/>
  <c r="AS26" i="16"/>
  <c r="AS23" i="16"/>
  <c r="AS120" i="16" s="1"/>
  <c r="AS14" i="16"/>
  <c r="I516" i="7" s="1"/>
  <c r="AQ109" i="16"/>
  <c r="AQ100" i="16"/>
  <c r="C499" i="7" s="1"/>
  <c r="AQ93" i="16"/>
  <c r="AQ87" i="16"/>
  <c r="AQ75" i="16"/>
  <c r="AQ70" i="16"/>
  <c r="C501" i="7" s="1"/>
  <c r="AQ67" i="16"/>
  <c r="AQ62" i="16"/>
  <c r="AQ57" i="16"/>
  <c r="AQ47" i="16"/>
  <c r="C494" i="7" s="1"/>
  <c r="AQ40" i="16"/>
  <c r="F495" i="7" s="1"/>
  <c r="AQ34" i="16"/>
  <c r="C493" i="7" s="1"/>
  <c r="AQ26" i="16"/>
  <c r="AQ14" i="16"/>
  <c r="DB58" i="2"/>
  <c r="CL11" i="20" s="1"/>
  <c r="CL16" i="20" s="1"/>
  <c r="P6" i="17"/>
  <c r="P17" i="17" s="1"/>
  <c r="CV9" i="2"/>
  <c r="I686" i="7" l="1"/>
  <c r="J40" i="8"/>
  <c r="I678" i="7"/>
  <c r="I689" i="7" s="1"/>
  <c r="I687" i="7"/>
  <c r="S19" i="5"/>
  <c r="S27" i="5"/>
  <c r="S22" i="5"/>
  <c r="S23" i="5"/>
  <c r="S31" i="5"/>
  <c r="F675" i="7"/>
  <c r="F689" i="7" s="1"/>
  <c r="S24" i="5"/>
  <c r="S33" i="5"/>
  <c r="S32" i="5"/>
  <c r="S37" i="5" s="1"/>
  <c r="I650" i="7"/>
  <c r="O19" i="5"/>
  <c r="O27" i="5"/>
  <c r="H110" i="19"/>
  <c r="H113" i="19" s="1"/>
  <c r="H107" i="19"/>
  <c r="I651" i="7"/>
  <c r="O26" i="5"/>
  <c r="O30" i="5"/>
  <c r="I655" i="7"/>
  <c r="F621" i="7"/>
  <c r="F648" i="7"/>
  <c r="O21" i="5"/>
  <c r="I657" i="7"/>
  <c r="I659" i="7"/>
  <c r="O23" i="5"/>
  <c r="I660" i="7"/>
  <c r="O24" i="5"/>
  <c r="I628" i="7"/>
  <c r="M68" i="21"/>
  <c r="W34" i="21"/>
  <c r="L636" i="7"/>
  <c r="H44" i="5" s="1"/>
  <c r="EM44" i="2"/>
  <c r="EM18" i="2"/>
  <c r="EM35" i="2"/>
  <c r="EM45" i="2"/>
  <c r="EM54" i="2"/>
  <c r="EM13" i="2"/>
  <c r="EM60" i="2" s="1"/>
  <c r="EM20" i="2"/>
  <c r="EM28" i="2"/>
  <c r="EM38" i="2"/>
  <c r="EM48" i="2"/>
  <c r="EM56" i="2"/>
  <c r="EM14" i="2"/>
  <c r="EM21" i="2"/>
  <c r="EM29" i="2"/>
  <c r="EM49" i="2"/>
  <c r="CH11" i="20"/>
  <c r="CH16" i="20" s="1"/>
  <c r="EM53" i="2"/>
  <c r="DH68" i="2"/>
  <c r="EM30" i="2"/>
  <c r="CX12" i="20"/>
  <c r="CX13" i="20"/>
  <c r="EM9" i="2"/>
  <c r="EM24" i="2"/>
  <c r="EM31" i="2"/>
  <c r="EL41" i="2"/>
  <c r="EM41" i="2" s="1"/>
  <c r="F610" i="7"/>
  <c r="F635" i="7" s="1"/>
  <c r="EM55" i="2"/>
  <c r="EM51" i="2"/>
  <c r="CX15" i="20"/>
  <c r="W58" i="21"/>
  <c r="G58" i="21"/>
  <c r="F31" i="19"/>
  <c r="F33" i="19" s="1"/>
  <c r="F34" i="5"/>
  <c r="F24" i="5"/>
  <c r="F25" i="5"/>
  <c r="F26" i="5"/>
  <c r="F33" i="5"/>
  <c r="F19" i="5"/>
  <c r="F27" i="5"/>
  <c r="F35" i="5"/>
  <c r="F20" i="5"/>
  <c r="F28" i="5"/>
  <c r="F21" i="5"/>
  <c r="F29" i="5"/>
  <c r="F23" i="5"/>
  <c r="F31" i="5"/>
  <c r="F32" i="5"/>
  <c r="W41" i="21"/>
  <c r="J68" i="21"/>
  <c r="W18" i="21"/>
  <c r="W21" i="21"/>
  <c r="J37" i="5"/>
  <c r="L46" i="5"/>
  <c r="J17" i="5"/>
  <c r="CV48" i="20"/>
  <c r="O607" i="7"/>
  <c r="CJ48" i="20"/>
  <c r="CN48" i="20"/>
  <c r="CR48" i="20"/>
  <c r="W43" i="21"/>
  <c r="W46" i="21"/>
  <c r="W48" i="21"/>
  <c r="W25" i="21"/>
  <c r="W51" i="21"/>
  <c r="W13" i="21"/>
  <c r="W29" i="21"/>
  <c r="S60" i="21"/>
  <c r="W36" i="21"/>
  <c r="W28" i="21"/>
  <c r="W40" i="21"/>
  <c r="W30" i="21"/>
  <c r="W31" i="21"/>
  <c r="W44" i="21"/>
  <c r="W19" i="21"/>
  <c r="W35" i="21"/>
  <c r="W16" i="21"/>
  <c r="W23" i="21"/>
  <c r="W33" i="21"/>
  <c r="W55" i="21"/>
  <c r="W20" i="21"/>
  <c r="W26" i="21"/>
  <c r="W38" i="21"/>
  <c r="U60" i="21"/>
  <c r="W11" i="21"/>
  <c r="W39" i="21"/>
  <c r="W45" i="21"/>
  <c r="W54" i="21"/>
  <c r="D58" i="21"/>
  <c r="W14" i="21"/>
  <c r="W8" i="21"/>
  <c r="W49" i="21"/>
  <c r="W50" i="21"/>
  <c r="W56" i="21"/>
  <c r="V60" i="21"/>
  <c r="CX43" i="20"/>
  <c r="BB43" i="20"/>
  <c r="EL60" i="2"/>
  <c r="DN68" i="2"/>
  <c r="F574" i="7"/>
  <c r="AW122" i="16"/>
  <c r="AW124" i="16" s="1"/>
  <c r="F584" i="7"/>
  <c r="DB68" i="2"/>
  <c r="AY118" i="16"/>
  <c r="F597" i="7"/>
  <c r="I606" i="7"/>
  <c r="AW62" i="16"/>
  <c r="F560" i="7"/>
  <c r="DE79" i="2"/>
  <c r="I562" i="7"/>
  <c r="I582" i="7" s="1"/>
  <c r="DE68" i="2"/>
  <c r="AU62" i="16"/>
  <c r="F550" i="7" s="1"/>
  <c r="F506" i="7"/>
  <c r="F531" i="7" s="1"/>
  <c r="F533" i="7"/>
  <c r="I543" i="7"/>
  <c r="C489" i="7"/>
  <c r="I529" i="7"/>
  <c r="I546" i="7"/>
  <c r="I547" i="7"/>
  <c r="C491" i="7"/>
  <c r="C496" i="7"/>
  <c r="AQ118" i="16"/>
  <c r="AQ120" i="16" s="1"/>
  <c r="AQ124" i="16" s="1"/>
  <c r="AQ125" i="16" s="1"/>
  <c r="C492" i="7"/>
  <c r="I520" i="7"/>
  <c r="F542" i="7"/>
  <c r="C515" i="7"/>
  <c r="L504" i="7"/>
  <c r="BM90" i="16"/>
  <c r="AS35" i="16" s="1"/>
  <c r="AS37" i="16" s="1"/>
  <c r="H114" i="19" l="1"/>
  <c r="F107" i="19"/>
  <c r="I647" i="7"/>
  <c r="I662" i="7" s="1"/>
  <c r="O22" i="5"/>
  <c r="O37" i="5" s="1"/>
  <c r="D70" i="21"/>
  <c r="DE87" i="2"/>
  <c r="G70" i="21"/>
  <c r="O11" i="5"/>
  <c r="O17" i="5" s="1"/>
  <c r="F637" i="7"/>
  <c r="F662" i="7" s="1"/>
  <c r="F663" i="7" s="1"/>
  <c r="Q45" i="5" s="1"/>
  <c r="DE117" i="2"/>
  <c r="G68" i="21"/>
  <c r="F636" i="7"/>
  <c r="H45" i="5" s="1"/>
  <c r="F110" i="19"/>
  <c r="F113" i="19" s="1"/>
  <c r="F11" i="5"/>
  <c r="F17" i="5" s="1"/>
  <c r="D68" i="21"/>
  <c r="F606" i="7"/>
  <c r="F558" i="7"/>
  <c r="W60" i="21"/>
  <c r="CV50" i="20"/>
  <c r="CR50" i="20"/>
  <c r="CJ50" i="20"/>
  <c r="L607" i="7"/>
  <c r="CN50" i="20"/>
  <c r="F582" i="7"/>
  <c r="AW118" i="16"/>
  <c r="AW125" i="16" s="1"/>
  <c r="C531" i="7"/>
  <c r="AS118" i="16"/>
  <c r="I517" i="7"/>
  <c r="I531" i="7" s="1"/>
  <c r="CV28" i="2"/>
  <c r="CV40" i="2"/>
  <c r="EC40" i="2" s="1"/>
  <c r="CV33" i="2"/>
  <c r="EC33" i="2" s="1"/>
  <c r="CV35" i="2"/>
  <c r="EC35" i="2" s="1"/>
  <c r="CV23" i="2"/>
  <c r="DY55" i="2"/>
  <c r="AX146" i="12"/>
  <c r="AX144" i="12"/>
  <c r="AX149" i="12" s="1"/>
  <c r="AO107" i="16"/>
  <c r="AO23" i="16"/>
  <c r="AK23" i="16"/>
  <c r="AI23" i="16"/>
  <c r="AO34" i="16"/>
  <c r="AO40" i="16"/>
  <c r="AO105" i="16"/>
  <c r="C471" i="7"/>
  <c r="B471" i="7"/>
  <c r="C470" i="7"/>
  <c r="B470" i="7"/>
  <c r="C469" i="7"/>
  <c r="B469" i="7"/>
  <c r="C459" i="7"/>
  <c r="C458" i="7"/>
  <c r="C457" i="7"/>
  <c r="C456" i="7"/>
  <c r="AO87" i="16"/>
  <c r="AO110" i="16"/>
  <c r="BM66" i="16"/>
  <c r="BM26" i="16"/>
  <c r="AX133" i="12"/>
  <c r="C444" i="7"/>
  <c r="C432" i="7"/>
  <c r="C431" i="7"/>
  <c r="C430" i="7"/>
  <c r="C429" i="7"/>
  <c r="C428" i="7"/>
  <c r="AK115" i="16"/>
  <c r="C393" i="7"/>
  <c r="BS39" i="16"/>
  <c r="BR39" i="16"/>
  <c r="C405" i="7"/>
  <c r="C404" i="7"/>
  <c r="C402" i="7"/>
  <c r="C401" i="7"/>
  <c r="CS58" i="2"/>
  <c r="BZ11" i="20" s="1"/>
  <c r="BZ16" i="20" s="1"/>
  <c r="CP58" i="2"/>
  <c r="CM58" i="2"/>
  <c r="BR11" i="20" s="1"/>
  <c r="AO104" i="16"/>
  <c r="AO100" i="16"/>
  <c r="AO93" i="16"/>
  <c r="AO75" i="16"/>
  <c r="AO70" i="16"/>
  <c r="C474" i="7" s="1"/>
  <c r="AO67" i="16"/>
  <c r="AO62" i="16"/>
  <c r="AO57" i="16"/>
  <c r="C465" i="7" s="1"/>
  <c r="AO47" i="16"/>
  <c r="C467" i="7" s="1"/>
  <c r="AO26" i="16"/>
  <c r="AO14" i="16"/>
  <c r="C378" i="7"/>
  <c r="C377" i="7"/>
  <c r="C376" i="7"/>
  <c r="C375" i="7"/>
  <c r="C374" i="7"/>
  <c r="C350" i="7"/>
  <c r="AG22" i="16"/>
  <c r="AG23" i="16" s="1"/>
  <c r="C363" i="7"/>
  <c r="F690" i="7" l="1"/>
  <c r="U45" i="5" s="1"/>
  <c r="L111" i="21" s="1"/>
  <c r="M112" i="21" s="1"/>
  <c r="F114" i="19"/>
  <c r="J116" i="21"/>
  <c r="J120" i="21" s="1"/>
  <c r="EC23" i="2"/>
  <c r="CV76" i="2"/>
  <c r="CW76" i="2" s="1"/>
  <c r="C480" i="7" s="1"/>
  <c r="C427" i="7"/>
  <c r="BV11" i="20"/>
  <c r="BV16" i="20" s="1"/>
  <c r="CJ49" i="20"/>
  <c r="EC28" i="2"/>
  <c r="AS121" i="16"/>
  <c r="AS124" i="16" s="1"/>
  <c r="AS125" i="16" s="1"/>
  <c r="C468" i="7"/>
  <c r="C464" i="7"/>
  <c r="BM70" i="16"/>
  <c r="AO35" i="16" s="1"/>
  <c r="AO37" i="16" s="1"/>
  <c r="C475" i="7"/>
  <c r="C476" i="7"/>
  <c r="C462" i="7"/>
  <c r="AO112" i="16"/>
  <c r="AO109" i="16"/>
  <c r="C461" i="7"/>
  <c r="CV58" i="2"/>
  <c r="CD11" i="20" s="1"/>
  <c r="CD16" i="20" s="1"/>
  <c r="C454" i="7"/>
  <c r="C400" i="7"/>
  <c r="C466" i="7"/>
  <c r="CV82" i="2" l="1"/>
  <c r="C463" i="7"/>
  <c r="C478" i="7" s="1"/>
  <c r="AO118" i="16"/>
  <c r="AM116" i="16"/>
  <c r="C447" i="7" s="1"/>
  <c r="AK116" i="16"/>
  <c r="AI116" i="16"/>
  <c r="AG116" i="16"/>
  <c r="AE116" i="16"/>
  <c r="AC116" i="16"/>
  <c r="AM112" i="16"/>
  <c r="AK112" i="16"/>
  <c r="AI112" i="16"/>
  <c r="AG112" i="16"/>
  <c r="AE112" i="16"/>
  <c r="AC112" i="16"/>
  <c r="AM109" i="16"/>
  <c r="C442" i="7" s="1"/>
  <c r="AK109" i="16"/>
  <c r="AI109" i="16"/>
  <c r="AG109" i="16"/>
  <c r="AE109" i="16"/>
  <c r="AC109" i="16"/>
  <c r="Z109" i="16"/>
  <c r="Z112" i="16" s="1"/>
  <c r="Z116" i="16" s="1"/>
  <c r="X109" i="16"/>
  <c r="X112" i="16" s="1"/>
  <c r="X116" i="16" s="1"/>
  <c r="V109" i="16"/>
  <c r="V112" i="16" s="1"/>
  <c r="V116" i="16" s="1"/>
  <c r="T109" i="16"/>
  <c r="T112" i="16" s="1"/>
  <c r="T116" i="16" s="1"/>
  <c r="R109" i="16"/>
  <c r="R112" i="16" s="1"/>
  <c r="R116" i="16" s="1"/>
  <c r="P109" i="16"/>
  <c r="P112" i="16" s="1"/>
  <c r="P116" i="16" s="1"/>
  <c r="N109" i="16"/>
  <c r="N112" i="16" s="1"/>
  <c r="N116" i="16" s="1"/>
  <c r="L109" i="16"/>
  <c r="L112" i="16" s="1"/>
  <c r="L116" i="16" s="1"/>
  <c r="J109" i="16"/>
  <c r="J112" i="16" s="1"/>
  <c r="J116" i="16" s="1"/>
  <c r="H109" i="16"/>
  <c r="H112" i="16" s="1"/>
  <c r="H116" i="16" s="1"/>
  <c r="F109" i="16"/>
  <c r="F112" i="16" s="1"/>
  <c r="F116" i="16" s="1"/>
  <c r="D109" i="16"/>
  <c r="D112" i="16" s="1"/>
  <c r="D116" i="16" s="1"/>
  <c r="C325" i="7"/>
  <c r="C320" i="7"/>
  <c r="C315" i="7"/>
  <c r="C314" i="7"/>
  <c r="C311" i="7"/>
  <c r="C300" i="7"/>
  <c r="C298" i="7"/>
  <c r="C296" i="7"/>
  <c r="C295" i="7"/>
  <c r="C299" i="7"/>
  <c r="M55" i="8"/>
  <c r="N55" i="8" s="1"/>
  <c r="CS68" i="2"/>
  <c r="AM92" i="16"/>
  <c r="AM93" i="16" s="1"/>
  <c r="AM74" i="16"/>
  <c r="AM75" i="16" s="1"/>
  <c r="AM26" i="16"/>
  <c r="AM17" i="16"/>
  <c r="AM23" i="16" s="1"/>
  <c r="BM62" i="16"/>
  <c r="AM35" i="16" s="1"/>
  <c r="AM37" i="16" s="1"/>
  <c r="BM46" i="16"/>
  <c r="AI35" i="16" s="1"/>
  <c r="AI37" i="16" s="1"/>
  <c r="BM54" i="16"/>
  <c r="AK35" i="16" s="1"/>
  <c r="AI76" i="16"/>
  <c r="AI87" i="16" s="1"/>
  <c r="AI41" i="16"/>
  <c r="AI47" i="16" s="1"/>
  <c r="AM104" i="16"/>
  <c r="AM100" i="16"/>
  <c r="C446" i="7" s="1"/>
  <c r="AM87" i="16"/>
  <c r="AM70" i="16"/>
  <c r="AM67" i="16"/>
  <c r="AM62" i="16"/>
  <c r="AM57" i="16"/>
  <c r="AM47" i="16"/>
  <c r="AM40" i="16"/>
  <c r="AM34" i="16"/>
  <c r="AM14" i="16"/>
  <c r="AK104" i="16"/>
  <c r="AK100" i="16"/>
  <c r="AK93" i="16"/>
  <c r="AK87" i="16"/>
  <c r="AK75" i="16"/>
  <c r="AK70" i="16"/>
  <c r="C421" i="7" s="1"/>
  <c r="AK67" i="16"/>
  <c r="AK62" i="16"/>
  <c r="AK57" i="16"/>
  <c r="AK47" i="16"/>
  <c r="AK40" i="16"/>
  <c r="AK34" i="16"/>
  <c r="AK26" i="16"/>
  <c r="AK14" i="16"/>
  <c r="AI14" i="16"/>
  <c r="AI26" i="16"/>
  <c r="AI34" i="16"/>
  <c r="AI40" i="16"/>
  <c r="AI57" i="16"/>
  <c r="AI62" i="16"/>
  <c r="C390" i="7" s="1"/>
  <c r="AI67" i="16"/>
  <c r="AI70" i="16"/>
  <c r="AI75" i="16"/>
  <c r="AI93" i="16"/>
  <c r="AI100" i="16"/>
  <c r="AI104" i="16"/>
  <c r="D26" i="8"/>
  <c r="DY8" i="2"/>
  <c r="CP68" i="2"/>
  <c r="CJ58" i="2"/>
  <c r="BN11" i="20" s="1"/>
  <c r="BN16" i="20" s="1"/>
  <c r="CG58" i="2"/>
  <c r="BJ11" i="20" s="1"/>
  <c r="BJ16" i="20" s="1"/>
  <c r="AE35" i="16"/>
  <c r="AE37" i="16" s="1"/>
  <c r="BM13" i="16"/>
  <c r="AC35" i="16" s="1"/>
  <c r="AC37" i="16" s="1"/>
  <c r="BH90" i="16"/>
  <c r="X35" i="16" s="1"/>
  <c r="X37" i="16" s="1"/>
  <c r="BH82" i="16"/>
  <c r="V35" i="16" s="1"/>
  <c r="V37" i="16" s="1"/>
  <c r="AG75" i="16"/>
  <c r="AG99" i="16"/>
  <c r="BM34" i="16"/>
  <c r="BM37" i="16" s="1"/>
  <c r="AE94" i="16"/>
  <c r="AE100" i="16" s="1"/>
  <c r="AG79" i="16"/>
  <c r="AG87" i="16" s="1"/>
  <c r="AE31" i="16"/>
  <c r="AE34" i="16" s="1"/>
  <c r="AC40" i="16"/>
  <c r="AC87" i="16"/>
  <c r="AC30" i="16"/>
  <c r="AC34" i="16" s="1"/>
  <c r="C306" i="7" s="1"/>
  <c r="AC49" i="16"/>
  <c r="AC57" i="16" s="1"/>
  <c r="AG104" i="16"/>
  <c r="AE104" i="16"/>
  <c r="C334" i="7" s="1"/>
  <c r="AC104" i="16"/>
  <c r="C309" i="7" s="1"/>
  <c r="Z104" i="16"/>
  <c r="X104" i="16"/>
  <c r="V104" i="16"/>
  <c r="T104" i="16"/>
  <c r="R104" i="16"/>
  <c r="P104" i="16"/>
  <c r="N104" i="16"/>
  <c r="L104" i="16"/>
  <c r="J104" i="16"/>
  <c r="H104" i="16"/>
  <c r="F104" i="16"/>
  <c r="D104" i="16"/>
  <c r="AC100" i="16"/>
  <c r="C313" i="7" s="1"/>
  <c r="Z100" i="16"/>
  <c r="X100" i="16"/>
  <c r="V100" i="16"/>
  <c r="T100" i="16"/>
  <c r="R100" i="16"/>
  <c r="P100" i="16"/>
  <c r="N100" i="16"/>
  <c r="L100" i="16"/>
  <c r="H100" i="16"/>
  <c r="F100" i="16"/>
  <c r="D100" i="16"/>
  <c r="BH98" i="16"/>
  <c r="Z35" i="16" s="1"/>
  <c r="Z37" i="16" s="1"/>
  <c r="J98" i="16"/>
  <c r="AG93" i="16"/>
  <c r="AE93" i="16"/>
  <c r="AC93" i="16"/>
  <c r="C312" i="7" s="1"/>
  <c r="Z93" i="16"/>
  <c r="X93" i="16"/>
  <c r="V93" i="16"/>
  <c r="T93" i="16"/>
  <c r="R93" i="16"/>
  <c r="P93" i="16"/>
  <c r="L93" i="16"/>
  <c r="J93" i="16"/>
  <c r="H93" i="16"/>
  <c r="F93" i="16"/>
  <c r="D93" i="16"/>
  <c r="N92" i="16"/>
  <c r="N90" i="16"/>
  <c r="N88" i="16"/>
  <c r="AE87" i="16"/>
  <c r="Z87" i="16"/>
  <c r="V87" i="16"/>
  <c r="T87" i="16"/>
  <c r="R87" i="16"/>
  <c r="P87" i="16"/>
  <c r="N87" i="16"/>
  <c r="L87" i="16"/>
  <c r="J87" i="16"/>
  <c r="H87" i="16"/>
  <c r="F87" i="16"/>
  <c r="D87" i="16"/>
  <c r="X85" i="16"/>
  <c r="X87" i="16" s="1"/>
  <c r="AE75" i="16"/>
  <c r="AC75" i="16"/>
  <c r="C310" i="7" s="1"/>
  <c r="Z75" i="16"/>
  <c r="V75" i="16"/>
  <c r="T75" i="16"/>
  <c r="R75" i="16"/>
  <c r="N75" i="16"/>
  <c r="L75" i="16"/>
  <c r="J75" i="16"/>
  <c r="H75" i="16"/>
  <c r="F75" i="16"/>
  <c r="D75" i="16"/>
  <c r="BH74" i="16"/>
  <c r="T35" i="16" s="1"/>
  <c r="T37" i="16" s="1"/>
  <c r="P74" i="16"/>
  <c r="P75" i="16" s="1"/>
  <c r="X71" i="16"/>
  <c r="X75" i="16" s="1"/>
  <c r="AG70" i="16"/>
  <c r="AE70" i="16"/>
  <c r="AC70" i="16"/>
  <c r="Z70" i="16"/>
  <c r="X70" i="16"/>
  <c r="V70" i="16"/>
  <c r="T70" i="16"/>
  <c r="R70" i="16"/>
  <c r="P70" i="16"/>
  <c r="N70" i="16"/>
  <c r="L70" i="16"/>
  <c r="J70" i="16"/>
  <c r="H70" i="16"/>
  <c r="F70" i="16"/>
  <c r="D70" i="16"/>
  <c r="AG67" i="16"/>
  <c r="AE67" i="16"/>
  <c r="AC67" i="16"/>
  <c r="X67" i="16"/>
  <c r="V67" i="16"/>
  <c r="T67" i="16"/>
  <c r="R67" i="16"/>
  <c r="P67" i="16"/>
  <c r="N67" i="16"/>
  <c r="L67" i="16"/>
  <c r="J67" i="16"/>
  <c r="H67" i="16"/>
  <c r="F67" i="16"/>
  <c r="D67" i="16"/>
  <c r="Z63" i="16"/>
  <c r="Z67" i="16" s="1"/>
  <c r="AG62" i="16"/>
  <c r="AE62" i="16"/>
  <c r="AC62" i="16"/>
  <c r="X62" i="16"/>
  <c r="V62" i="16"/>
  <c r="P62" i="16"/>
  <c r="N62" i="16"/>
  <c r="L62" i="16"/>
  <c r="J62" i="16"/>
  <c r="H62" i="16"/>
  <c r="F62" i="16"/>
  <c r="D62" i="16"/>
  <c r="T61" i="16"/>
  <c r="T62" i="16" s="1"/>
  <c r="R61" i="16"/>
  <c r="R62" i="16" s="1"/>
  <c r="BH60" i="16"/>
  <c r="BH66" i="16" s="1"/>
  <c r="R35" i="16" s="1"/>
  <c r="R37" i="16" s="1"/>
  <c r="Z59" i="16"/>
  <c r="Z58" i="16"/>
  <c r="AG57" i="16"/>
  <c r="AE57" i="16"/>
  <c r="Z57" i="16"/>
  <c r="X57" i="16"/>
  <c r="V57" i="16"/>
  <c r="R57" i="16"/>
  <c r="P57" i="16"/>
  <c r="L57" i="16"/>
  <c r="J57" i="16"/>
  <c r="H57" i="16"/>
  <c r="F57" i="16"/>
  <c r="BH56" i="16"/>
  <c r="P35" i="16" s="1"/>
  <c r="P37" i="16" s="1"/>
  <c r="D50" i="16"/>
  <c r="D57" i="16" s="1"/>
  <c r="BH49" i="16"/>
  <c r="N35" i="16" s="1"/>
  <c r="N37" i="16" s="1"/>
  <c r="T49" i="16"/>
  <c r="T57" i="16" s="1"/>
  <c r="N49" i="16"/>
  <c r="N57" i="16" s="1"/>
  <c r="AG47" i="16"/>
  <c r="AE47" i="16"/>
  <c r="AC47" i="16"/>
  <c r="V47" i="16"/>
  <c r="T47" i="16"/>
  <c r="R47" i="16"/>
  <c r="P47" i="16"/>
  <c r="N47" i="16"/>
  <c r="L47" i="16"/>
  <c r="J47" i="16"/>
  <c r="H47" i="16"/>
  <c r="F47" i="16"/>
  <c r="D47" i="16"/>
  <c r="BH42" i="16"/>
  <c r="L35" i="16" s="1"/>
  <c r="L37" i="16" s="1"/>
  <c r="Z42" i="16"/>
  <c r="Z47" i="16" s="1"/>
  <c r="X42" i="16"/>
  <c r="X47" i="16" s="1"/>
  <c r="AG40" i="16"/>
  <c r="AE40" i="16"/>
  <c r="Z40" i="16"/>
  <c r="X40" i="16"/>
  <c r="V40" i="16"/>
  <c r="T40" i="16"/>
  <c r="R40" i="16"/>
  <c r="P40" i="16"/>
  <c r="N40" i="16"/>
  <c r="L40" i="16"/>
  <c r="J40" i="16"/>
  <c r="H40" i="16"/>
  <c r="F40" i="16"/>
  <c r="D40" i="16"/>
  <c r="BH36" i="16"/>
  <c r="J35" i="16" s="1"/>
  <c r="J37" i="16" s="1"/>
  <c r="AG34" i="16"/>
  <c r="X34" i="16"/>
  <c r="V34" i="16"/>
  <c r="T34" i="16"/>
  <c r="R34" i="16"/>
  <c r="P34" i="16"/>
  <c r="N34" i="16"/>
  <c r="J34" i="16"/>
  <c r="H34" i="16"/>
  <c r="F34" i="16"/>
  <c r="D34" i="16"/>
  <c r="BH29" i="16"/>
  <c r="H35" i="16" s="1"/>
  <c r="H37" i="16" s="1"/>
  <c r="L28" i="16"/>
  <c r="L34" i="16" s="1"/>
  <c r="Z27" i="16"/>
  <c r="Z34" i="16" s="1"/>
  <c r="AG26" i="16"/>
  <c r="AE26" i="16"/>
  <c r="AC26" i="16"/>
  <c r="Z26" i="16"/>
  <c r="X26" i="16"/>
  <c r="V26" i="16"/>
  <c r="T26" i="16"/>
  <c r="R26" i="16"/>
  <c r="P26" i="16"/>
  <c r="N26" i="16"/>
  <c r="L26" i="16"/>
  <c r="J26" i="16"/>
  <c r="H26" i="16"/>
  <c r="F26" i="16"/>
  <c r="D26" i="16"/>
  <c r="AE23" i="16"/>
  <c r="AC23" i="16"/>
  <c r="X23" i="16"/>
  <c r="V23" i="16"/>
  <c r="T23" i="16"/>
  <c r="R23" i="16"/>
  <c r="P23" i="16"/>
  <c r="N23" i="16"/>
  <c r="L23" i="16"/>
  <c r="J23" i="16"/>
  <c r="H23" i="16"/>
  <c r="F23" i="16"/>
  <c r="D23" i="16"/>
  <c r="Z21" i="16"/>
  <c r="Z23" i="16" s="1"/>
  <c r="BH20" i="16"/>
  <c r="F37" i="16" s="1"/>
  <c r="AG14" i="16"/>
  <c r="AE14" i="16"/>
  <c r="AC14" i="16"/>
  <c r="C302" i="7" s="1"/>
  <c r="Z14" i="16"/>
  <c r="X14" i="16"/>
  <c r="V14" i="16"/>
  <c r="T14" i="16"/>
  <c r="R14" i="16"/>
  <c r="P14" i="16"/>
  <c r="N14" i="16"/>
  <c r="L14" i="16"/>
  <c r="J14" i="16"/>
  <c r="H14" i="16"/>
  <c r="F14" i="16"/>
  <c r="D14" i="16"/>
  <c r="BH12" i="16"/>
  <c r="D35" i="16" s="1"/>
  <c r="D37" i="16" s="1"/>
  <c r="AX132" i="12"/>
  <c r="AX129" i="12"/>
  <c r="AX139" i="12" s="1"/>
  <c r="DY9" i="2"/>
  <c r="CD9" i="2"/>
  <c r="EC9" i="2" s="1"/>
  <c r="C288" i="7"/>
  <c r="C282" i="7"/>
  <c r="C281" i="7"/>
  <c r="C237" i="7"/>
  <c r="I59" i="8"/>
  <c r="CA58" i="2"/>
  <c r="AX116" i="12"/>
  <c r="AX105" i="12"/>
  <c r="AX89" i="12"/>
  <c r="C263" i="7"/>
  <c r="C245" i="7"/>
  <c r="D9" i="13"/>
  <c r="P9" i="13"/>
  <c r="P7" i="13"/>
  <c r="P5" i="13"/>
  <c r="K9" i="13"/>
  <c r="K7" i="13"/>
  <c r="E76" i="8"/>
  <c r="G76" i="8" s="1"/>
  <c r="Z41" i="15"/>
  <c r="Z46" i="15" s="1"/>
  <c r="Z62" i="15"/>
  <c r="Z66" i="15" s="1"/>
  <c r="Z58" i="15"/>
  <c r="Z57" i="15"/>
  <c r="Z25" i="15"/>
  <c r="Z14" i="15"/>
  <c r="Z26" i="15"/>
  <c r="Z33" i="15" s="1"/>
  <c r="AF97" i="15"/>
  <c r="Z34" i="15" s="1"/>
  <c r="Z36" i="15" s="1"/>
  <c r="AF89" i="15"/>
  <c r="X34" i="15" s="1"/>
  <c r="X36" i="15" s="1"/>
  <c r="X41" i="15"/>
  <c r="X46" i="15" s="1"/>
  <c r="C256" i="7" s="1"/>
  <c r="Z21" i="15"/>
  <c r="Z22" i="15" s="1"/>
  <c r="C274" i="7" s="1"/>
  <c r="Z103" i="15"/>
  <c r="Z99" i="15"/>
  <c r="Z92" i="15"/>
  <c r="Z86" i="15"/>
  <c r="C277" i="7" s="1"/>
  <c r="Z74" i="15"/>
  <c r="C283" i="7" s="1"/>
  <c r="Z69" i="15"/>
  <c r="Z56" i="15"/>
  <c r="C278" i="7" s="1"/>
  <c r="Z39" i="15"/>
  <c r="X70" i="15"/>
  <c r="X74" i="15" s="1"/>
  <c r="X84" i="15"/>
  <c r="X86" i="15" s="1"/>
  <c r="C253" i="7" s="1"/>
  <c r="BQ65" i="2"/>
  <c r="C225" i="7" s="1"/>
  <c r="C239" i="7"/>
  <c r="C234" i="7"/>
  <c r="T139" i="12"/>
  <c r="Y139" i="12"/>
  <c r="AH139" i="12"/>
  <c r="AT123" i="12"/>
  <c r="AT139" i="12" s="1"/>
  <c r="AF81" i="15"/>
  <c r="V34" i="15" s="1"/>
  <c r="V36" i="15" s="1"/>
  <c r="X103" i="15"/>
  <c r="X99" i="15"/>
  <c r="X92" i="15"/>
  <c r="X69" i="15"/>
  <c r="X66" i="15"/>
  <c r="X61" i="15"/>
  <c r="X56" i="15"/>
  <c r="C254" i="7" s="1"/>
  <c r="X39" i="15"/>
  <c r="C257" i="7" s="1"/>
  <c r="X33" i="15"/>
  <c r="X25" i="15"/>
  <c r="X22" i="15"/>
  <c r="X14" i="15"/>
  <c r="T22" i="15"/>
  <c r="T25" i="15"/>
  <c r="T33" i="15"/>
  <c r="C207" i="7" s="1"/>
  <c r="T103" i="15"/>
  <c r="C210" i="7"/>
  <c r="C188" i="7"/>
  <c r="C191" i="7"/>
  <c r="C184" i="7"/>
  <c r="BK58" i="2"/>
  <c r="V103" i="15"/>
  <c r="V99" i="15"/>
  <c r="V92" i="15"/>
  <c r="V86" i="15"/>
  <c r="V74" i="15"/>
  <c r="V69" i="15"/>
  <c r="V66" i="15"/>
  <c r="V61" i="15"/>
  <c r="V56" i="15"/>
  <c r="V46" i="15"/>
  <c r="V39" i="15"/>
  <c r="C233" i="7" s="1"/>
  <c r="V33" i="15"/>
  <c r="V25" i="15"/>
  <c r="V22" i="15"/>
  <c r="V14" i="15"/>
  <c r="AF73" i="15"/>
  <c r="T34" i="15" s="1"/>
  <c r="T36" i="15" s="1"/>
  <c r="C204" i="7" s="1"/>
  <c r="R86" i="15"/>
  <c r="P66" i="15"/>
  <c r="T66" i="15"/>
  <c r="N66" i="15"/>
  <c r="R66" i="15"/>
  <c r="T60" i="15"/>
  <c r="T61" i="15" s="1"/>
  <c r="T48" i="15"/>
  <c r="T56" i="15" s="1"/>
  <c r="C206" i="7" s="1"/>
  <c r="T99" i="15"/>
  <c r="T92" i="15"/>
  <c r="T86" i="15"/>
  <c r="C205" i="7" s="1"/>
  <c r="T74" i="15"/>
  <c r="C211" i="7" s="1"/>
  <c r="T69" i="15"/>
  <c r="T46" i="15"/>
  <c r="C208" i="7" s="1"/>
  <c r="T39" i="15"/>
  <c r="C209" i="7" s="1"/>
  <c r="T14" i="15"/>
  <c r="C203" i="7" s="1"/>
  <c r="R60" i="15"/>
  <c r="R61" i="15" s="1"/>
  <c r="AF59" i="15"/>
  <c r="AF65" i="15" s="1"/>
  <c r="R103" i="15"/>
  <c r="R99" i="15"/>
  <c r="R92" i="15"/>
  <c r="R74" i="15"/>
  <c r="C185" i="7" s="1"/>
  <c r="R69" i="15"/>
  <c r="R56" i="15"/>
  <c r="R46" i="15"/>
  <c r="C182" i="7" s="1"/>
  <c r="R39" i="15"/>
  <c r="C183" i="7" s="1"/>
  <c r="R33" i="15"/>
  <c r="R25" i="15"/>
  <c r="R22" i="15"/>
  <c r="R14" i="15"/>
  <c r="DT44" i="2"/>
  <c r="DZ44" i="2"/>
  <c r="DY44" i="2"/>
  <c r="BW16" i="2"/>
  <c r="BW62" i="2"/>
  <c r="BW53" i="2"/>
  <c r="BW43" i="2"/>
  <c r="AT145" i="12"/>
  <c r="AT143" i="12"/>
  <c r="AT149" i="12" s="1"/>
  <c r="C270" i="7" l="1"/>
  <c r="AX13" i="20"/>
  <c r="C294" i="7"/>
  <c r="BB11" i="20"/>
  <c r="C170" i="7"/>
  <c r="AH11" i="20"/>
  <c r="AH16" i="20" s="1"/>
  <c r="CW82" i="2"/>
  <c r="DE121" i="2"/>
  <c r="DE125" i="2" s="1"/>
  <c r="F480" i="7"/>
  <c r="F504" i="7" s="1"/>
  <c r="CA63" i="2"/>
  <c r="AX151" i="12"/>
  <c r="CD58" i="2"/>
  <c r="CJ68" i="2"/>
  <c r="C373" i="7"/>
  <c r="C412" i="7"/>
  <c r="C410" i="7"/>
  <c r="C438" i="7"/>
  <c r="C445" i="7"/>
  <c r="C440" i="7"/>
  <c r="C414" i="7"/>
  <c r="C418" i="7"/>
  <c r="C366" i="7"/>
  <c r="C413" i="7"/>
  <c r="C411" i="7"/>
  <c r="C415" i="7"/>
  <c r="C420" i="7"/>
  <c r="C407" i="7"/>
  <c r="C443" i="7"/>
  <c r="AI118" i="16"/>
  <c r="C435" i="7"/>
  <c r="C437" i="7"/>
  <c r="C408" i="7"/>
  <c r="C439" i="7"/>
  <c r="C434" i="7"/>
  <c r="C441" i="7"/>
  <c r="C436" i="7"/>
  <c r="AM118" i="16"/>
  <c r="AX141" i="12"/>
  <c r="CG68" i="2"/>
  <c r="C346" i="7"/>
  <c r="C362" i="7"/>
  <c r="C384" i="7"/>
  <c r="C386" i="7"/>
  <c r="C380" i="7"/>
  <c r="C367" i="7"/>
  <c r="C388" i="7"/>
  <c r="C387" i="7"/>
  <c r="C383" i="7"/>
  <c r="C359" i="7"/>
  <c r="C358" i="7"/>
  <c r="C382" i="7"/>
  <c r="C354" i="7"/>
  <c r="C360" i="7"/>
  <c r="C357" i="7"/>
  <c r="C392" i="7"/>
  <c r="C385" i="7"/>
  <c r="C361" i="7"/>
  <c r="C381" i="7"/>
  <c r="C356" i="7"/>
  <c r="AG100" i="16"/>
  <c r="C394" i="7"/>
  <c r="C327" i="7"/>
  <c r="C329" i="7"/>
  <c r="C328" i="7"/>
  <c r="C353" i="7"/>
  <c r="C338" i="7"/>
  <c r="C335" i="7"/>
  <c r="C342" i="7"/>
  <c r="C341" i="7"/>
  <c r="C333" i="7"/>
  <c r="C332" i="7"/>
  <c r="C330" i="7"/>
  <c r="AE118" i="16"/>
  <c r="C331" i="7"/>
  <c r="AC118" i="16"/>
  <c r="C326" i="7"/>
  <c r="C304" i="7"/>
  <c r="C301" i="7"/>
  <c r="C303" i="7"/>
  <c r="C305" i="7"/>
  <c r="C307" i="7"/>
  <c r="C308" i="7"/>
  <c r="O55" i="8"/>
  <c r="N93" i="16"/>
  <c r="N118" i="16" s="1"/>
  <c r="Z62" i="16"/>
  <c r="Z118" i="16" s="1"/>
  <c r="L118" i="16"/>
  <c r="R118" i="16"/>
  <c r="F118" i="16"/>
  <c r="H118" i="16"/>
  <c r="F35" i="16"/>
  <c r="V118" i="16"/>
  <c r="AG35" i="16"/>
  <c r="AG37" i="16" s="1"/>
  <c r="AG118" i="16" s="1"/>
  <c r="EC58" i="2"/>
  <c r="C227" i="7"/>
  <c r="C229" i="7"/>
  <c r="C259" i="7"/>
  <c r="C230" i="7"/>
  <c r="C251" i="7"/>
  <c r="C226" i="7"/>
  <c r="Z61" i="15"/>
  <c r="C202" i="7"/>
  <c r="C192" i="7"/>
  <c r="C280" i="7"/>
  <c r="D118" i="16"/>
  <c r="T118" i="16"/>
  <c r="X118" i="16"/>
  <c r="P118" i="16"/>
  <c r="C228" i="7"/>
  <c r="C279" i="7"/>
  <c r="C252" i="7"/>
  <c r="C250" i="7"/>
  <c r="C216" i="7"/>
  <c r="C232" i="7"/>
  <c r="C231" i="7"/>
  <c r="C179" i="7"/>
  <c r="C255" i="7"/>
  <c r="C275" i="7"/>
  <c r="C176" i="7"/>
  <c r="C276" i="7"/>
  <c r="C284" i="7"/>
  <c r="C235" i="7"/>
  <c r="C287" i="7"/>
  <c r="EB58" i="2"/>
  <c r="BK68" i="2"/>
  <c r="Z104" i="15"/>
  <c r="X104" i="15"/>
  <c r="C180" i="7"/>
  <c r="C181" i="7"/>
  <c r="T104" i="15"/>
  <c r="V104" i="15"/>
  <c r="DX57" i="2"/>
  <c r="DY61" i="2"/>
  <c r="DZ56" i="2"/>
  <c r="DZ55" i="2"/>
  <c r="DZ54" i="2"/>
  <c r="DY56" i="2"/>
  <c r="DY54" i="2"/>
  <c r="DY53" i="2"/>
  <c r="DZ51" i="2"/>
  <c r="DZ49" i="2"/>
  <c r="DZ48" i="2"/>
  <c r="DY51" i="2"/>
  <c r="DY50" i="2"/>
  <c r="DY49" i="2"/>
  <c r="DY48" i="2"/>
  <c r="DZ46" i="2"/>
  <c r="DZ45" i="2"/>
  <c r="DY46" i="2"/>
  <c r="DY45" i="2"/>
  <c r="DY43" i="2"/>
  <c r="DZ41" i="2"/>
  <c r="DZ40" i="2"/>
  <c r="DZ39" i="2"/>
  <c r="DZ38" i="2"/>
  <c r="DY41" i="2"/>
  <c r="DY40" i="2"/>
  <c r="DY39" i="2"/>
  <c r="DY38" i="2"/>
  <c r="DZ36" i="2"/>
  <c r="DZ35" i="2"/>
  <c r="DZ34" i="2"/>
  <c r="DZ33" i="2"/>
  <c r="DY36" i="2"/>
  <c r="DY35" i="2"/>
  <c r="DY34" i="2"/>
  <c r="DY33" i="2"/>
  <c r="DZ31" i="2"/>
  <c r="DZ30" i="2"/>
  <c r="DZ28" i="2"/>
  <c r="DY31" i="2"/>
  <c r="DY30" i="2"/>
  <c r="DY29" i="2"/>
  <c r="DY28" i="2"/>
  <c r="BW24" i="2"/>
  <c r="DZ24" i="2" s="1"/>
  <c r="DY24" i="2"/>
  <c r="DZ25" i="2"/>
  <c r="DZ23" i="2"/>
  <c r="DY26" i="2"/>
  <c r="DY25" i="2"/>
  <c r="DY23" i="2"/>
  <c r="DZ21" i="2"/>
  <c r="DZ20" i="2"/>
  <c r="DZ19" i="2"/>
  <c r="DZ18" i="2"/>
  <c r="DY21" i="2"/>
  <c r="DY20" i="2"/>
  <c r="DY19" i="2"/>
  <c r="DY18" i="2"/>
  <c r="DZ16" i="2"/>
  <c r="DZ15" i="2"/>
  <c r="DZ14" i="2"/>
  <c r="DZ13" i="2"/>
  <c r="DY16" i="2"/>
  <c r="DY15" i="2"/>
  <c r="DY14" i="2"/>
  <c r="DY13" i="2"/>
  <c r="DZ11" i="2"/>
  <c r="DZ10" i="2"/>
  <c r="DY11" i="2"/>
  <c r="DY10" i="2"/>
  <c r="BT58" i="2"/>
  <c r="AT11" i="20" s="1"/>
  <c r="AT16" i="20" s="1"/>
  <c r="AT116" i="12"/>
  <c r="AT105" i="12"/>
  <c r="AT89" i="12"/>
  <c r="DT24" i="2"/>
  <c r="DU24" i="2"/>
  <c r="DU61" i="2"/>
  <c r="DT61" i="2"/>
  <c r="BN9" i="2"/>
  <c r="AP145" i="12"/>
  <c r="AP143" i="12"/>
  <c r="AP149" i="12" s="1"/>
  <c r="C165" i="7"/>
  <c r="D74" i="15"/>
  <c r="F74" i="15"/>
  <c r="H74" i="15"/>
  <c r="J74" i="15"/>
  <c r="L74" i="15"/>
  <c r="C112" i="7" s="1"/>
  <c r="N74" i="15"/>
  <c r="C151" i="7"/>
  <c r="C150" i="7"/>
  <c r="C148" i="7"/>
  <c r="C147" i="7"/>
  <c r="AF48" i="15"/>
  <c r="N34" i="15" s="1"/>
  <c r="N36" i="15" s="1"/>
  <c r="AF55" i="15"/>
  <c r="C142" i="7"/>
  <c r="L66" i="15"/>
  <c r="N87" i="15"/>
  <c r="C91" i="7"/>
  <c r="C78" i="7"/>
  <c r="C77" i="7"/>
  <c r="C75" i="7"/>
  <c r="C74" i="7"/>
  <c r="C93" i="7"/>
  <c r="AF20" i="15"/>
  <c r="AF12" i="15"/>
  <c r="D34" i="15" s="1"/>
  <c r="D36" i="15" s="1"/>
  <c r="D21" i="8"/>
  <c r="D22" i="8"/>
  <c r="D25" i="8"/>
  <c r="BQ63" i="2" s="1"/>
  <c r="AP14" i="20" s="1"/>
  <c r="D24" i="8"/>
  <c r="BH63" i="2" s="1"/>
  <c r="AD14" i="20" s="1"/>
  <c r="DU30" i="2"/>
  <c r="F86" i="15"/>
  <c r="D86" i="15"/>
  <c r="H86" i="15"/>
  <c r="J86" i="15"/>
  <c r="C82" i="7" s="1"/>
  <c r="L86" i="15"/>
  <c r="N86" i="15"/>
  <c r="C130" i="7" s="1"/>
  <c r="P86" i="15"/>
  <c r="AF28" i="15"/>
  <c r="H34" i="15" s="1"/>
  <c r="AF35" i="15"/>
  <c r="AF41" i="15"/>
  <c r="L25" i="15"/>
  <c r="L22" i="15"/>
  <c r="L14" i="15"/>
  <c r="P73" i="15"/>
  <c r="P74" i="15" s="1"/>
  <c r="C161" i="7" s="1"/>
  <c r="N91" i="15"/>
  <c r="N89" i="15"/>
  <c r="N48" i="15"/>
  <c r="N56" i="15" s="1"/>
  <c r="C131" i="7" s="1"/>
  <c r="P103" i="15"/>
  <c r="C160" i="7" s="1"/>
  <c r="P99" i="15"/>
  <c r="C164" i="7" s="1"/>
  <c r="P92" i="15"/>
  <c r="C163" i="7" s="1"/>
  <c r="P69" i="15"/>
  <c r="C166" i="7" s="1"/>
  <c r="P61" i="15"/>
  <c r="C162" i="7" s="1"/>
  <c r="P56" i="15"/>
  <c r="P46" i="15"/>
  <c r="C158" i="7" s="1"/>
  <c r="P39" i="15"/>
  <c r="P33" i="15"/>
  <c r="C157" i="7" s="1"/>
  <c r="P25" i="15"/>
  <c r="P22" i="15"/>
  <c r="P14" i="15"/>
  <c r="C153" i="7" s="1"/>
  <c r="N103" i="15"/>
  <c r="C135" i="7" s="1"/>
  <c r="L103" i="15"/>
  <c r="C111" i="7" s="1"/>
  <c r="J103" i="15"/>
  <c r="C87" i="7" s="1"/>
  <c r="H103" i="15"/>
  <c r="F103" i="15"/>
  <c r="D103" i="15"/>
  <c r="N99" i="15"/>
  <c r="L99" i="15"/>
  <c r="C114" i="7" s="1"/>
  <c r="H99" i="15"/>
  <c r="F99" i="15"/>
  <c r="D99" i="15"/>
  <c r="J97" i="15"/>
  <c r="L92" i="15"/>
  <c r="J92" i="15"/>
  <c r="H92" i="15"/>
  <c r="F92" i="15"/>
  <c r="D92" i="15"/>
  <c r="C136" i="7"/>
  <c r="N69" i="15"/>
  <c r="L69" i="15"/>
  <c r="J69" i="15"/>
  <c r="H69" i="15"/>
  <c r="F69" i="15"/>
  <c r="D69" i="15"/>
  <c r="J66" i="15"/>
  <c r="H66" i="15"/>
  <c r="F66" i="15"/>
  <c r="D66" i="15"/>
  <c r="N61" i="15"/>
  <c r="L61" i="15"/>
  <c r="J61" i="15"/>
  <c r="H61" i="15"/>
  <c r="F61" i="15"/>
  <c r="D61" i="15"/>
  <c r="L56" i="15"/>
  <c r="C107" i="7" s="1"/>
  <c r="J56" i="15"/>
  <c r="C83" i="7" s="1"/>
  <c r="H56" i="15"/>
  <c r="F56" i="15"/>
  <c r="D49" i="15"/>
  <c r="D56" i="15" s="1"/>
  <c r="N46" i="15"/>
  <c r="C133" i="7" s="1"/>
  <c r="L46" i="15"/>
  <c r="C109" i="7" s="1"/>
  <c r="J46" i="15"/>
  <c r="H46" i="15"/>
  <c r="F46" i="15"/>
  <c r="D46" i="15"/>
  <c r="N39" i="15"/>
  <c r="C134" i="7" s="1"/>
  <c r="L39" i="15"/>
  <c r="J39" i="15"/>
  <c r="H39" i="15"/>
  <c r="F39" i="15"/>
  <c r="D39" i="15"/>
  <c r="N33" i="15"/>
  <c r="C132" i="7" s="1"/>
  <c r="J33" i="15"/>
  <c r="H33" i="15"/>
  <c r="F33" i="15"/>
  <c r="D33" i="15"/>
  <c r="L27" i="15"/>
  <c r="L33" i="15" s="1"/>
  <c r="C108" i="7" s="1"/>
  <c r="N25" i="15"/>
  <c r="J25" i="15"/>
  <c r="H25" i="15"/>
  <c r="F25" i="15"/>
  <c r="D25" i="15"/>
  <c r="N22" i="15"/>
  <c r="J22" i="15"/>
  <c r="H22" i="15"/>
  <c r="F22" i="15"/>
  <c r="D22" i="15"/>
  <c r="N14" i="15"/>
  <c r="J14" i="15"/>
  <c r="H14" i="15"/>
  <c r="F14" i="15"/>
  <c r="D14" i="15"/>
  <c r="Z103" i="3"/>
  <c r="Z68" i="3"/>
  <c r="X103" i="3"/>
  <c r="X68" i="3"/>
  <c r="R62" i="3"/>
  <c r="N62" i="3"/>
  <c r="R103" i="3"/>
  <c r="P103" i="3"/>
  <c r="AB103" i="3"/>
  <c r="AD103" i="3"/>
  <c r="AF103" i="3"/>
  <c r="V103" i="3"/>
  <c r="T103" i="3"/>
  <c r="N103" i="3"/>
  <c r="N34" i="3"/>
  <c r="L57" i="3"/>
  <c r="L62" i="3"/>
  <c r="L40" i="3"/>
  <c r="L34" i="3"/>
  <c r="L26" i="3"/>
  <c r="D69" i="3"/>
  <c r="AR62" i="3"/>
  <c r="L35" i="3" s="1"/>
  <c r="L37" i="3" s="1"/>
  <c r="C319" i="7" l="1"/>
  <c r="C344" i="7" s="1"/>
  <c r="BF11" i="20"/>
  <c r="BF16" i="20" s="1"/>
  <c r="CX11" i="20"/>
  <c r="CA68" i="2"/>
  <c r="BB14" i="20"/>
  <c r="BB16" i="20" s="1"/>
  <c r="F607" i="7"/>
  <c r="CV51" i="20"/>
  <c r="CF51" i="20"/>
  <c r="CR51" i="20"/>
  <c r="CJ51" i="20"/>
  <c r="CN51" i="20"/>
  <c r="C297" i="7"/>
  <c r="C317" i="7" s="1"/>
  <c r="AT141" i="12"/>
  <c r="AT151" i="12"/>
  <c r="CD68" i="2"/>
  <c r="C452" i="7"/>
  <c r="C398" i="7"/>
  <c r="C365" i="7"/>
  <c r="C355" i="7"/>
  <c r="C223" i="7"/>
  <c r="BT68" i="2"/>
  <c r="C244" i="7"/>
  <c r="C266" i="7" s="1"/>
  <c r="DV24" i="2"/>
  <c r="DX24" i="2" s="1"/>
  <c r="EA24" i="2" s="1"/>
  <c r="ED24" i="2" s="1"/>
  <c r="D104" i="15"/>
  <c r="N92" i="15"/>
  <c r="N104" i="15"/>
  <c r="C84" i="7"/>
  <c r="P34" i="15"/>
  <c r="P36" i="15" s="1"/>
  <c r="P104" i="15" s="1"/>
  <c r="C155" i="7"/>
  <c r="C152" i="7"/>
  <c r="C92" i="7"/>
  <c r="C156" i="7"/>
  <c r="C127" i="7"/>
  <c r="C159" i="7"/>
  <c r="BW58" i="2"/>
  <c r="BN58" i="2"/>
  <c r="AL11" i="20" s="1"/>
  <c r="AL16" i="20" s="1"/>
  <c r="BQ58" i="2"/>
  <c r="AP11" i="20" s="1"/>
  <c r="AP16" i="20" s="1"/>
  <c r="DV61" i="2"/>
  <c r="DX61" i="2" s="1"/>
  <c r="C149" i="7"/>
  <c r="C129" i="7"/>
  <c r="C110" i="7"/>
  <c r="C85" i="7"/>
  <c r="C86" i="7"/>
  <c r="C103" i="7"/>
  <c r="C79" i="7"/>
  <c r="C80" i="7"/>
  <c r="C88" i="7"/>
  <c r="C106" i="7"/>
  <c r="H36" i="15"/>
  <c r="H104" i="15" s="1"/>
  <c r="C89" i="7"/>
  <c r="AR54" i="3"/>
  <c r="BB47" i="3"/>
  <c r="AJ35" i="3" s="1"/>
  <c r="AJ37" i="3" s="1"/>
  <c r="AJ28" i="3"/>
  <c r="AJ34" i="3" s="1"/>
  <c r="AL102" i="3"/>
  <c r="AL98" i="3"/>
  <c r="AL91" i="3"/>
  <c r="AL85" i="3"/>
  <c r="AL73" i="3"/>
  <c r="AL68" i="3"/>
  <c r="AL65" i="3"/>
  <c r="AL62" i="3"/>
  <c r="AL57" i="3"/>
  <c r="AL47" i="3"/>
  <c r="AL40" i="3"/>
  <c r="AL37" i="3"/>
  <c r="AL34" i="3"/>
  <c r="AL26" i="3"/>
  <c r="AL23" i="3"/>
  <c r="AL14" i="3"/>
  <c r="AJ102" i="3"/>
  <c r="AJ98" i="3"/>
  <c r="AJ91" i="3"/>
  <c r="AJ85" i="3"/>
  <c r="AJ73" i="3"/>
  <c r="AJ68" i="3"/>
  <c r="AJ65" i="3"/>
  <c r="AJ62" i="3"/>
  <c r="AJ57" i="3"/>
  <c r="AJ47" i="3"/>
  <c r="AJ40" i="3"/>
  <c r="AJ26" i="3"/>
  <c r="AJ23" i="3"/>
  <c r="AJ14" i="3"/>
  <c r="BB39" i="3"/>
  <c r="AH35" i="3" s="1"/>
  <c r="BE43" i="2"/>
  <c r="DZ43" i="2" s="1"/>
  <c r="BE53" i="2"/>
  <c r="C268" i="7" l="1"/>
  <c r="C290" i="7" s="1"/>
  <c r="AX11" i="20"/>
  <c r="AX16" i="20" s="1"/>
  <c r="C371" i="7"/>
  <c r="BQ68" i="2"/>
  <c r="C220" i="7"/>
  <c r="C242" i="7" s="1"/>
  <c r="BN68" i="2"/>
  <c r="C196" i="7"/>
  <c r="C218" i="7" s="1"/>
  <c r="BW68" i="2"/>
  <c r="C154" i="7"/>
  <c r="C138" i="7"/>
  <c r="AJ103" i="3"/>
  <c r="AL103" i="3"/>
  <c r="BE29" i="2"/>
  <c r="DZ29" i="2" s="1"/>
  <c r="BH58" i="2"/>
  <c r="AD11" i="20" s="1"/>
  <c r="AD16" i="20" s="1"/>
  <c r="BE61" i="2"/>
  <c r="DZ61" i="2" l="1"/>
  <c r="EA61" i="2" s="1"/>
  <c r="ED61" i="2" s="1"/>
  <c r="Z12" i="20"/>
  <c r="BH68" i="2"/>
  <c r="C146" i="7"/>
  <c r="C168" i="7" s="1"/>
  <c r="C122" i="7"/>
  <c r="BE58" i="2"/>
  <c r="Z11" i="20" s="1"/>
  <c r="Z16" i="20" s="1"/>
  <c r="AP124" i="12"/>
  <c r="AP139" i="12" s="1"/>
  <c r="BE68" i="2" l="1"/>
  <c r="C121" i="7"/>
  <c r="C144" i="7" s="1"/>
  <c r="AP116" i="12"/>
  <c r="AP105" i="12"/>
  <c r="AP89" i="12"/>
  <c r="AP151" i="12" s="1"/>
  <c r="BB58" i="2"/>
  <c r="V11" i="20" s="1"/>
  <c r="V16" i="20" s="1"/>
  <c r="AP63" i="2"/>
  <c r="F14" i="20" s="1"/>
  <c r="D20" i="8"/>
  <c r="BB68" i="2" l="1"/>
  <c r="C97" i="7"/>
  <c r="AP141" i="12"/>
  <c r="M19" i="8"/>
  <c r="N19" i="8" s="1"/>
  <c r="L23" i="8" s="1"/>
  <c r="AH96" i="3"/>
  <c r="C69" i="7"/>
  <c r="C67" i="7"/>
  <c r="C54" i="7"/>
  <c r="C53" i="7"/>
  <c r="C52" i="7"/>
  <c r="C51" i="7"/>
  <c r="C50" i="7"/>
  <c r="AF47" i="3"/>
  <c r="AH68" i="3"/>
  <c r="AH65" i="3"/>
  <c r="AF65" i="3"/>
  <c r="AD65" i="3"/>
  <c r="AF68" i="3"/>
  <c r="C68" i="7" s="1"/>
  <c r="AD68" i="3"/>
  <c r="AB68" i="3"/>
  <c r="C33" i="7"/>
  <c r="C32" i="7"/>
  <c r="C31" i="7"/>
  <c r="C30" i="7"/>
  <c r="C29" i="7"/>
  <c r="M23" i="8" l="1"/>
  <c r="N23" i="8" s="1"/>
  <c r="L27" i="8" s="1"/>
  <c r="O19" i="8"/>
  <c r="D19" i="8" s="1"/>
  <c r="C61" i="7"/>
  <c r="M27" i="8" l="1"/>
  <c r="N27" i="8" s="1"/>
  <c r="O23" i="8"/>
  <c r="D23" i="8" s="1"/>
  <c r="AY63" i="2" s="1"/>
  <c r="R14" i="20" s="1"/>
  <c r="C8" i="7"/>
  <c r="C9" i="7"/>
  <c r="C10" i="7"/>
  <c r="C11" i="7"/>
  <c r="C12" i="7"/>
  <c r="O27" i="8" l="1"/>
  <c r="D34" i="8" s="1"/>
  <c r="L31" i="8"/>
  <c r="M31" i="8" s="1"/>
  <c r="N31" i="8" s="1"/>
  <c r="O31" i="8" s="1"/>
  <c r="C76" i="7"/>
  <c r="D35" i="8" l="1"/>
  <c r="D37" i="8" s="1"/>
  <c r="O28" i="8"/>
  <c r="CM63" i="2"/>
  <c r="BR14" i="20" s="1"/>
  <c r="AB65" i="3"/>
  <c r="AD62" i="3"/>
  <c r="AB62" i="3"/>
  <c r="AH62" i="3"/>
  <c r="AF62" i="3"/>
  <c r="AH102" i="3"/>
  <c r="AH91" i="3"/>
  <c r="AH85" i="3"/>
  <c r="AH73" i="3"/>
  <c r="AH57" i="3"/>
  <c r="AH47" i="3"/>
  <c r="AH40" i="3"/>
  <c r="AH37" i="3"/>
  <c r="AH34" i="3"/>
  <c r="AH26" i="3"/>
  <c r="AH23" i="3"/>
  <c r="AH14" i="3"/>
  <c r="AF102" i="3"/>
  <c r="AF98" i="3"/>
  <c r="AF91" i="3"/>
  <c r="AF85" i="3"/>
  <c r="AF73" i="3"/>
  <c r="BB31" i="3"/>
  <c r="AF35" i="3" s="1"/>
  <c r="AF37" i="3" s="1"/>
  <c r="AF57" i="3"/>
  <c r="AF40" i="3"/>
  <c r="AF34" i="3"/>
  <c r="AF26" i="3"/>
  <c r="AF23" i="3"/>
  <c r="AF14" i="3"/>
  <c r="BB13" i="3"/>
  <c r="AB35" i="3" s="1"/>
  <c r="C15" i="7" s="1"/>
  <c r="BB23" i="3"/>
  <c r="AD37" i="3" s="1"/>
  <c r="AB50" i="3"/>
  <c r="AB57" i="3" s="1"/>
  <c r="Q14" i="8"/>
  <c r="Q17" i="8" s="1"/>
  <c r="AD102" i="3"/>
  <c r="AD98" i="3"/>
  <c r="AD91" i="3"/>
  <c r="AD85" i="3"/>
  <c r="AD73" i="3"/>
  <c r="AD57" i="3"/>
  <c r="AD47" i="3"/>
  <c r="AD40" i="3"/>
  <c r="AD34" i="3"/>
  <c r="AD26" i="3"/>
  <c r="AD23" i="3"/>
  <c r="AD14" i="3"/>
  <c r="AB102" i="3"/>
  <c r="AB98" i="3"/>
  <c r="AB91" i="3"/>
  <c r="AB85" i="3"/>
  <c r="AB73" i="3"/>
  <c r="AB47" i="3"/>
  <c r="AB40" i="3"/>
  <c r="AB34" i="3"/>
  <c r="AB26" i="3"/>
  <c r="AB23" i="3"/>
  <c r="AB14" i="3"/>
  <c r="H5" i="14"/>
  <c r="J32" i="8" l="1"/>
  <c r="G34" i="8"/>
  <c r="BR16" i="20"/>
  <c r="CX14" i="20"/>
  <c r="CX16" i="20" s="1"/>
  <c r="CM70" i="2"/>
  <c r="C403" i="7"/>
  <c r="CM68" i="2"/>
  <c r="O29" i="8"/>
  <c r="O30" i="8" s="1"/>
  <c r="C57" i="7"/>
  <c r="C56" i="7"/>
  <c r="C58" i="7"/>
  <c r="C59" i="7"/>
  <c r="C64" i="7"/>
  <c r="C55" i="7"/>
  <c r="C65" i="7"/>
  <c r="C66" i="7"/>
  <c r="C60" i="7"/>
  <c r="C63" i="7"/>
  <c r="C62" i="7"/>
  <c r="C43" i="7"/>
  <c r="C20" i="7"/>
  <c r="C23" i="7"/>
  <c r="C21" i="7"/>
  <c r="C44" i="7"/>
  <c r="C18" i="7"/>
  <c r="C34" i="7"/>
  <c r="C19" i="7"/>
  <c r="C39" i="7"/>
  <c r="C24" i="7"/>
  <c r="C22" i="7"/>
  <c r="C42" i="7"/>
  <c r="C16" i="7"/>
  <c r="C41" i="7"/>
  <c r="C45" i="7"/>
  <c r="C37" i="7"/>
  <c r="C14" i="7"/>
  <c r="C40" i="7"/>
  <c r="C17" i="7"/>
  <c r="C35" i="7"/>
  <c r="C13" i="7"/>
  <c r="C38" i="7"/>
  <c r="C36" i="7"/>
  <c r="AD35" i="3"/>
  <c r="AB37" i="3"/>
  <c r="D9" i="2"/>
  <c r="D8" i="2"/>
  <c r="D19" i="2"/>
  <c r="AV53" i="2"/>
  <c r="DZ53" i="2" s="1"/>
  <c r="AY50" i="2"/>
  <c r="DZ50" i="2" s="1"/>
  <c r="AY9" i="2"/>
  <c r="D50" i="2"/>
  <c r="AL132" i="12"/>
  <c r="J97" i="16" s="1"/>
  <c r="J100" i="16" s="1"/>
  <c r="J118" i="16" s="1"/>
  <c r="E32" i="8" l="1"/>
  <c r="AH29" i="8"/>
  <c r="AH40" i="8" s="1"/>
  <c r="J96" i="15"/>
  <c r="J99" i="15" s="1"/>
  <c r="AH95" i="3"/>
  <c r="AH98" i="3" s="1"/>
  <c r="AH103" i="3" s="1"/>
  <c r="AV58" i="2"/>
  <c r="AY58" i="2"/>
  <c r="R11" i="20" s="1"/>
  <c r="R16" i="20" s="1"/>
  <c r="AL125" i="12"/>
  <c r="AL139" i="12" s="1"/>
  <c r="AL105" i="12"/>
  <c r="AL89" i="12"/>
  <c r="AL116" i="12"/>
  <c r="AL146" i="12"/>
  <c r="AL143" i="12"/>
  <c r="AL145" i="12"/>
  <c r="AW46" i="3"/>
  <c r="Z35" i="3" s="1"/>
  <c r="Z37" i="3" s="1"/>
  <c r="AW35" i="3"/>
  <c r="X35" i="3" s="1"/>
  <c r="X37" i="3" s="1"/>
  <c r="D10" i="13"/>
  <c r="D6" i="13"/>
  <c r="I11" i="13"/>
  <c r="I10" i="13"/>
  <c r="I9" i="13"/>
  <c r="K5" i="13"/>
  <c r="D4" i="13"/>
  <c r="V34" i="3"/>
  <c r="Z13" i="3"/>
  <c r="Z7" i="3"/>
  <c r="Z54" i="3"/>
  <c r="Z57" i="3" s="1"/>
  <c r="Z11" i="3"/>
  <c r="Z10" i="3"/>
  <c r="Z9" i="3"/>
  <c r="Z8" i="3"/>
  <c r="AS58" i="2"/>
  <c r="J11" i="20" s="1"/>
  <c r="J16" i="20" s="1"/>
  <c r="AP8" i="2"/>
  <c r="DZ8" i="2" s="1"/>
  <c r="AP26" i="2"/>
  <c r="DZ26" i="2" s="1"/>
  <c r="AD139" i="12"/>
  <c r="H107" i="12"/>
  <c r="J107" i="12" s="1"/>
  <c r="X43" i="3"/>
  <c r="X47" i="3" s="1"/>
  <c r="X73" i="3"/>
  <c r="X13" i="3"/>
  <c r="X12" i="3"/>
  <c r="X11" i="3"/>
  <c r="X10" i="3"/>
  <c r="X9" i="3"/>
  <c r="AW24" i="3"/>
  <c r="V35" i="3" s="1"/>
  <c r="V37" i="3" s="1"/>
  <c r="AW13" i="3"/>
  <c r="T35" i="3" s="1"/>
  <c r="T37" i="3" s="1"/>
  <c r="X50" i="3"/>
  <c r="X57" i="3" s="1"/>
  <c r="X79" i="3"/>
  <c r="X85" i="3" s="1"/>
  <c r="X8" i="3"/>
  <c r="AR87" i="3"/>
  <c r="AR39" i="3"/>
  <c r="AR27" i="3"/>
  <c r="AR17" i="3"/>
  <c r="P34" i="3"/>
  <c r="V11" i="3"/>
  <c r="V53" i="3"/>
  <c r="V10" i="3"/>
  <c r="V52" i="3"/>
  <c r="V51" i="3"/>
  <c r="V9" i="3"/>
  <c r="Z102" i="3"/>
  <c r="Z98" i="3"/>
  <c r="Z91" i="3"/>
  <c r="Z85" i="3"/>
  <c r="Z73" i="3"/>
  <c r="Z47" i="3"/>
  <c r="Z40" i="3"/>
  <c r="Z34" i="3"/>
  <c r="Z26" i="3"/>
  <c r="Z23" i="3"/>
  <c r="X102" i="3"/>
  <c r="X98" i="3"/>
  <c r="X91" i="3"/>
  <c r="X40" i="3"/>
  <c r="X34" i="3"/>
  <c r="X26" i="3"/>
  <c r="X23" i="3"/>
  <c r="V102" i="3"/>
  <c r="V98" i="3"/>
  <c r="V91" i="3"/>
  <c r="V85" i="3"/>
  <c r="V73" i="3"/>
  <c r="V47" i="3"/>
  <c r="V40" i="3"/>
  <c r="V26" i="3"/>
  <c r="V23" i="3"/>
  <c r="DW58" i="2"/>
  <c r="DT56" i="2"/>
  <c r="DU56" i="2"/>
  <c r="DT55" i="2"/>
  <c r="DU55" i="2"/>
  <c r="DT54" i="2"/>
  <c r="DU54" i="2"/>
  <c r="AL53" i="2"/>
  <c r="DT53" i="2"/>
  <c r="DT51" i="2"/>
  <c r="DT50" i="2"/>
  <c r="DU50" i="2"/>
  <c r="DT49" i="2"/>
  <c r="DU48" i="2"/>
  <c r="DT48" i="2"/>
  <c r="DT46" i="2"/>
  <c r="DU46" i="2"/>
  <c r="DT45" i="2"/>
  <c r="DU45" i="2"/>
  <c r="DU44" i="2"/>
  <c r="DU43" i="2"/>
  <c r="DT43" i="2"/>
  <c r="DT41" i="2"/>
  <c r="DT40" i="2"/>
  <c r="DU40" i="2"/>
  <c r="DT39" i="2"/>
  <c r="DT38" i="2"/>
  <c r="DU38" i="2"/>
  <c r="DU36" i="2"/>
  <c r="DT36" i="2"/>
  <c r="DT35" i="2"/>
  <c r="DU35" i="2"/>
  <c r="DU34" i="2"/>
  <c r="DT34" i="2"/>
  <c r="DT33" i="2"/>
  <c r="DU33" i="2"/>
  <c r="DT31" i="2"/>
  <c r="DU31" i="2"/>
  <c r="DT30" i="2"/>
  <c r="DV30" i="2" s="1"/>
  <c r="DX30" i="2" s="1"/>
  <c r="EA30" i="2" s="1"/>
  <c r="ED30" i="2" s="1"/>
  <c r="DT29" i="2"/>
  <c r="AL29" i="2"/>
  <c r="DU29" i="2" s="1"/>
  <c r="DT28" i="2"/>
  <c r="DU28" i="2"/>
  <c r="DT26" i="2"/>
  <c r="DU26" i="2"/>
  <c r="DU25" i="2"/>
  <c r="DT25" i="2"/>
  <c r="AV68" i="2" l="1"/>
  <c r="N11" i="20"/>
  <c r="N16" i="20" s="1"/>
  <c r="C484" i="7"/>
  <c r="C504" i="7" s="1"/>
  <c r="CV68" i="2"/>
  <c r="C90" i="7"/>
  <c r="C49" i="7"/>
  <c r="C71" i="7" s="1"/>
  <c r="AY68" i="2"/>
  <c r="C73" i="7"/>
  <c r="DV28" i="2"/>
  <c r="DX28" i="2" s="1"/>
  <c r="EA28" i="2" s="1"/>
  <c r="AS68" i="2"/>
  <c r="C28" i="7"/>
  <c r="C47" i="7" s="1"/>
  <c r="Z14" i="3"/>
  <c r="X14" i="3"/>
  <c r="AL149" i="12"/>
  <c r="AL151" i="12" s="1"/>
  <c r="AL141" i="12"/>
  <c r="V14" i="3"/>
  <c r="V57" i="3"/>
  <c r="DV43" i="2"/>
  <c r="DX43" i="2" s="1"/>
  <c r="EA43" i="2" s="1"/>
  <c r="ED43" i="2" s="1"/>
  <c r="DV48" i="2"/>
  <c r="DX48" i="2" s="1"/>
  <c r="EA48" i="2" s="1"/>
  <c r="ED48" i="2" s="1"/>
  <c r="DV54" i="2"/>
  <c r="DV35" i="2"/>
  <c r="DX35" i="2" s="1"/>
  <c r="EA35" i="2" s="1"/>
  <c r="ED35" i="2" s="1"/>
  <c r="DV44" i="2"/>
  <c r="DX44" i="2" s="1"/>
  <c r="EA44" i="2" s="1"/>
  <c r="ED44" i="2" s="1"/>
  <c r="DV26" i="2"/>
  <c r="DX26" i="2" s="1"/>
  <c r="EA26" i="2" s="1"/>
  <c r="ED26" i="2" s="1"/>
  <c r="DV46" i="2"/>
  <c r="DX46" i="2" s="1"/>
  <c r="EA46" i="2" s="1"/>
  <c r="ED46" i="2" s="1"/>
  <c r="DV31" i="2"/>
  <c r="DX31" i="2" s="1"/>
  <c r="EA31" i="2" s="1"/>
  <c r="ED31" i="2" s="1"/>
  <c r="DV34" i="2"/>
  <c r="DX34" i="2" s="1"/>
  <c r="EA34" i="2" s="1"/>
  <c r="ED34" i="2" s="1"/>
  <c r="DV40" i="2"/>
  <c r="DX40" i="2" s="1"/>
  <c r="EA40" i="2" s="1"/>
  <c r="ED40" i="2" s="1"/>
  <c r="DV50" i="2"/>
  <c r="DV45" i="2"/>
  <c r="DX45" i="2" s="1"/>
  <c r="EA45" i="2" s="1"/>
  <c r="ED45" i="2" s="1"/>
  <c r="DV56" i="2"/>
  <c r="DX56" i="2" s="1"/>
  <c r="DV33" i="2"/>
  <c r="DX33" i="2" s="1"/>
  <c r="EA33" i="2" s="1"/>
  <c r="ED33" i="2" s="1"/>
  <c r="DV38" i="2"/>
  <c r="DX38" i="2" s="1"/>
  <c r="EA38" i="2" s="1"/>
  <c r="ED38" i="2" s="1"/>
  <c r="DV29" i="2"/>
  <c r="DV36" i="2"/>
  <c r="DX36" i="2" s="1"/>
  <c r="EA36" i="2" s="1"/>
  <c r="ED36" i="2" s="1"/>
  <c r="DV55" i="2"/>
  <c r="ED28" i="2" l="1"/>
  <c r="DX50" i="2"/>
  <c r="EA50" i="2" s="1"/>
  <c r="ED50" i="2" s="1"/>
  <c r="DX55" i="2"/>
  <c r="EA55" i="2" s="1"/>
  <c r="ED55" i="2" s="1"/>
  <c r="DX54" i="2"/>
  <c r="EA54" i="2" s="1"/>
  <c r="ED54" i="2" s="1"/>
  <c r="EA56" i="2"/>
  <c r="ED56" i="2" s="1"/>
  <c r="DX29" i="2"/>
  <c r="EA29" i="2" s="1"/>
  <c r="ED29" i="2" s="1"/>
  <c r="DV25" i="2"/>
  <c r="DX25" i="2" s="1"/>
  <c r="EA25" i="2" s="1"/>
  <c r="ED25" i="2" s="1"/>
  <c r="DT23" i="2"/>
  <c r="DU23" i="2"/>
  <c r="DT21" i="2"/>
  <c r="DU21" i="2"/>
  <c r="DT20" i="2"/>
  <c r="DU20" i="2"/>
  <c r="DT19" i="2"/>
  <c r="DU19" i="2"/>
  <c r="DT18" i="2"/>
  <c r="DU18" i="2"/>
  <c r="DT16" i="2"/>
  <c r="DU16" i="2"/>
  <c r="DU15" i="2"/>
  <c r="DT15" i="2"/>
  <c r="DT14" i="2"/>
  <c r="DU14" i="2"/>
  <c r="DT13" i="2"/>
  <c r="DU13" i="2"/>
  <c r="DU11" i="2"/>
  <c r="DT11" i="2"/>
  <c r="DT10" i="2"/>
  <c r="DU10" i="2"/>
  <c r="DT9" i="2"/>
  <c r="AP9" i="2"/>
  <c r="DZ9" i="2" s="1"/>
  <c r="AL39" i="2"/>
  <c r="AI51" i="2"/>
  <c r="AD149" i="12"/>
  <c r="AH145" i="12"/>
  <c r="AH144" i="12"/>
  <c r="AH116" i="12"/>
  <c r="AH105" i="12"/>
  <c r="AH89" i="12"/>
  <c r="T149" i="12"/>
  <c r="DZ58" i="2" l="1"/>
  <c r="AP58" i="2"/>
  <c r="F11" i="20" s="1"/>
  <c r="F16" i="20" s="1"/>
  <c r="H44" i="20" s="1"/>
  <c r="AH141" i="12"/>
  <c r="AH149" i="12"/>
  <c r="AH151" i="12" s="1"/>
  <c r="DT58" i="2"/>
  <c r="DV18" i="2"/>
  <c r="DX18" i="2" s="1"/>
  <c r="EA18" i="2" s="1"/>
  <c r="ED18" i="2" s="1"/>
  <c r="DV11" i="2"/>
  <c r="DX11" i="2" s="1"/>
  <c r="EA11" i="2" s="1"/>
  <c r="ED11" i="2" s="1"/>
  <c r="DV14" i="2"/>
  <c r="DX14" i="2" s="1"/>
  <c r="EA14" i="2" s="1"/>
  <c r="ED14" i="2" s="1"/>
  <c r="DV15" i="2"/>
  <c r="DX15" i="2" s="1"/>
  <c r="EA15" i="2" s="1"/>
  <c r="ED15" i="2" s="1"/>
  <c r="DV19" i="2"/>
  <c r="DX19" i="2" s="1"/>
  <c r="EA19" i="2" s="1"/>
  <c r="ED19" i="2" s="1"/>
  <c r="DV23" i="2"/>
  <c r="DX23" i="2" s="1"/>
  <c r="EA23" i="2" s="1"/>
  <c r="ED23" i="2" s="1"/>
  <c r="DV13" i="2"/>
  <c r="DX13" i="2" s="1"/>
  <c r="EA13" i="2" s="1"/>
  <c r="ED13" i="2" s="1"/>
  <c r="DV16" i="2"/>
  <c r="DX16" i="2" s="1"/>
  <c r="DV20" i="2"/>
  <c r="DX20" i="2" s="1"/>
  <c r="EA20" i="2" s="1"/>
  <c r="ED20" i="2" s="1"/>
  <c r="AI58" i="2"/>
  <c r="DU51" i="2"/>
  <c r="DV51" i="2" s="1"/>
  <c r="AL58" i="2"/>
  <c r="DU39" i="2"/>
  <c r="DV39" i="2" s="1"/>
  <c r="DX39" i="2" s="1"/>
  <c r="EA39" i="2" s="1"/>
  <c r="ED39" i="2" s="1"/>
  <c r="DV21" i="2"/>
  <c r="DX21" i="2" s="1"/>
  <c r="EA21" i="2" s="1"/>
  <c r="ED21" i="2" s="1"/>
  <c r="DV10" i="2"/>
  <c r="DX10" i="2" s="1"/>
  <c r="EA10" i="2" s="1"/>
  <c r="ED10" i="2" s="1"/>
  <c r="AF49" i="2"/>
  <c r="AF58" i="2" s="1"/>
  <c r="AR93" i="3"/>
  <c r="R35" i="3" s="1"/>
  <c r="AD116" i="12"/>
  <c r="D61" i="2"/>
  <c r="D36" i="2"/>
  <c r="D31" i="2"/>
  <c r="EA16" i="2" l="1"/>
  <c r="ED16" i="2" s="1"/>
  <c r="DX51" i="2"/>
  <c r="EA51" i="2" s="1"/>
  <c r="ED51" i="2" s="1"/>
  <c r="AP68" i="2"/>
  <c r="C7" i="7"/>
  <c r="C26" i="7" s="1"/>
  <c r="AI68" i="2"/>
  <c r="AL68" i="2"/>
  <c r="AF68" i="2"/>
  <c r="AC8" i="2"/>
  <c r="DU8" i="2" s="1"/>
  <c r="T11" i="3"/>
  <c r="T52" i="3"/>
  <c r="T57" i="3" s="1"/>
  <c r="T7" i="3"/>
  <c r="AD105" i="12"/>
  <c r="AD89" i="12"/>
  <c r="AD141" i="12" s="1"/>
  <c r="Y149" i="12"/>
  <c r="H112" i="12"/>
  <c r="H117" i="12"/>
  <c r="M94" i="12"/>
  <c r="R85" i="3"/>
  <c r="P85" i="3"/>
  <c r="N85" i="3"/>
  <c r="R37" i="3"/>
  <c r="L19" i="3"/>
  <c r="L23" i="3" s="1"/>
  <c r="R51" i="3"/>
  <c r="R57" i="3" s="1"/>
  <c r="R10" i="3"/>
  <c r="R14" i="3" s="1"/>
  <c r="T102" i="3"/>
  <c r="T98" i="3"/>
  <c r="T91" i="3"/>
  <c r="T85" i="3"/>
  <c r="T73" i="3"/>
  <c r="T47" i="3"/>
  <c r="T40" i="3"/>
  <c r="T34" i="3"/>
  <c r="T26" i="3"/>
  <c r="T23" i="3"/>
  <c r="R28" i="3"/>
  <c r="R102" i="3"/>
  <c r="R98" i="3"/>
  <c r="R91" i="3"/>
  <c r="R73" i="3"/>
  <c r="R47" i="3"/>
  <c r="R40" i="3"/>
  <c r="R26" i="3"/>
  <c r="R23" i="3"/>
  <c r="P86" i="3"/>
  <c r="P91" i="3" s="1"/>
  <c r="P8" i="3"/>
  <c r="P45" i="3"/>
  <c r="P47" i="3" s="1"/>
  <c r="P7" i="3"/>
  <c r="N102" i="3"/>
  <c r="N98" i="3"/>
  <c r="N91" i="3"/>
  <c r="N73" i="3"/>
  <c r="N47" i="3"/>
  <c r="N40" i="3"/>
  <c r="N23" i="3"/>
  <c r="P102" i="3"/>
  <c r="P98" i="3"/>
  <c r="P73" i="3"/>
  <c r="P57" i="3"/>
  <c r="P40" i="3"/>
  <c r="P26" i="3"/>
  <c r="P23" i="3"/>
  <c r="Y89" i="12"/>
  <c r="Y116" i="12"/>
  <c r="Y105" i="12"/>
  <c r="N9" i="3"/>
  <c r="N8" i="3"/>
  <c r="N55" i="3"/>
  <c r="AR72" i="3"/>
  <c r="N50" i="3"/>
  <c r="N57" i="3" s="1"/>
  <c r="Z53" i="2"/>
  <c r="DU53" i="2" s="1"/>
  <c r="DV53" i="2" s="1"/>
  <c r="DX53" i="2" s="1"/>
  <c r="EA53" i="2" s="1"/>
  <c r="ED53" i="2" s="1"/>
  <c r="Z9" i="2"/>
  <c r="H70" i="12"/>
  <c r="P47" i="20" l="1"/>
  <c r="P52" i="20" s="1"/>
  <c r="T8" i="20" s="1"/>
  <c r="T44" i="20" s="1"/>
  <c r="L47" i="20"/>
  <c r="L52" i="20" s="1"/>
  <c r="P8" i="20" s="1"/>
  <c r="P44" i="20" s="1"/>
  <c r="H47" i="20"/>
  <c r="H52" i="20" s="1"/>
  <c r="H139" i="12"/>
  <c r="J139" i="12" s="1"/>
  <c r="AR78" i="3"/>
  <c r="N35" i="3" s="1"/>
  <c r="N37" i="3" s="1"/>
  <c r="R34" i="3"/>
  <c r="N14" i="3"/>
  <c r="T14" i="3"/>
  <c r="AC58" i="2"/>
  <c r="DV8" i="2"/>
  <c r="Z58" i="2"/>
  <c r="Z68" i="2" s="1"/>
  <c r="Y151" i="12"/>
  <c r="AD151" i="12"/>
  <c r="P35" i="3"/>
  <c r="P37" i="3" s="1"/>
  <c r="P14" i="3"/>
  <c r="Y141" i="12"/>
  <c r="T9" i="2"/>
  <c r="W58" i="2"/>
  <c r="W68" i="2" s="1"/>
  <c r="J35" i="3"/>
  <c r="L83" i="3"/>
  <c r="L85" i="3" s="1"/>
  <c r="L12" i="3"/>
  <c r="L11" i="3"/>
  <c r="L8" i="3"/>
  <c r="L14" i="3" s="1"/>
  <c r="L103" i="3" s="1"/>
  <c r="N26" i="3"/>
  <c r="L102" i="3"/>
  <c r="L98" i="3"/>
  <c r="L91" i="3"/>
  <c r="L73" i="3"/>
  <c r="L47" i="3"/>
  <c r="J30" i="3"/>
  <c r="J13" i="3"/>
  <c r="H38" i="12"/>
  <c r="H29" i="12"/>
  <c r="H15" i="12"/>
  <c r="H17" i="12" s="1"/>
  <c r="H8" i="12"/>
  <c r="H11" i="12" s="1"/>
  <c r="J95" i="3"/>
  <c r="J97" i="3"/>
  <c r="P55" i="20" l="1"/>
  <c r="L8" i="20"/>
  <c r="L44" i="20" s="1"/>
  <c r="L55" i="20" s="1"/>
  <c r="H55" i="20"/>
  <c r="DX8" i="2"/>
  <c r="EA8" i="2" s="1"/>
  <c r="ED8" i="2" s="1"/>
  <c r="AC68" i="2"/>
  <c r="T58" i="2"/>
  <c r="T68" i="2" s="1"/>
  <c r="DU9" i="2"/>
  <c r="J82" i="3"/>
  <c r="J11" i="3"/>
  <c r="J10" i="3"/>
  <c r="J79" i="3"/>
  <c r="J102" i="3"/>
  <c r="J98" i="3"/>
  <c r="J91" i="3"/>
  <c r="J73" i="3"/>
  <c r="J57" i="3"/>
  <c r="J47" i="3"/>
  <c r="J40" i="3"/>
  <c r="J37" i="3"/>
  <c r="J34" i="3"/>
  <c r="J26" i="3"/>
  <c r="J23" i="3"/>
  <c r="DV9" i="2" l="1"/>
  <c r="J85" i="3"/>
  <c r="J14" i="3"/>
  <c r="DX9" i="2" l="1"/>
  <c r="EA9" i="2" s="1"/>
  <c r="ED9" i="2" s="1"/>
  <c r="J103" i="3"/>
  <c r="T114" i="12"/>
  <c r="T116" i="12" s="1"/>
  <c r="N65" i="12"/>
  <c r="T66" i="12"/>
  <c r="Q64" i="12"/>
  <c r="Q65" i="12" s="1"/>
  <c r="H61" i="12"/>
  <c r="H73" i="12" s="1"/>
  <c r="T98" i="12"/>
  <c r="T105" i="12" s="1"/>
  <c r="T89" i="12"/>
  <c r="Q49" i="2"/>
  <c r="DU49" i="2" s="1"/>
  <c r="DV49" i="2" s="1"/>
  <c r="DX49" i="2" l="1"/>
  <c r="EA49" i="2" s="1"/>
  <c r="ED49" i="2" s="1"/>
  <c r="T151" i="12"/>
  <c r="T141" i="12"/>
  <c r="J73" i="12"/>
  <c r="T65" i="12"/>
  <c r="T68" i="12" s="1"/>
  <c r="T118" i="12"/>
  <c r="Q58" i="2"/>
  <c r="Q68" i="2" s="1"/>
  <c r="N58" i="2"/>
  <c r="H21" i="12"/>
  <c r="H23" i="12" s="1"/>
  <c r="H23" i="3" l="1"/>
  <c r="K58" i="2" l="1"/>
  <c r="H58" i="2"/>
  <c r="K62" i="2" l="1"/>
  <c r="H81" i="3"/>
  <c r="H76" i="3"/>
  <c r="F35" i="3"/>
  <c r="H102" i="3"/>
  <c r="H98" i="3"/>
  <c r="H91" i="3"/>
  <c r="H73" i="3"/>
  <c r="H57" i="3"/>
  <c r="H47" i="3"/>
  <c r="H40" i="3"/>
  <c r="H34" i="3"/>
  <c r="H26" i="3"/>
  <c r="H14" i="3"/>
  <c r="H85" i="3" l="1"/>
  <c r="N68" i="2" l="1"/>
  <c r="H34" i="12"/>
  <c r="H39" i="12" s="1"/>
  <c r="J39" i="12" s="1"/>
  <c r="P151" i="12" s="1"/>
  <c r="D35" i="2"/>
  <c r="AZ151" i="12" l="1"/>
  <c r="J141" i="12"/>
  <c r="M98" i="12" s="1"/>
  <c r="K68" i="2"/>
  <c r="E41" i="2"/>
  <c r="F85" i="3"/>
  <c r="D91" i="3"/>
  <c r="D98" i="3"/>
  <c r="D102" i="3"/>
  <c r="F73" i="3"/>
  <c r="F47" i="3"/>
  <c r="D47" i="3"/>
  <c r="F54" i="3"/>
  <c r="F49" i="3"/>
  <c r="F8" i="3"/>
  <c r="F7" i="3"/>
  <c r="F34" i="3"/>
  <c r="D34" i="3"/>
  <c r="D40" i="3"/>
  <c r="D26" i="3"/>
  <c r="D23" i="3"/>
  <c r="D75" i="3"/>
  <c r="D85" i="3" s="1"/>
  <c r="D9" i="3"/>
  <c r="D8" i="3"/>
  <c r="D52" i="3"/>
  <c r="D51" i="3"/>
  <c r="D50" i="3"/>
  <c r="E58" i="2" l="1"/>
  <c r="E68" i="2" s="1"/>
  <c r="DU41" i="2"/>
  <c r="F57" i="3"/>
  <c r="D14" i="3"/>
  <c r="D57" i="3"/>
  <c r="F102" i="3"/>
  <c r="F98" i="3"/>
  <c r="F91" i="3"/>
  <c r="F40" i="3"/>
  <c r="F26" i="3"/>
  <c r="F23" i="3"/>
  <c r="F14" i="3"/>
  <c r="D73" i="3"/>
  <c r="D17" i="13"/>
  <c r="D16" i="13"/>
  <c r="D14" i="13"/>
  <c r="D13" i="13"/>
  <c r="D11" i="13"/>
  <c r="D5" i="13"/>
  <c r="P3" i="13"/>
  <c r="H68" i="2"/>
  <c r="DV41" i="2" l="1"/>
  <c r="DX41" i="2" s="1"/>
  <c r="EA41" i="2" s="1"/>
  <c r="ED41" i="2" s="1"/>
  <c r="ED58" i="2" s="1"/>
  <c r="DU58" i="2"/>
  <c r="DV58" i="2" l="1"/>
  <c r="D18" i="8"/>
  <c r="D39" i="2"/>
  <c r="EA58" i="2" l="1"/>
  <c r="DX58" i="2"/>
  <c r="D17" i="8"/>
  <c r="D76" i="8" l="1"/>
  <c r="D88" i="8" l="1"/>
  <c r="G77" i="8" s="1"/>
  <c r="G78" i="8" s="1"/>
  <c r="D16" i="8"/>
  <c r="L14" i="8"/>
  <c r="M14" i="8" s="1"/>
  <c r="N14" i="8" s="1"/>
  <c r="D11" i="8"/>
  <c r="D10" i="8"/>
  <c r="D90" i="8" l="1"/>
  <c r="D92" i="8" s="1"/>
  <c r="D45" i="2"/>
  <c r="D10" i="2" l="1"/>
  <c r="F37" i="3"/>
  <c r="F103" i="3" l="1"/>
  <c r="D35" i="3" l="1"/>
  <c r="D37" i="3" s="1"/>
  <c r="D103" i="3" l="1"/>
  <c r="H35" i="3" l="1"/>
  <c r="H37" i="3" s="1"/>
  <c r="H103" i="3" l="1"/>
  <c r="J34" i="15" l="1"/>
  <c r="J36" i="15" s="1"/>
  <c r="J104" i="15" s="1"/>
  <c r="L34" i="15"/>
  <c r="L36" i="15" s="1"/>
  <c r="L104" i="15" s="1"/>
  <c r="F36" i="15"/>
  <c r="F104" i="15" s="1"/>
  <c r="F34" i="15"/>
  <c r="C81" i="7" l="1"/>
  <c r="C95" i="7" s="1"/>
  <c r="C105" i="7"/>
  <c r="C119" i="7" s="1"/>
  <c r="X47" i="20" l="1"/>
  <c r="X52" i="20" s="1"/>
  <c r="AB47" i="20"/>
  <c r="AB52" i="20" s="1"/>
  <c r="AF8" i="20" s="1"/>
  <c r="AF44" i="20" s="1"/>
  <c r="AF47" i="20"/>
  <c r="AF52" i="20" s="1"/>
  <c r="AJ8" i="20" s="1"/>
  <c r="AJ44" i="20" s="1"/>
  <c r="T47" i="20"/>
  <c r="T52" i="20" s="1"/>
  <c r="R34" i="15"/>
  <c r="R36" i="15" s="1"/>
  <c r="AF55" i="20" l="1"/>
  <c r="X8" i="20"/>
  <c r="X44" i="20" s="1"/>
  <c r="X55" i="20" s="1"/>
  <c r="T55" i="20"/>
  <c r="AB8" i="20"/>
  <c r="AB44" i="20" s="1"/>
  <c r="AB55" i="20" s="1"/>
  <c r="R104" i="15"/>
  <c r="C178" i="7"/>
  <c r="C194" i="7" s="1"/>
  <c r="AV47" i="20" l="1"/>
  <c r="AV52" i="20" s="1"/>
  <c r="AZ8" i="20" s="1"/>
  <c r="AZ44" i="20" s="1"/>
  <c r="AN47" i="20"/>
  <c r="AN52" i="20" s="1"/>
  <c r="AR8" i="20" s="1"/>
  <c r="AR44" i="20" s="1"/>
  <c r="AZ47" i="20"/>
  <c r="AZ52" i="20" s="1"/>
  <c r="AJ47" i="20"/>
  <c r="AJ52" i="20" s="1"/>
  <c r="AR47" i="20"/>
  <c r="AR52" i="20" s="1"/>
  <c r="AV8" i="20" s="1"/>
  <c r="AV44" i="20" s="1"/>
  <c r="C292" i="7"/>
  <c r="AV55" i="20" l="1"/>
  <c r="AR55" i="20"/>
  <c r="BD47" i="20"/>
  <c r="BD52" i="20" s="1"/>
  <c r="BH8" i="20" s="1"/>
  <c r="BH44" i="20" s="1"/>
  <c r="BH47" i="20"/>
  <c r="BH52" i="20" s="1"/>
  <c r="BL8" i="20" s="1"/>
  <c r="BL44" i="20" s="1"/>
  <c r="BL47" i="20"/>
  <c r="BL52" i="20" s="1"/>
  <c r="BP8" i="20" s="1"/>
  <c r="BP44" i="20" s="1"/>
  <c r="BP47" i="20"/>
  <c r="BP52" i="20" s="1"/>
  <c r="BT8" i="20" s="1"/>
  <c r="BT44" i="20" s="1"/>
  <c r="AN8" i="20"/>
  <c r="AN44" i="20" s="1"/>
  <c r="AN55" i="20" s="1"/>
  <c r="AJ55" i="20"/>
  <c r="AZ55" i="20"/>
  <c r="BD8" i="20"/>
  <c r="BD44" i="20" s="1"/>
  <c r="AK37" i="16"/>
  <c r="BL55" i="20" l="1"/>
  <c r="BH55" i="20"/>
  <c r="BP55" i="20"/>
  <c r="BD55" i="20"/>
  <c r="C409" i="7"/>
  <c r="C425" i="7" s="1"/>
  <c r="AK118" i="16"/>
  <c r="CJ47" i="20" l="1"/>
  <c r="CJ52" i="20" s="1"/>
  <c r="CN8" i="20" s="1"/>
  <c r="CN44" i="20" s="1"/>
  <c r="CR47" i="20"/>
  <c r="CF47" i="20"/>
  <c r="CF52" i="20" s="1"/>
  <c r="CJ8" i="20" s="1"/>
  <c r="CJ44" i="20" s="1"/>
  <c r="CN47" i="20"/>
  <c r="C607" i="7"/>
  <c r="CV47" i="20"/>
  <c r="CB47" i="20"/>
  <c r="CB52" i="20" s="1"/>
  <c r="CF8" i="20" s="1"/>
  <c r="CF44" i="20" s="1"/>
  <c r="CF55" i="20" s="1"/>
  <c r="BX47" i="20"/>
  <c r="BX52" i="20" s="1"/>
  <c r="CB8" i="20" s="1"/>
  <c r="CB44" i="20" s="1"/>
  <c r="BT47" i="20"/>
  <c r="BT52" i="20" s="1"/>
  <c r="CB55" i="20" l="1"/>
  <c r="CJ55" i="20"/>
  <c r="BX8" i="20"/>
  <c r="BX44" i="20" s="1"/>
  <c r="BX55" i="20" s="1"/>
  <c r="BT55" i="20"/>
  <c r="AU122" i="16"/>
  <c r="AU35" i="16"/>
  <c r="AU37" i="16" s="1"/>
  <c r="AU124" i="16" l="1"/>
  <c r="I544" i="7"/>
  <c r="I558" i="7" s="1"/>
  <c r="AU118" i="16"/>
  <c r="AU125" i="16" s="1"/>
  <c r="D33" i="19"/>
  <c r="I620" i="7" s="1"/>
  <c r="I635" i="7" s="1"/>
  <c r="I690" i="7" s="1"/>
  <c r="U43" i="5" s="1"/>
  <c r="U46" i="5" s="1"/>
  <c r="I636" i="7" l="1"/>
  <c r="H43" i="5" s="1"/>
  <c r="H46" i="5" s="1"/>
  <c r="I663" i="7"/>
  <c r="Q43" i="5" s="1"/>
  <c r="Q46" i="5" s="1"/>
  <c r="F22" i="5"/>
  <c r="F37" i="5" s="1"/>
  <c r="H38" i="5" s="1"/>
  <c r="Q8" i="5" s="1"/>
  <c r="D110" i="19"/>
  <c r="D113" i="19" s="1"/>
  <c r="I607" i="7"/>
  <c r="CV49" i="20"/>
  <c r="CV52" i="20" s="1"/>
  <c r="CN49" i="20"/>
  <c r="CN52" i="20" s="1"/>
  <c r="CR49" i="20"/>
  <c r="CR52" i="20" s="1"/>
  <c r="CV8" i="20" s="1"/>
  <c r="CV44" i="20" s="1"/>
  <c r="D107" i="19"/>
  <c r="L8" i="5" l="1"/>
  <c r="L38" i="5" s="1"/>
  <c r="L49" i="5" s="1"/>
  <c r="Q38" i="5"/>
  <c r="H49" i="5"/>
  <c r="CV55" i="20"/>
  <c r="CR8" i="20"/>
  <c r="CR44" i="20" s="1"/>
  <c r="CR55" i="20" s="1"/>
  <c r="CN55" i="20"/>
  <c r="D114" i="19"/>
  <c r="Q49" i="5" l="1"/>
  <c r="U8" i="5"/>
  <c r="U38" i="5" s="1"/>
  <c r="U4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Muhammad Naveed Ullah Ansari</author>
  </authors>
  <commentList>
    <comment ref="D51" authorId="0" shapeId="0" xr:uid="{FF9DD796-8049-4B26-85E8-7E9B1079577C}">
      <text>
        <r>
          <rPr>
            <b/>
            <sz val="9"/>
            <color indexed="81"/>
            <rFont val="Tahoma"/>
            <family val="2"/>
          </rPr>
          <t>Muhammad Naveed Ullah Ansari:</t>
        </r>
        <r>
          <rPr>
            <sz val="9"/>
            <color indexed="81"/>
            <rFont val="Tahoma"/>
            <family val="2"/>
          </rPr>
          <t xml:space="preserve">
1 Slip missed
</t>
        </r>
      </text>
    </comment>
    <comment ref="D52" authorId="0" shapeId="0" xr:uid="{874F92A5-AEEB-4569-83DF-EBAE02EE8446}">
      <text>
        <r>
          <rPr>
            <b/>
            <sz val="9"/>
            <color indexed="81"/>
            <rFont val="Tahoma"/>
            <family val="2"/>
          </rPr>
          <t>Muhammad Naveed Ullah Ansari:</t>
        </r>
        <r>
          <rPr>
            <sz val="9"/>
            <color indexed="81"/>
            <rFont val="Tahoma"/>
            <family val="2"/>
          </rPr>
          <t xml:space="preserve">
both slip missed</t>
        </r>
      </text>
    </comment>
  </commentList>
</comments>
</file>

<file path=xl/sharedStrings.xml><?xml version="1.0" encoding="utf-8"?>
<sst xmlns="http://schemas.openxmlformats.org/spreadsheetml/2006/main" count="4295" uniqueCount="1950">
  <si>
    <t xml:space="preserve">Anum Vista </t>
  </si>
  <si>
    <t>Amount</t>
  </si>
  <si>
    <t>Receipt No.</t>
  </si>
  <si>
    <t>Particulars</t>
  </si>
  <si>
    <t xml:space="preserve">Residents Name </t>
  </si>
  <si>
    <t xml:space="preserve">Appartment No. </t>
  </si>
  <si>
    <t>Date</t>
  </si>
  <si>
    <t>Advance / Overdue</t>
  </si>
  <si>
    <t>Total</t>
  </si>
  <si>
    <t xml:space="preserve">Voucher </t>
  </si>
  <si>
    <t xml:space="preserve">S. No. </t>
  </si>
  <si>
    <t>Particulors</t>
  </si>
  <si>
    <t>Prepared By :</t>
  </si>
  <si>
    <t>Approved By :</t>
  </si>
  <si>
    <t xml:space="preserve">Date : </t>
  </si>
  <si>
    <t>Water Tanker</t>
  </si>
  <si>
    <t>Salaries and Wages</t>
  </si>
  <si>
    <t>Security Guards</t>
  </si>
  <si>
    <t>Guard 1</t>
  </si>
  <si>
    <t>Guard 2</t>
  </si>
  <si>
    <t xml:space="preserve">Janitorial </t>
  </si>
  <si>
    <t>Others - Petty Expenses</t>
  </si>
  <si>
    <t xml:space="preserve">Date </t>
  </si>
  <si>
    <t xml:space="preserve">Inflow </t>
  </si>
  <si>
    <t>Maintenance</t>
  </si>
  <si>
    <t>Rent Community Hall</t>
  </si>
  <si>
    <t xml:space="preserve">Advertisment </t>
  </si>
  <si>
    <t xml:space="preserve">Outflow </t>
  </si>
  <si>
    <t>Cash in Hand - Opening Balance</t>
  </si>
  <si>
    <t>Cash in Hand - Closing Balance</t>
  </si>
  <si>
    <t xml:space="preserve">Discription </t>
  </si>
  <si>
    <t>Name</t>
  </si>
  <si>
    <t>Abid</t>
  </si>
  <si>
    <t>Utilities</t>
  </si>
  <si>
    <t>KESC</t>
  </si>
  <si>
    <t xml:space="preserve">Other Income : </t>
  </si>
  <si>
    <t>Gross Total</t>
  </si>
  <si>
    <t>Dr. Nazim</t>
  </si>
  <si>
    <t>Mrs. Younus</t>
  </si>
  <si>
    <t>Asif</t>
  </si>
  <si>
    <t>Danish</t>
  </si>
  <si>
    <t>Mrs. Rashid</t>
  </si>
  <si>
    <t>Dr. Mansoor</t>
  </si>
  <si>
    <t>Remarks</t>
  </si>
  <si>
    <t>Garbage Collection</t>
  </si>
  <si>
    <t>Advertisement</t>
  </si>
  <si>
    <t>Adv Payment Duration</t>
  </si>
  <si>
    <t>Collection From Avertising</t>
  </si>
  <si>
    <t>Received Payments</t>
  </si>
  <si>
    <t>Payments Due</t>
  </si>
  <si>
    <t>6 Month</t>
  </si>
  <si>
    <t>KHYZER</t>
  </si>
  <si>
    <t>Apr to sep-21</t>
  </si>
  <si>
    <t>3 Month</t>
  </si>
  <si>
    <t>Apr -May - Jun-21</t>
  </si>
  <si>
    <t>MAR-APR-MAY-2021</t>
  </si>
  <si>
    <t>MAY to OCT-2021</t>
  </si>
  <si>
    <t>Jun-Jul-Aug-2021</t>
  </si>
  <si>
    <t>Sep-Oct-Nov-2021</t>
  </si>
  <si>
    <t>Received Date</t>
  </si>
  <si>
    <t>24 Sep, 15 Oct 2021</t>
  </si>
  <si>
    <t>Monthly Maintenance</t>
  </si>
  <si>
    <t>Lift Work + Monthly Maintenance</t>
  </si>
  <si>
    <t>Advertisement - Asif (A)</t>
  </si>
  <si>
    <t>Advertisement - Raza (B)</t>
  </si>
  <si>
    <t>Advertisement - Khizer (C)</t>
  </si>
  <si>
    <t>6 Months</t>
  </si>
  <si>
    <t>3 Months</t>
  </si>
  <si>
    <t>Oct 2021 to Mar 2022</t>
  </si>
  <si>
    <t>3 months Discount - Due to site issue</t>
  </si>
  <si>
    <t>half received</t>
  </si>
  <si>
    <t xml:space="preserve"> </t>
  </si>
  <si>
    <t>H2O Stop</t>
  </si>
  <si>
    <t>Water tanker</t>
  </si>
  <si>
    <t>Salaries + Security Gurads</t>
  </si>
  <si>
    <t xml:space="preserve">Maintenance </t>
  </si>
  <si>
    <t>Diesel + Cartage</t>
  </si>
  <si>
    <t>Entertaiment Expense</t>
  </si>
  <si>
    <t xml:space="preserve">Entertainment Expense </t>
  </si>
  <si>
    <t>Dec-Jan-Feb - 2022</t>
  </si>
  <si>
    <t xml:space="preserve">Community Hall Rent </t>
  </si>
  <si>
    <t>Petty Cash Expenses</t>
  </si>
  <si>
    <t>Water - Machine and Plumbering Work</t>
  </si>
  <si>
    <t>Generator &amp; Diesel Exp</t>
  </si>
  <si>
    <t xml:space="preserve">To be received </t>
  </si>
  <si>
    <t xml:space="preserve">Received </t>
  </si>
  <si>
    <t xml:space="preserve">Due </t>
  </si>
  <si>
    <t>July to Dec - 2021</t>
  </si>
  <si>
    <t>Discout</t>
  </si>
  <si>
    <t>Clearing Material - Albert</t>
  </si>
  <si>
    <t xml:space="preserve">Advance </t>
  </si>
  <si>
    <t xml:space="preserve">Advance - Building Colour, Fire Safety, seepage of overhead tank+Parking and lobby colour+Flooring of 4th floor Parking </t>
  </si>
  <si>
    <t>Mar - May 2022</t>
  </si>
  <si>
    <t>Asif - Side A</t>
  </si>
  <si>
    <t>Raza - Side -B</t>
  </si>
  <si>
    <t>Khatam-e-Quran ( Taraweah ) Dinner</t>
  </si>
  <si>
    <t>Khatam-e-Quran -  Sweet + Decoration + Cold Drink</t>
  </si>
  <si>
    <t>Ramazan - Sehri + Iftar items for building</t>
  </si>
  <si>
    <t>Khatam-e-Quran ( Taraweah Imam Sb)</t>
  </si>
  <si>
    <t>Jun - Aug 2022</t>
  </si>
  <si>
    <t>Apr to Jun 2022</t>
  </si>
  <si>
    <t>Jan to Mar - 2022</t>
  </si>
  <si>
    <t xml:space="preserve">Cleared 30/04/2022 </t>
  </si>
  <si>
    <t>Rec Nov 02, 2021</t>
  </si>
  <si>
    <t>Due</t>
  </si>
  <si>
    <t>Apr to Jun - 2022</t>
  </si>
  <si>
    <t>Khyzer C - Top</t>
  </si>
  <si>
    <t>Khyzer D - Bottom</t>
  </si>
  <si>
    <t>Jul to Sep 2022</t>
  </si>
  <si>
    <t>Advance Adjusted : Building Colour (Front and Back)</t>
  </si>
  <si>
    <t xml:space="preserve">Advance Adjusted : Fire Extinguishing Work </t>
  </si>
  <si>
    <t>Adv. Adj</t>
  </si>
  <si>
    <t>Balance for Adv Adjustment</t>
  </si>
  <si>
    <t>Total Adv. Adj</t>
  </si>
  <si>
    <t>Full and final</t>
  </si>
  <si>
    <t>Intercom - Monthly Maintenance</t>
  </si>
  <si>
    <t>Adjusted</t>
  </si>
  <si>
    <t>Balance</t>
  </si>
  <si>
    <t>Full and Final</t>
  </si>
  <si>
    <t>Advance Adjusted : Grill for Top - Roof + Colour</t>
  </si>
  <si>
    <t xml:space="preserve">Advance Adjusted : Glass Work for ground lobby + Mosque + Spot light </t>
  </si>
  <si>
    <t>Advance Adjusted : Tiles for Ground floor lobby + entrance gate + Albert day work</t>
  </si>
  <si>
    <t>Advance Adjusted : Colour for Building all floor lobies + Parking Area</t>
  </si>
  <si>
    <t>Advance Adjusted : 4th floor Parking - Ground work + Sarfaraz 5000</t>
  </si>
  <si>
    <t>Advance Adjusted : Water Proofing - Overhead Tank - Automatic switch &amp; Control work</t>
  </si>
  <si>
    <t>Rec in May 2022</t>
  </si>
  <si>
    <t>Jul to Sep - 2022</t>
  </si>
  <si>
    <t>Oct to Dec 2022</t>
  </si>
  <si>
    <t>Not Due</t>
  </si>
  <si>
    <t>Qurbani Expenses</t>
  </si>
  <si>
    <t xml:space="preserve">Watch Man </t>
  </si>
  <si>
    <t>Outside cleaning and garbage lifting</t>
  </si>
  <si>
    <t>Advance to Ali bhai for miscellaneous expenses</t>
  </si>
  <si>
    <t>Gym Expenses :</t>
  </si>
  <si>
    <t xml:space="preserve">Gym Maintenance + Treadmill new belt change </t>
  </si>
  <si>
    <t>Gym Expenses</t>
  </si>
  <si>
    <t>Discount of Rs.375,000/-</t>
  </si>
  <si>
    <t>Khyzer - Jiji</t>
  </si>
  <si>
    <t>Sep - Nov 2022</t>
  </si>
  <si>
    <t>Balance Due</t>
  </si>
  <si>
    <t>Electrical Work Expenses</t>
  </si>
  <si>
    <t xml:space="preserve">                                                                </t>
  </si>
  <si>
    <t>Scrap Sale</t>
  </si>
  <si>
    <t>Electrical work Expenses</t>
  </si>
  <si>
    <t>Adjusted in Sep 30 - Added in Danish cashflow</t>
  </si>
  <si>
    <t>Shop Maintenance (A)</t>
  </si>
  <si>
    <t>Maintenance Shop A</t>
  </si>
  <si>
    <t>Jahangir 17000 + 1000 Attendance Allowance</t>
  </si>
  <si>
    <t>Ali - 15000 + 1000 Attendance Allowance</t>
  </si>
  <si>
    <t>Informed in Sep 2022 that Ad will not continue</t>
  </si>
  <si>
    <t>Dec 2022 - Feb 2023</t>
  </si>
  <si>
    <t>Fireworks and Cakes on New Year</t>
  </si>
  <si>
    <t xml:space="preserve">Top C </t>
  </si>
  <si>
    <t>Maintenance amount received by Danish</t>
  </si>
  <si>
    <t>Received</t>
  </si>
  <si>
    <t xml:space="preserve">Balance </t>
  </si>
  <si>
    <t>Nov &amp; Dec 2022</t>
  </si>
  <si>
    <t>Oct &amp; Nov 2022</t>
  </si>
  <si>
    <t>Sep, Oct, Nov &amp; Dec 2022</t>
  </si>
  <si>
    <t xml:space="preserve">Expense </t>
  </si>
  <si>
    <t xml:space="preserve">Lights </t>
  </si>
  <si>
    <t>Mats</t>
  </si>
  <si>
    <t>Cakes</t>
  </si>
  <si>
    <t>Naveed - 502</t>
  </si>
  <si>
    <t>Mohsin - 501</t>
  </si>
  <si>
    <t>Rashid  - 103</t>
  </si>
  <si>
    <t>Fahad - 901</t>
  </si>
  <si>
    <t>Jan &amp; Feb 2023</t>
  </si>
  <si>
    <t>Expense</t>
  </si>
  <si>
    <t>Lights - Bulb + Shade roll</t>
  </si>
  <si>
    <t>1279</t>
  </si>
  <si>
    <t>1280</t>
  </si>
  <si>
    <t>1278/1281</t>
  </si>
  <si>
    <t>3, 4 Jan 2023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</si>
  <si>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</si>
  <si>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</si>
  <si>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</si>
  <si>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</si>
  <si>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</si>
  <si>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</si>
  <si>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</si>
  <si>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</si>
  <si>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</si>
  <si>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</si>
  <si>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</si>
  <si>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</si>
  <si>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</si>
  <si>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</si>
  <si>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</si>
  <si>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1298</t>
  </si>
  <si>
    <t>1297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</si>
  <si>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</si>
  <si>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</si>
  <si>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</si>
  <si>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</si>
  <si>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</si>
  <si>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</si>
  <si>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</si>
  <si>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</si>
  <si>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</si>
  <si>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</si>
  <si>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</si>
  <si>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</si>
  <si>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</si>
  <si>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</si>
  <si>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</si>
  <si>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</si>
  <si>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</si>
  <si>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</si>
  <si>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</si>
  <si>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</si>
  <si>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</si>
  <si>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</si>
  <si>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</si>
  <si>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</si>
  <si>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</si>
  <si>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</si>
  <si>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</si>
  <si>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</si>
  <si>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</si>
  <si>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</si>
  <si>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1330</t>
  </si>
  <si>
    <t>1331</t>
  </si>
  <si>
    <t>1332</t>
  </si>
  <si>
    <t xml:space="preserve">Default </t>
  </si>
  <si>
    <t>Annual Function - Dinner + Decoration etc</t>
  </si>
  <si>
    <t>28,29 Jan</t>
  </si>
  <si>
    <t>30,31 Jan</t>
  </si>
  <si>
    <t>Towel Fabric</t>
  </si>
  <si>
    <t>Albert - 30000 from Jan</t>
  </si>
  <si>
    <t>Imam Sb - 20000 from Feb</t>
  </si>
  <si>
    <t>Dinner</t>
  </si>
  <si>
    <t>Vacume Maintenance</t>
  </si>
  <si>
    <t>9,10 Feb</t>
  </si>
  <si>
    <t>11, 13 Feb</t>
  </si>
  <si>
    <t>Vacume bag repair</t>
  </si>
  <si>
    <t>Key Making</t>
  </si>
  <si>
    <t>Pana - rent</t>
  </si>
  <si>
    <t>1333</t>
  </si>
  <si>
    <t>1334</t>
  </si>
  <si>
    <t>1335</t>
  </si>
  <si>
    <t>1336</t>
  </si>
  <si>
    <t>1338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</si>
  <si>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</si>
  <si>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</si>
  <si>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</si>
  <si>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</si>
  <si>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</si>
  <si>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</si>
  <si>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</si>
  <si>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</si>
  <si>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</si>
  <si>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</si>
  <si>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</si>
  <si>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</si>
  <si>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</si>
  <si>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</si>
  <si>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</si>
  <si>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</si>
  <si>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</si>
  <si>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</si>
  <si>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1360</t>
  </si>
  <si>
    <t>1361</t>
  </si>
  <si>
    <t>1362</t>
  </si>
  <si>
    <t>1363</t>
  </si>
  <si>
    <t>1364</t>
  </si>
  <si>
    <t>Asif - 403</t>
  </si>
  <si>
    <t>Shahid - 603</t>
  </si>
  <si>
    <t>Dec 2022, Jan, Feb, Mar 2023</t>
  </si>
  <si>
    <t>Dec 9000, Jan to Mar 8000 +  including 1000 balance</t>
  </si>
  <si>
    <t xml:space="preserve">Mosque Mic </t>
  </si>
  <si>
    <t>Faraz for lights, cutain fittings</t>
  </si>
  <si>
    <t xml:space="preserve">Carpet </t>
  </si>
  <si>
    <t xml:space="preserve">Fabric for Staff </t>
  </si>
  <si>
    <t>*-</t>
  </si>
  <si>
    <t>1380</t>
  </si>
  <si>
    <t>1378</t>
  </si>
  <si>
    <t>1379</t>
  </si>
  <si>
    <t>Mineral Water 19 litre</t>
  </si>
  <si>
    <t>2 bottles</t>
  </si>
  <si>
    <t>Mosquito - refil with machine</t>
  </si>
  <si>
    <t>Albert - 15000 Additional resource</t>
  </si>
  <si>
    <t>Adnan - 15000 + 1000 Attendance Allowance</t>
  </si>
  <si>
    <t>Jan to Mar 2023</t>
  </si>
  <si>
    <t>Apr to Jun 2023</t>
  </si>
  <si>
    <t>Jul to Sep 2023</t>
  </si>
  <si>
    <t>Oct to Dec 2023</t>
  </si>
  <si>
    <t>Plants - outside</t>
  </si>
  <si>
    <t>Fan winding</t>
  </si>
  <si>
    <t>Terpal</t>
  </si>
  <si>
    <t>Lock Children play area</t>
  </si>
  <si>
    <t>Mosque/Ramzan Expenses :</t>
  </si>
  <si>
    <t>Oct + Nov 14000, Mar &amp; Apr 14000 + 4000 Community Hall - 11400 lights</t>
  </si>
  <si>
    <t>1339</t>
  </si>
  <si>
    <t>1358</t>
  </si>
  <si>
    <t>Mosque/Ramzan Expense</t>
  </si>
  <si>
    <t>Suits for Staff - On Eid</t>
  </si>
  <si>
    <t>Tea &amp; biscuits for function</t>
  </si>
  <si>
    <t>Motor Pana</t>
  </si>
  <si>
    <t xml:space="preserve">Community hall </t>
  </si>
  <si>
    <t>Expenses - 2023</t>
  </si>
  <si>
    <t>Rec in Oct, Nov &amp; Dec 2022</t>
  </si>
  <si>
    <t>Mar 2023 - May 2023</t>
  </si>
  <si>
    <t>Apr &amp; May 2023</t>
  </si>
  <si>
    <t>13/5/2023</t>
  </si>
  <si>
    <t>Colour Material</t>
  </si>
  <si>
    <t>Wood and Carpentor Labour for duct</t>
  </si>
  <si>
    <t>Received from Danish</t>
  </si>
  <si>
    <t>Colour Labour Paid</t>
  </si>
  <si>
    <t>Labour</t>
  </si>
  <si>
    <t>Cold drink + Vaitor</t>
  </si>
  <si>
    <t>Material for building - Air Freshnors + Cells</t>
  </si>
  <si>
    <t>Sweets - Khatam-e-Quran</t>
  </si>
  <si>
    <t>16/5/2023</t>
  </si>
  <si>
    <t>21/5/2023</t>
  </si>
  <si>
    <t>Total Paid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</si>
  <si>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</si>
  <si>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</si>
  <si>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</si>
  <si>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</si>
  <si>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</si>
  <si>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</si>
  <si>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</si>
  <si>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</si>
  <si>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</si>
  <si>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</si>
  <si>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</si>
  <si>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</si>
  <si>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</si>
  <si>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</si>
  <si>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</si>
  <si>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</si>
  <si>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</si>
  <si>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</si>
  <si>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</si>
  <si>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</si>
  <si>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</si>
  <si>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</si>
  <si>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</si>
  <si>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</si>
  <si>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24/5/2023</t>
  </si>
  <si>
    <t>1393</t>
  </si>
  <si>
    <t>1394</t>
  </si>
  <si>
    <t>1395</t>
  </si>
  <si>
    <t>1397</t>
  </si>
  <si>
    <t>1396</t>
  </si>
  <si>
    <t>1398</t>
  </si>
  <si>
    <t>1399</t>
  </si>
  <si>
    <t>Rec in Jan 2023</t>
  </si>
  <si>
    <t>25/5/2023</t>
  </si>
  <si>
    <t>Labour Charges - light change</t>
  </si>
  <si>
    <t>Others</t>
  </si>
  <si>
    <t>Carpenter</t>
  </si>
  <si>
    <t>30/5/2023</t>
  </si>
  <si>
    <t>1401</t>
  </si>
  <si>
    <t>1403</t>
  </si>
  <si>
    <t>1404</t>
  </si>
  <si>
    <t>3,8,10 May</t>
  </si>
  <si>
    <t>1399/1402/1405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</si>
  <si>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</si>
  <si>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</si>
  <si>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</si>
  <si>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</si>
  <si>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</si>
  <si>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</si>
  <si>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</si>
  <si>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</si>
  <si>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</si>
  <si>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</si>
  <si>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</si>
  <si>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</si>
  <si>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</si>
  <si>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1421</t>
  </si>
  <si>
    <t>1419</t>
  </si>
  <si>
    <t>1420</t>
  </si>
  <si>
    <t>28/5/2023</t>
  </si>
  <si>
    <t>31/5/2023</t>
  </si>
  <si>
    <t>Directly Paid by Danish to Amanat for labour charges</t>
  </si>
  <si>
    <t>Colour Labour Paid by Danish</t>
  </si>
  <si>
    <t>Colour Material + rent</t>
  </si>
  <si>
    <t>Total Colour Labor Paid</t>
  </si>
  <si>
    <t xml:space="preserve">Total Colour Material </t>
  </si>
  <si>
    <t xml:space="preserve">Total Cash Received </t>
  </si>
  <si>
    <t>Colour Material + rent + Misc. Expense</t>
  </si>
  <si>
    <t>Paid to Zahid - Grill works</t>
  </si>
  <si>
    <t>Dinner Worker</t>
  </si>
  <si>
    <t>Cleaning complete hall</t>
  </si>
  <si>
    <t>chip pip</t>
  </si>
  <si>
    <t>Grren Tea - Taraweah</t>
  </si>
  <si>
    <t>Green Tea for Imam Sb. during Taraweah</t>
  </si>
  <si>
    <t>Mineral Water - Mosque</t>
  </si>
  <si>
    <t xml:space="preserve">Air freshner + Cells </t>
  </si>
  <si>
    <t>Paid to Shahid bhai for Mistri</t>
  </si>
  <si>
    <t>13/6/2023</t>
  </si>
  <si>
    <t>Received from Danish for Grill Works</t>
  </si>
  <si>
    <t>14/6/2023</t>
  </si>
  <si>
    <t>Received from Danish (Cash)</t>
  </si>
  <si>
    <t>18/6/2023</t>
  </si>
  <si>
    <t>Plant Pont + Fixing + Labour</t>
  </si>
  <si>
    <t>Mystri block + Labour (Final Payment)</t>
  </si>
  <si>
    <t>Air Freshnor</t>
  </si>
  <si>
    <t>17/06/2023</t>
  </si>
  <si>
    <t>16/06/2023</t>
  </si>
  <si>
    <t>19/6/2023</t>
  </si>
  <si>
    <t>21/6/2023</t>
  </si>
  <si>
    <t>Bhalo Mitti</t>
  </si>
  <si>
    <t>Lights - Paid to Faraz</t>
  </si>
  <si>
    <t>22/6/2023</t>
  </si>
  <si>
    <t>25/6/2023</t>
  </si>
  <si>
    <t>23/6/2023</t>
  </si>
  <si>
    <t>24/6/2023</t>
  </si>
  <si>
    <t>Colour Material - Khurram</t>
  </si>
  <si>
    <t>Colour Material - Taha</t>
  </si>
  <si>
    <t>Lock community hall</t>
  </si>
  <si>
    <t xml:space="preserve">Clearing Machine </t>
  </si>
  <si>
    <t>11, 23 Apr</t>
  </si>
  <si>
    <t xml:space="preserve">Various </t>
  </si>
  <si>
    <t>Labour Paid</t>
  </si>
  <si>
    <t>Building Colour Expenses</t>
  </si>
  <si>
    <t>1422</t>
  </si>
  <si>
    <t>1423</t>
  </si>
  <si>
    <t>1424</t>
  </si>
  <si>
    <t>1425</t>
  </si>
  <si>
    <t>1426/1427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</si>
  <si>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</si>
  <si>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</si>
  <si>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</si>
  <si>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</si>
  <si>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</si>
  <si>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</si>
  <si>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</si>
  <si>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</si>
  <si>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</si>
  <si>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</si>
  <si>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</si>
  <si>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</si>
  <si>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</si>
  <si>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</si>
  <si>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</si>
  <si>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</si>
  <si>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</si>
  <si>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</si>
  <si>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</si>
  <si>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</si>
  <si>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</si>
  <si>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</si>
  <si>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</si>
  <si>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</si>
  <si>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</si>
  <si>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</si>
  <si>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</si>
  <si>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</si>
  <si>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</si>
  <si>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</si>
  <si>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</si>
  <si>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</si>
  <si>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</si>
  <si>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</si>
  <si>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</si>
  <si>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</si>
  <si>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</si>
  <si>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</si>
  <si>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</si>
  <si>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</si>
  <si>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</si>
  <si>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</si>
  <si>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</si>
  <si>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</si>
  <si>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</si>
  <si>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</si>
  <si>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</si>
  <si>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</si>
  <si>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</si>
  <si>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Jun 2023 - Aug 2023</t>
  </si>
  <si>
    <t>Apr &amp; May</t>
  </si>
  <si>
    <t>Ashfaq Sb.- 604</t>
  </si>
  <si>
    <t>Salman 503</t>
  </si>
  <si>
    <t>Fahad Qureshi 901</t>
  </si>
  <si>
    <t>20/08/2023</t>
  </si>
  <si>
    <t>21/08/2023</t>
  </si>
  <si>
    <t xml:space="preserve">Tape </t>
  </si>
  <si>
    <t>Ashfaq Sb. - 802</t>
  </si>
  <si>
    <t>Ligts for Building</t>
  </si>
  <si>
    <t>19/08/2023</t>
  </si>
  <si>
    <t>23/08/2023</t>
  </si>
  <si>
    <t>Bykea</t>
  </si>
  <si>
    <t xml:space="preserve">Lights change &amp; Mosque lights repair </t>
  </si>
  <si>
    <t>1500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</si>
  <si>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</si>
  <si>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</si>
  <si>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</si>
  <si>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</si>
  <si>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</si>
  <si>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</si>
  <si>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</si>
  <si>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</si>
  <si>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</si>
  <si>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</si>
  <si>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</si>
  <si>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</si>
  <si>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</si>
  <si>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</si>
  <si>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</si>
  <si>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</si>
  <si>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</si>
  <si>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</si>
  <si>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1495/1496</t>
  </si>
  <si>
    <t>1497</t>
  </si>
  <si>
    <t>1498</t>
  </si>
  <si>
    <t>1499</t>
  </si>
  <si>
    <t>1502</t>
  </si>
  <si>
    <t>1501</t>
  </si>
  <si>
    <t>27/09/2023</t>
  </si>
  <si>
    <t>18/09/2023</t>
  </si>
  <si>
    <t>23/09/2023</t>
  </si>
  <si>
    <t>Parking Wash material + Labour</t>
  </si>
  <si>
    <t>Tap - Wshroom</t>
  </si>
  <si>
    <t>22,23,26 Jun</t>
  </si>
  <si>
    <t>27,28,30 Jun</t>
  </si>
  <si>
    <t>Other Expenses</t>
  </si>
  <si>
    <t>Other Expenses - Total</t>
  </si>
  <si>
    <t>Directly Paid to Chapra - Aameen Ullah</t>
  </si>
  <si>
    <t>17/6/2023</t>
  </si>
  <si>
    <t>Qurani Expense - Chapra</t>
  </si>
  <si>
    <t>GL - Record 1</t>
  </si>
  <si>
    <t>Funds/Expense Record - Naveed Ansari</t>
  </si>
  <si>
    <t>Material - All floors &amp; Parking</t>
  </si>
  <si>
    <t>Building Clolour</t>
  </si>
  <si>
    <t xml:space="preserve">Wash Room Parts </t>
  </si>
  <si>
    <t xml:space="preserve">AC Outer Cleaning </t>
  </si>
  <si>
    <t>Lights Outside purchase</t>
  </si>
  <si>
    <t>Plant Pot + Fixing + Labour</t>
  </si>
  <si>
    <t xml:space="preserve">Main Whole Cover </t>
  </si>
  <si>
    <t>Dispensor Repairing</t>
  </si>
  <si>
    <t>Sep 2023 - Nov 2023</t>
  </si>
  <si>
    <t>Tent for Qurbani - Chapra + Loading Bamboos</t>
  </si>
  <si>
    <t>18, 26 Jul</t>
  </si>
  <si>
    <t>Cleaning Cloths - Jahangir</t>
  </si>
  <si>
    <t>Tube</t>
  </si>
  <si>
    <t>.</t>
  </si>
  <si>
    <r>
      <rPr>
        <sz val="11"/>
        <color rgb="FFFF0000"/>
        <rFont val="Calibri"/>
        <family val="2"/>
        <scheme val="minor"/>
      </rPr>
      <t>Shahzad</t>
    </r>
    <r>
      <rPr>
        <sz val="11"/>
        <color theme="1"/>
        <rFont val="Calibri"/>
        <family val="2"/>
        <scheme val="minor"/>
      </rPr>
      <t xml:space="preserve"> - Sajjid - Full and Final Sajjid 15/5/2023</t>
    </r>
  </si>
  <si>
    <t>Mirrir Center TABLE</t>
  </si>
  <si>
    <t>Plant Pots + Fixing + Labour</t>
  </si>
  <si>
    <t>Mrs. Rashid 103 Jun, Jul, Aug &amp; Sep</t>
  </si>
  <si>
    <t>Naveed Jun, Jul, Aug &amp; Sep</t>
  </si>
  <si>
    <t>30/09/2023</t>
  </si>
  <si>
    <t>Jul, Aug &amp; Sep 2023</t>
  </si>
  <si>
    <t>Maintenance Amount Received by Naveed</t>
  </si>
  <si>
    <t xml:space="preserve">Net Ampunt </t>
  </si>
  <si>
    <t>Gate &amp; other lock work</t>
  </si>
  <si>
    <t>1542</t>
  </si>
  <si>
    <t>1541</t>
  </si>
  <si>
    <t>1540</t>
  </si>
  <si>
    <t>1544</t>
  </si>
  <si>
    <t>1503</t>
  </si>
  <si>
    <t>1504</t>
  </si>
  <si>
    <t>1505</t>
  </si>
  <si>
    <t>1506</t>
  </si>
  <si>
    <t>1507</t>
  </si>
  <si>
    <t>1508/1509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</si>
  <si>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</si>
  <si>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</si>
  <si>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</si>
  <si>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</si>
  <si>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</si>
  <si>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</si>
  <si>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</si>
  <si>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</si>
  <si>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</si>
  <si>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</si>
  <si>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</si>
  <si>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</si>
  <si>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</si>
  <si>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</si>
  <si>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</si>
  <si>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</si>
  <si>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</si>
  <si>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</si>
  <si>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</si>
  <si>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</si>
  <si>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</si>
  <si>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</si>
  <si>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</si>
  <si>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</si>
  <si>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</si>
  <si>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1536</t>
  </si>
  <si>
    <t>1537</t>
  </si>
  <si>
    <t>1538</t>
  </si>
  <si>
    <t>1539</t>
  </si>
  <si>
    <t>Bykea for lights delivery</t>
  </si>
  <si>
    <t>31/08/2023</t>
  </si>
  <si>
    <t>Differential</t>
  </si>
  <si>
    <t>1546</t>
  </si>
  <si>
    <t>10,22 Oct</t>
  </si>
  <si>
    <t>1535/1545</t>
  </si>
  <si>
    <t>18/11/2023</t>
  </si>
  <si>
    <t>Labour Charges to Faraz</t>
  </si>
  <si>
    <t>29/11/2023</t>
  </si>
  <si>
    <t>Mrs. Rashid 103 Oct, Nov &amp; Dec 2023</t>
  </si>
  <si>
    <t>Naveed Oct, Nov &amp; Dec 2023</t>
  </si>
  <si>
    <t>22/10/2023</t>
  </si>
  <si>
    <t>22/12/2023</t>
  </si>
  <si>
    <t>31/12/2023</t>
  </si>
  <si>
    <t>Anus Raza -Jun to Sep'23 - Along with 4,000 previous balance</t>
  </si>
  <si>
    <t>Anus Raza - 704 Oct 2023 to Jan 2024</t>
  </si>
  <si>
    <t xml:space="preserve">Cricket Ground + 2 Bat, 6 Balls &amp; Tapes + Refreshment </t>
  </si>
  <si>
    <t>Lights , Holder - 14th Floor- Mosque light repair</t>
  </si>
  <si>
    <t>1547</t>
  </si>
  <si>
    <t>1548</t>
  </si>
  <si>
    <t>1549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</si>
  <si>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</si>
  <si>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</si>
  <si>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</si>
  <si>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</si>
  <si>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</si>
  <si>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</si>
  <si>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</si>
  <si>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</si>
  <si>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</si>
  <si>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</si>
  <si>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</si>
  <si>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</si>
  <si>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</si>
  <si>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1565</t>
  </si>
  <si>
    <t>1566</t>
  </si>
  <si>
    <t>1567</t>
  </si>
  <si>
    <t>1569</t>
  </si>
  <si>
    <t>1551/1568</t>
  </si>
  <si>
    <t>1, 30 Nov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</si>
  <si>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</si>
  <si>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</si>
  <si>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</si>
  <si>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</si>
  <si>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</si>
  <si>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</si>
  <si>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</si>
  <si>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</si>
  <si>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</si>
  <si>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</si>
  <si>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</si>
  <si>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</si>
  <si>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</si>
  <si>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</si>
  <si>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</si>
  <si>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</si>
  <si>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</si>
  <si>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</si>
  <si>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1589</t>
  </si>
  <si>
    <t>1588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</si>
  <si>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</si>
  <si>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</si>
  <si>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</si>
  <si>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</si>
  <si>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</si>
  <si>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</si>
  <si>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</si>
  <si>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</si>
  <si>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</si>
  <si>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</si>
  <si>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</si>
  <si>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</si>
  <si>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</si>
  <si>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</si>
  <si>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</si>
  <si>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1605/1606</t>
  </si>
  <si>
    <t>1607</t>
  </si>
  <si>
    <t>1608</t>
  </si>
  <si>
    <t>Due for the last Year 2022</t>
  </si>
  <si>
    <t>Due for the Year  2023</t>
  </si>
  <si>
    <t>Still Outstanding</t>
  </si>
  <si>
    <t>Appartment No.</t>
  </si>
  <si>
    <t>1609</t>
  </si>
  <si>
    <t>1610</t>
  </si>
  <si>
    <t>1611</t>
  </si>
  <si>
    <t>1564</t>
  </si>
  <si>
    <t>1612</t>
  </si>
  <si>
    <t>1613</t>
  </si>
  <si>
    <t>1614</t>
  </si>
  <si>
    <t>Glass for table</t>
  </si>
  <si>
    <t>Vacume Cleaner repair</t>
  </si>
  <si>
    <t xml:space="preserve">Drinking Water - Aqua </t>
  </si>
  <si>
    <t>10,12 Oct</t>
  </si>
  <si>
    <t>14,16 Oct</t>
  </si>
  <si>
    <t>Color</t>
  </si>
  <si>
    <t>18,20 Oct</t>
  </si>
  <si>
    <t>Simentex</t>
  </si>
  <si>
    <t>Intercom - 2 months Aug not paid</t>
  </si>
  <si>
    <t>Lock Play Area</t>
  </si>
  <si>
    <t>12,15 Nov</t>
  </si>
  <si>
    <t>20,23,24 Nov</t>
  </si>
  <si>
    <t>26-30 Nov</t>
  </si>
  <si>
    <t>Cricket for Residence</t>
  </si>
  <si>
    <t>1650</t>
  </si>
  <si>
    <t>1648</t>
  </si>
  <si>
    <t>1651</t>
  </si>
  <si>
    <t>1615</t>
  </si>
  <si>
    <t>1616</t>
  </si>
  <si>
    <t>1617</t>
  </si>
  <si>
    <t>1618</t>
  </si>
  <si>
    <t>1619</t>
  </si>
  <si>
    <t>1620/1621</t>
  </si>
  <si>
    <t>Jan 20, 25 - 2024</t>
  </si>
  <si>
    <t>1622</t>
  </si>
  <si>
    <t>1623</t>
  </si>
  <si>
    <t>1624</t>
  </si>
  <si>
    <t>1625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</si>
  <si>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</si>
  <si>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</si>
  <si>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</si>
  <si>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</si>
  <si>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</si>
  <si>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</si>
  <si>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</si>
  <si>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</si>
  <si>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</si>
  <si>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</si>
  <si>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</si>
  <si>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</si>
  <si>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1641</t>
  </si>
  <si>
    <t>1640</t>
  </si>
  <si>
    <t>1642</t>
  </si>
  <si>
    <t>1643</t>
  </si>
  <si>
    <t>1644</t>
  </si>
  <si>
    <t>1645</t>
  </si>
  <si>
    <t>1647</t>
  </si>
  <si>
    <t>7, 8, 9 Dec</t>
  </si>
  <si>
    <t>9, 10, 11 Dec</t>
  </si>
  <si>
    <t>18,19,21 Dec</t>
  </si>
  <si>
    <t>Vacume Cleaner rpair</t>
  </si>
  <si>
    <t>Photo Copy</t>
  </si>
  <si>
    <t>1-6 Dec</t>
  </si>
  <si>
    <t>22 - 30 Dec</t>
  </si>
  <si>
    <t>Fire Cylinder - Gas Filling</t>
  </si>
  <si>
    <t xml:space="preserve">Play Area Expenses </t>
  </si>
  <si>
    <t>Rec in Apr</t>
  </si>
  <si>
    <t>Rec in May</t>
  </si>
  <si>
    <t>Rec in Jul</t>
  </si>
  <si>
    <t>Rec in Jan, Feb and Mar 2023</t>
  </si>
  <si>
    <t>Rec in Oct</t>
  </si>
  <si>
    <t>Mar 2024 - May 2024</t>
  </si>
  <si>
    <t>Bykea for Lights</t>
  </si>
  <si>
    <t xml:space="preserve">Plants for Building </t>
  </si>
  <si>
    <t>Table Tennis Rackets + Balls</t>
  </si>
  <si>
    <t>Naveed - Jan, Feb &amp; Mar 2024</t>
  </si>
  <si>
    <t>Salman - Sep, Oct, Nov &amp; Dec 2023</t>
  </si>
  <si>
    <t>Khalid - Aug 2022 to Sep 2023</t>
  </si>
  <si>
    <t>GL - Record 4 - 2024</t>
  </si>
  <si>
    <t xml:space="preserve">Mosques, Lights and Curtian </t>
  </si>
  <si>
    <t>Amplifier for Mosques + Labour Charges</t>
  </si>
  <si>
    <t xml:space="preserve">Vacume cleaner </t>
  </si>
  <si>
    <t>Suits to Staff</t>
  </si>
  <si>
    <t>Lights for building</t>
  </si>
  <si>
    <t>Faraz</t>
  </si>
  <si>
    <t>Iftar Imam Sb.</t>
  </si>
  <si>
    <t>Various</t>
  </si>
  <si>
    <t>Imam Sb (Taraweah)</t>
  </si>
  <si>
    <t>Sweats - Khatam-e-Quran</t>
  </si>
  <si>
    <t>Decoration</t>
  </si>
  <si>
    <t xml:space="preserve">Snooker Dabbo Polish + Fusball Service + Material </t>
  </si>
  <si>
    <t>Fahad Qureshi - Sep 2023 to Mar 2024</t>
  </si>
  <si>
    <t>Jan to Mar 2024</t>
  </si>
  <si>
    <t>1646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</si>
  <si>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</si>
  <si>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</si>
  <si>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</si>
  <si>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</si>
  <si>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</si>
  <si>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</si>
  <si>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</si>
  <si>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</si>
  <si>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</si>
  <si>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</si>
  <si>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</si>
  <si>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</si>
  <si>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</si>
  <si>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</si>
  <si>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</si>
  <si>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</si>
  <si>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</si>
  <si>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</si>
  <si>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</si>
  <si>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</si>
  <si>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</si>
  <si>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</si>
  <si>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</si>
  <si>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</si>
  <si>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</si>
  <si>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</si>
  <si>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</si>
  <si>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</si>
  <si>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</si>
  <si>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</si>
  <si>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</si>
  <si>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</si>
  <si>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</si>
  <si>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</si>
  <si>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</si>
  <si>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</si>
  <si>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</si>
  <si>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</si>
  <si>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</si>
  <si>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1691/1692/1693</t>
  </si>
  <si>
    <t>1695</t>
  </si>
  <si>
    <t>1694</t>
  </si>
  <si>
    <t>1696</t>
  </si>
  <si>
    <t>1697</t>
  </si>
  <si>
    <t>Mrs. Rashid - Jan, Feb &amp; Mar 2024</t>
  </si>
  <si>
    <t>Cold Drink + Disposable glass</t>
  </si>
  <si>
    <t>1698</t>
  </si>
  <si>
    <t>1699</t>
  </si>
  <si>
    <t>1700</t>
  </si>
  <si>
    <t>Maintenance Amount Received till April 2024</t>
  </si>
  <si>
    <t>Total Amount Due (2022+2023)</t>
  </si>
  <si>
    <t xml:space="preserve">Maintenance Recived during the Year 2023 </t>
  </si>
  <si>
    <t>Monthly Maintenance Amount till April 2024</t>
  </si>
  <si>
    <t>5,10 Jan</t>
  </si>
  <si>
    <t>Oil, Diesel, Rope</t>
  </si>
  <si>
    <t>13,16 Jan</t>
  </si>
  <si>
    <t>Kashif Motor overhead tank</t>
  </si>
  <si>
    <t>25,31 Jan</t>
  </si>
  <si>
    <t>Reception Handle</t>
  </si>
  <si>
    <t>Tap</t>
  </si>
  <si>
    <t>2,8 Feb</t>
  </si>
  <si>
    <t xml:space="preserve">Nadeem - 28000 </t>
  </si>
  <si>
    <t>10,15 Feb</t>
  </si>
  <si>
    <t>22,29 Feb</t>
  </si>
  <si>
    <t>Outside guter cover</t>
  </si>
  <si>
    <t>Welding gate</t>
  </si>
  <si>
    <t>1,2 Mar</t>
  </si>
  <si>
    <t>3,5 Mar</t>
  </si>
  <si>
    <t>Material</t>
  </si>
  <si>
    <t>Boring Machine</t>
  </si>
  <si>
    <t>Electric Breaker</t>
  </si>
  <si>
    <t>Somework</t>
  </si>
  <si>
    <t>Tap Water Dispenser</t>
  </si>
  <si>
    <t>Rec in Jan 24</t>
  </si>
  <si>
    <t>Extra paid ?</t>
  </si>
  <si>
    <t>Kelectric - Jan 2024</t>
  </si>
  <si>
    <t>Plants for Building</t>
  </si>
  <si>
    <t>Plants for building</t>
  </si>
  <si>
    <t>Funds in Hand</t>
  </si>
  <si>
    <t>Opening Jan 01, 2024</t>
  </si>
  <si>
    <t>Kelectric - Feb 2024</t>
  </si>
  <si>
    <t>Play Area Expenses</t>
  </si>
  <si>
    <t>Mosque, lights, curtain fitting - Faraz</t>
  </si>
  <si>
    <t xml:space="preserve">Vacume Cleaner </t>
  </si>
  <si>
    <t xml:space="preserve">Lights for building </t>
  </si>
  <si>
    <t>Labour Paid to Faraz</t>
  </si>
  <si>
    <t>Kelectric - Mar 2024</t>
  </si>
  <si>
    <t>Vacume Cleaner</t>
  </si>
  <si>
    <t xml:space="preserve">Mosque/Ramazan Expenses </t>
  </si>
  <si>
    <t>Nov 2021 to Apr 2022</t>
  </si>
  <si>
    <t>May 2022 to Oct 2022</t>
  </si>
  <si>
    <t>Nov 2022 to Apr 2023</t>
  </si>
  <si>
    <t>May 2023 to Oct 2023</t>
  </si>
  <si>
    <t>Nov 2023 to Apr 2024</t>
  </si>
  <si>
    <t>May 2024 to Oct 2024</t>
  </si>
  <si>
    <t>1701</t>
  </si>
  <si>
    <t>1702</t>
  </si>
  <si>
    <t>1703</t>
  </si>
  <si>
    <t>1704</t>
  </si>
  <si>
    <t>1705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</si>
  <si>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</si>
  <si>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</si>
  <si>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</si>
  <si>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</si>
  <si>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</si>
  <si>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</si>
  <si>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</si>
  <si>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</si>
  <si>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</si>
  <si>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</si>
  <si>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</si>
  <si>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</si>
  <si>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</si>
  <si>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</si>
  <si>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</si>
  <si>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GL - Record 5 - 2024</t>
  </si>
  <si>
    <t>GL - Record 3 - 2023</t>
  </si>
  <si>
    <t>GL - Record 2 - 2023</t>
  </si>
  <si>
    <t xml:space="preserve">Asf - 403 </t>
  </si>
  <si>
    <t>Discontinue - Informed in May by Danish in union meeting</t>
  </si>
  <si>
    <t>1722</t>
  </si>
  <si>
    <t>1723</t>
  </si>
  <si>
    <t>1725</t>
  </si>
  <si>
    <t>1724</t>
  </si>
  <si>
    <t>Air Freshner</t>
  </si>
  <si>
    <t>Chapra + Tea</t>
  </si>
  <si>
    <t xml:space="preserve">Lights for Chapra + Labour </t>
  </si>
  <si>
    <t>Water Dispenser - Dawlance</t>
  </si>
  <si>
    <t xml:space="preserve">Chapra - Lifting </t>
  </si>
  <si>
    <t>Dilbar - 10 days Cow chokidari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</si>
  <si>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</si>
  <si>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</si>
  <si>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</si>
  <si>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</si>
  <si>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</si>
  <si>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</si>
  <si>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</si>
  <si>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</si>
  <si>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</si>
  <si>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</si>
  <si>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</si>
  <si>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</si>
  <si>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</si>
  <si>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</si>
  <si>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</si>
  <si>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1742</t>
  </si>
  <si>
    <t>1743</t>
  </si>
  <si>
    <t>1741/1744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</si>
  <si>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</si>
  <si>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</si>
  <si>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</si>
  <si>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</si>
  <si>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</si>
  <si>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</si>
  <si>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</si>
  <si>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</si>
  <si>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</si>
  <si>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</si>
  <si>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</si>
  <si>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</si>
  <si>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</si>
  <si>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</si>
  <si>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</si>
  <si>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</si>
  <si>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</si>
  <si>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</si>
  <si>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</si>
  <si>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</si>
  <si>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</si>
  <si>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</si>
  <si>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</si>
  <si>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</si>
  <si>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</si>
  <si>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</si>
  <si>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</si>
  <si>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</si>
  <si>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</si>
  <si>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</si>
  <si>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</si>
  <si>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</si>
  <si>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</si>
  <si>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</si>
  <si>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</si>
  <si>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</si>
  <si>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</si>
  <si>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</si>
  <si>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</si>
  <si>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</si>
  <si>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1414 Adjust</t>
  </si>
  <si>
    <t>Handwash - 2 Pieces for Wazo Khana</t>
  </si>
  <si>
    <t>Water - Aqua for Staff</t>
  </si>
  <si>
    <t xml:space="preserve">Motor Repairing with Labour </t>
  </si>
  <si>
    <t xml:space="preserve">Drive Switch </t>
  </si>
  <si>
    <t>Rat Catcher</t>
  </si>
  <si>
    <t>Kashif Labour - Boring</t>
  </si>
  <si>
    <t>Button</t>
  </si>
  <si>
    <t>Better Charger - Terminal</t>
  </si>
  <si>
    <t>Fan Repairing</t>
  </si>
  <si>
    <t>Fan Winding</t>
  </si>
  <si>
    <t>Brake Shoes, Door repair, Oil</t>
  </si>
  <si>
    <t>Floor parking cleaning</t>
  </si>
  <si>
    <t>Labour Paid to Faraz/Waqas</t>
  </si>
  <si>
    <t>Eid Material - Plastic etc</t>
  </si>
  <si>
    <t>Tarpal - Wiper</t>
  </si>
  <si>
    <t>Farm house + Food</t>
  </si>
  <si>
    <t>Belt - Motor</t>
  </si>
  <si>
    <t>Kashif - Labour</t>
  </si>
  <si>
    <t>1795</t>
  </si>
  <si>
    <t>1796</t>
  </si>
  <si>
    <t>1798</t>
  </si>
  <si>
    <t>1794</t>
  </si>
  <si>
    <t>1799</t>
  </si>
  <si>
    <t>1797</t>
  </si>
  <si>
    <t>1800</t>
  </si>
  <si>
    <t>Building Mats</t>
  </si>
  <si>
    <t>Tanveer Bhai - 501</t>
  </si>
  <si>
    <t>Lights - Main ramp entrance</t>
  </si>
  <si>
    <t xml:space="preserve">Lights fixing Charges </t>
  </si>
  <si>
    <t>Ladder 20ft Ghori + Rent</t>
  </si>
  <si>
    <t>Jun 2024 - Aug 2024</t>
  </si>
  <si>
    <t>Sep 2024 - Nov 2024</t>
  </si>
  <si>
    <t>Rec in Apr 24</t>
  </si>
  <si>
    <t>Rec in Jul 24</t>
  </si>
  <si>
    <t>Kelectric - Apr 2024</t>
  </si>
  <si>
    <t>Kelectric - May 2024</t>
  </si>
  <si>
    <t>Kelectric - Jun 2024</t>
  </si>
  <si>
    <t>Chapra + Loading Bamboos + lifting</t>
  </si>
  <si>
    <t>Water Dispensor</t>
  </si>
  <si>
    <t>Water Dispensr</t>
  </si>
  <si>
    <t>4,20 Jun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</si>
  <si>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</si>
  <si>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</si>
  <si>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</si>
  <si>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</si>
  <si>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</si>
  <si>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</si>
  <si>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</si>
  <si>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</si>
  <si>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</si>
  <si>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</si>
  <si>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</si>
  <si>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</si>
  <si>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</si>
  <si>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</si>
  <si>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</si>
  <si>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Kelectric - Jul 2024</t>
  </si>
  <si>
    <t>Naveed - Apr, May &amp; Jun 2024</t>
  </si>
  <si>
    <t>Mrs. Rashid - Apr, May &amp; Jun 2024</t>
  </si>
  <si>
    <t>Mali</t>
  </si>
  <si>
    <t>Annus Bhai - 704 (May to Aug 2024)</t>
  </si>
  <si>
    <t>Apr to Jun 2024</t>
  </si>
  <si>
    <t>Jul to Sep 2024</t>
  </si>
  <si>
    <t>1 Year - Quarterly Payment</t>
  </si>
  <si>
    <t>1816</t>
  </si>
  <si>
    <t>1817</t>
  </si>
  <si>
    <t>1818</t>
  </si>
  <si>
    <t>1819</t>
  </si>
  <si>
    <t>1820</t>
  </si>
  <si>
    <t>1821</t>
  </si>
  <si>
    <t>1822</t>
  </si>
  <si>
    <t>1823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</si>
  <si>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</si>
  <si>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</si>
  <si>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</si>
  <si>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</si>
  <si>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</si>
  <si>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</si>
  <si>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</si>
  <si>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</si>
  <si>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</si>
  <si>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</si>
  <si>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</si>
  <si>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</si>
  <si>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1741</t>
  </si>
  <si>
    <t>1786</t>
  </si>
  <si>
    <t>1787</t>
  </si>
  <si>
    <t>1788</t>
  </si>
  <si>
    <t>1789</t>
  </si>
  <si>
    <t>1790</t>
  </si>
  <si>
    <t>1791</t>
  </si>
  <si>
    <t>1792</t>
  </si>
  <si>
    <t>Shop Maint. (A)</t>
  </si>
  <si>
    <t>1842</t>
  </si>
  <si>
    <t>1843</t>
  </si>
  <si>
    <t>1844</t>
  </si>
  <si>
    <t>1845</t>
  </si>
  <si>
    <t>1846</t>
  </si>
  <si>
    <t>1847</t>
  </si>
  <si>
    <t>1848</t>
  </si>
  <si>
    <t>1850</t>
  </si>
  <si>
    <t>1849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</si>
  <si>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</si>
  <si>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</si>
  <si>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</si>
  <si>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</si>
  <si>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</si>
  <si>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</si>
  <si>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</si>
  <si>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</si>
  <si>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</si>
  <si>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</si>
  <si>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</si>
  <si>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</si>
  <si>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</si>
  <si>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</si>
  <si>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</si>
  <si>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</si>
  <si>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</si>
  <si>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Residents - Receipts 2024</t>
  </si>
  <si>
    <t>GL - Record 6 - 2024</t>
  </si>
  <si>
    <t>26/12/2024</t>
  </si>
  <si>
    <t>20/12/2024</t>
  </si>
  <si>
    <t>29/12/2024</t>
  </si>
  <si>
    <t>Outside Plant</t>
  </si>
  <si>
    <t xml:space="preserve">Salman - 503 </t>
  </si>
  <si>
    <t>18/12/2024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</si>
  <si>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</si>
  <si>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</si>
  <si>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</si>
  <si>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</si>
  <si>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</si>
  <si>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</si>
  <si>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</si>
  <si>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</si>
  <si>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</si>
  <si>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</si>
  <si>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</si>
  <si>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</si>
  <si>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</si>
  <si>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</si>
  <si>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</si>
  <si>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</si>
  <si>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</si>
  <si>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</si>
  <si>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</si>
  <si>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</si>
  <si>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</si>
  <si>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1890</t>
  </si>
  <si>
    <t>1891</t>
  </si>
  <si>
    <t>1892</t>
  </si>
  <si>
    <t>1893</t>
  </si>
  <si>
    <t>1894</t>
  </si>
  <si>
    <t>1895/1896</t>
  </si>
  <si>
    <t>1897</t>
  </si>
  <si>
    <t>Maintenance Recived during the Year 2023</t>
  </si>
  <si>
    <t>1899</t>
  </si>
  <si>
    <t>1900</t>
  </si>
  <si>
    <t>Mrs. Rashid - Jul to Dec 2024</t>
  </si>
  <si>
    <t>Naveed - Jul to Dec 2024</t>
  </si>
  <si>
    <t>1901</t>
  </si>
  <si>
    <t>1902</t>
  </si>
  <si>
    <t>1903</t>
  </si>
  <si>
    <t>1904</t>
  </si>
  <si>
    <t>24/30 Dec</t>
  </si>
  <si>
    <t>1905/1907</t>
  </si>
  <si>
    <t>1906</t>
  </si>
  <si>
    <t>1793</t>
  </si>
  <si>
    <t>1908</t>
  </si>
  <si>
    <t>1909</t>
  </si>
  <si>
    <t>1898</t>
  </si>
  <si>
    <t>1889/1910</t>
  </si>
  <si>
    <t>9,30 Dec</t>
  </si>
  <si>
    <t xml:space="preserve">Faisal 202 - </t>
  </si>
  <si>
    <t xml:space="preserve">File &amp; Tape </t>
  </si>
  <si>
    <t>Summer pump - New Motor + Labour</t>
  </si>
  <si>
    <t>Electrical work tank + Labour</t>
  </si>
  <si>
    <t xml:space="preserve">Documentation Work Union </t>
  </si>
  <si>
    <t>Paid to Ali Bhai</t>
  </si>
  <si>
    <t>Gym Maintenance + Treadmill new belt change + Dumbel</t>
  </si>
  <si>
    <t>Mirror - Lift</t>
  </si>
  <si>
    <t>Intercom Cable 20 Flats work</t>
  </si>
  <si>
    <t>Ramp work with Material and Labour / Spped Breaker</t>
  </si>
  <si>
    <t>Handwash</t>
  </si>
  <si>
    <t>Ladder - Ghori</t>
  </si>
  <si>
    <t xml:space="preserve">Mali for Outside Plants </t>
  </si>
  <si>
    <t>Computer repair</t>
  </si>
  <si>
    <t>Kelectric - Aug 2024</t>
  </si>
  <si>
    <t>Registration Expense of AV Union</t>
  </si>
  <si>
    <t>Building Expenses - Colour/Ramp Entrance filling</t>
  </si>
  <si>
    <t xml:space="preserve">   </t>
  </si>
  <si>
    <t>Washroom door repair - Shahid Bhai</t>
  </si>
  <si>
    <t>23/12/2024</t>
  </si>
  <si>
    <t>Lights for building + Wire + Labour - Kaleem</t>
  </si>
  <si>
    <t>Lights for building+community hall + Labour - Shamoon</t>
  </si>
  <si>
    <t>Kelectric - Oct 2024</t>
  </si>
  <si>
    <t>Kelectric - Sep 2024</t>
  </si>
  <si>
    <t>Dec 2023 - Feb 2024</t>
  </si>
  <si>
    <t>Rec in Oct 24</t>
  </si>
  <si>
    <t>Kashif - Material + Labour</t>
  </si>
  <si>
    <t>25/30 Nov</t>
  </si>
  <si>
    <t>Albert - 15000 Additional resource/Dilbar/Navid</t>
  </si>
  <si>
    <t>Plants for Building/Outside</t>
  </si>
  <si>
    <t xml:space="preserve">Lights for building/wire </t>
  </si>
  <si>
    <t>Gate Lock + Door Closer etc</t>
  </si>
  <si>
    <t>Display Card / Invertor</t>
  </si>
  <si>
    <t>Door Outside</t>
  </si>
  <si>
    <t>Dec 2024 - Feb 2025</t>
  </si>
  <si>
    <t>Oct to Dec 2024</t>
  </si>
  <si>
    <t>Jan to Mar 2025</t>
  </si>
  <si>
    <t>1911</t>
  </si>
  <si>
    <t>1914</t>
  </si>
  <si>
    <t>1916</t>
  </si>
  <si>
    <t>Kelectric - Nov 2024</t>
  </si>
  <si>
    <t>Fahad Qureshi - Apr 2024 to Dec 2024</t>
  </si>
  <si>
    <t>GL - Record 1 - 2025</t>
  </si>
  <si>
    <t>Payment for Interior Designing 3D</t>
  </si>
  <si>
    <t>1912</t>
  </si>
  <si>
    <t>1913</t>
  </si>
  <si>
    <t>1915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</si>
  <si>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</si>
  <si>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</si>
  <si>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</si>
  <si>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</si>
  <si>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</si>
  <si>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</si>
  <si>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</si>
  <si>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</si>
  <si>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</si>
  <si>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</si>
  <si>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</si>
  <si>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</si>
  <si>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</si>
  <si>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</si>
  <si>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</si>
  <si>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</si>
  <si>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</si>
  <si>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</si>
  <si>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1939</t>
  </si>
  <si>
    <t>1940</t>
  </si>
  <si>
    <t>Kelectric - Dec 2024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</si>
  <si>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</si>
  <si>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</si>
  <si>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</si>
  <si>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</si>
  <si>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</si>
  <si>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</si>
  <si>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</si>
  <si>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</si>
  <si>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</si>
  <si>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</si>
  <si>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</si>
  <si>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</si>
  <si>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</si>
  <si>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</si>
  <si>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 to 1959</t>
  </si>
  <si>
    <t>Maintenance Amount Received till Dec 31, 2024</t>
  </si>
  <si>
    <t>Outstanding amount till  Dec 31, 2024</t>
  </si>
  <si>
    <t>Maintenance Amount for the year 2024</t>
  </si>
  <si>
    <t>Maintenance Amount for the year 2025</t>
  </si>
  <si>
    <t>1960</t>
  </si>
  <si>
    <t>1961</t>
  </si>
  <si>
    <t>1935</t>
  </si>
  <si>
    <t>1936</t>
  </si>
  <si>
    <t>1937</t>
  </si>
  <si>
    <t>1938</t>
  </si>
  <si>
    <t>1962</t>
  </si>
  <si>
    <t>1963</t>
  </si>
  <si>
    <t>1964</t>
  </si>
  <si>
    <t>1965</t>
  </si>
  <si>
    <t>1966</t>
  </si>
  <si>
    <t>1967</t>
  </si>
  <si>
    <t>1969</t>
  </si>
  <si>
    <t>1970</t>
  </si>
  <si>
    <t>Residents - Consolidated Oustanding Maintenance Position as of Mar 31, 2024</t>
  </si>
  <si>
    <t>1974</t>
  </si>
  <si>
    <t>1973</t>
  </si>
  <si>
    <t>1972</t>
  </si>
  <si>
    <t>1971</t>
  </si>
  <si>
    <t>Janamaz</t>
  </si>
  <si>
    <t xml:space="preserve">Building lights - Shamoon Bhai </t>
  </si>
  <si>
    <t>Cash Given to Imam Sb - Khatam-e-Quran</t>
  </si>
  <si>
    <t xml:space="preserve">Handwash </t>
  </si>
  <si>
    <t>Nayab Qari Suit</t>
  </si>
  <si>
    <t>Hot Mug for Imam Sb</t>
  </si>
  <si>
    <t>Myk for Masjid</t>
  </si>
  <si>
    <t xml:space="preserve">Receipt Books </t>
  </si>
  <si>
    <t>Mrs. Rashid - Jan to Mar 2025</t>
  </si>
  <si>
    <t>Annus Bhai - 704 (Sep to Dec 2024)</t>
  </si>
  <si>
    <t>Paint for Stairs and Gym + Labour</t>
  </si>
  <si>
    <t>Batery Charge + Labour</t>
  </si>
  <si>
    <t>Cleaning all floor - Albert</t>
  </si>
  <si>
    <t xml:space="preserve">Ali </t>
  </si>
  <si>
    <t>Adnan</t>
  </si>
  <si>
    <t>Albert</t>
  </si>
  <si>
    <t>Imam Sb</t>
  </si>
  <si>
    <t>Nadeem</t>
  </si>
  <si>
    <t>Breaker - 30 A Nadeem</t>
  </si>
  <si>
    <t>9,19/2025</t>
  </si>
  <si>
    <t>AC Installation - Ali Bhai</t>
  </si>
  <si>
    <t>Bank Account Opening - Ali Bhai</t>
  </si>
  <si>
    <t>Power Factor - Ali Bhai</t>
  </si>
  <si>
    <t>Soap</t>
  </si>
  <si>
    <t xml:space="preserve">Differen Items </t>
  </si>
  <si>
    <t>Sevarage Cleaning - 3rd Floor</t>
  </si>
  <si>
    <t>Wood Work - All Floors</t>
  </si>
  <si>
    <t xml:space="preserve">Trade Mill </t>
  </si>
  <si>
    <t>Mosque, lights, curtain fitting. Mic - Faraz</t>
  </si>
  <si>
    <t xml:space="preserve">Janamaz </t>
  </si>
  <si>
    <t>Hand Wash</t>
  </si>
  <si>
    <t xml:space="preserve">Lights for building + Labour Shamoon </t>
  </si>
  <si>
    <t xml:space="preserve">Paint on stairs area + Gym + Labour </t>
  </si>
  <si>
    <t>April Settlement</t>
  </si>
  <si>
    <t xml:space="preserve">Receipt Book printing </t>
  </si>
  <si>
    <t>Khatam-e-Quran -  Sweet</t>
  </si>
  <si>
    <t>Khatam-e-Quran ( Taraweah ) Dinner + Decoration</t>
  </si>
  <si>
    <t>Scrap Sale / AC</t>
  </si>
  <si>
    <t>Sweets - Khatam-e-Quraan</t>
  </si>
  <si>
    <t>1975</t>
  </si>
  <si>
    <t>1976</t>
  </si>
  <si>
    <t>1977</t>
  </si>
  <si>
    <t>1978</t>
  </si>
  <si>
    <t>1979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</si>
  <si>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</si>
  <si>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</si>
  <si>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</si>
  <si>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</si>
  <si>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</si>
  <si>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</si>
  <si>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</si>
  <si>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</si>
  <si>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</si>
  <si>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</si>
  <si>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</si>
  <si>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</si>
  <si>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</si>
  <si>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</si>
  <si>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</si>
  <si>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</si>
  <si>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</si>
  <si>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</si>
  <si>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</si>
  <si>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</si>
  <si>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001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</si>
  <si>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</si>
  <si>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</si>
  <si>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</si>
  <si>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</si>
  <si>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</si>
  <si>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</si>
  <si>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</si>
  <si>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</si>
  <si>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</si>
  <si>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</si>
  <si>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</si>
  <si>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</si>
  <si>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</si>
  <si>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</si>
  <si>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</si>
  <si>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</si>
  <si>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</si>
  <si>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</si>
  <si>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</si>
  <si>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</si>
  <si>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</si>
  <si>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</si>
  <si>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</si>
  <si>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</si>
  <si>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</si>
  <si>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</si>
  <si>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</si>
  <si>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</si>
  <si>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</si>
  <si>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</si>
  <si>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</si>
  <si>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</si>
  <si>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</si>
  <si>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</si>
  <si>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</si>
  <si>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</si>
  <si>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</si>
  <si>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</si>
  <si>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</si>
  <si>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</si>
  <si>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</si>
  <si>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Mr. Rehan</t>
  </si>
  <si>
    <t>Mr. Faisal A. Khan</t>
  </si>
  <si>
    <t>Mr. Dilshad</t>
  </si>
  <si>
    <t>Mr. Kashif Shamim</t>
  </si>
  <si>
    <t>Mr. Faisal</t>
  </si>
  <si>
    <t>Mr. Bakshish</t>
  </si>
  <si>
    <t>Mr. Taimur</t>
  </si>
  <si>
    <t>Mr. Zia</t>
  </si>
  <si>
    <t>Mr. Ashraf</t>
  </si>
  <si>
    <t>Mr. Mubeen</t>
  </si>
  <si>
    <t>Mr. Farhan</t>
  </si>
  <si>
    <t>Mr. Zai</t>
  </si>
  <si>
    <t>Mr. Asif Siddiqui</t>
  </si>
  <si>
    <t>Mr. Khalid Ashraf Lari</t>
  </si>
  <si>
    <t>Mr. Tanveer Iqbal</t>
  </si>
  <si>
    <t>Mr. Naveed Ansari</t>
  </si>
  <si>
    <t>Mr. Salman Khan</t>
  </si>
  <si>
    <t>Mr. Nafis</t>
  </si>
  <si>
    <t>Mr. Sohail</t>
  </si>
  <si>
    <t>Mr. Nasir</t>
  </si>
  <si>
    <t>Mr. Shahid</t>
  </si>
  <si>
    <t>Mr. Ashfaque Sb</t>
  </si>
  <si>
    <t>Mr. Anis</t>
  </si>
  <si>
    <t>Mr. Yousuf</t>
  </si>
  <si>
    <t>Mr. Annus Raza</t>
  </si>
  <si>
    <t>Mr. Malik</t>
  </si>
  <si>
    <t>Mr. Munaf</t>
  </si>
  <si>
    <t>Mr. Shamim</t>
  </si>
  <si>
    <t>Mr. Aziz</t>
  </si>
  <si>
    <t>Mr. Fahad Qureshi</t>
  </si>
  <si>
    <t xml:space="preserve">Mr. Taj </t>
  </si>
  <si>
    <t>Mr. Muhammad Arif</t>
  </si>
  <si>
    <t>Mr. Hafeez</t>
  </si>
  <si>
    <t>Mr. Danish</t>
  </si>
  <si>
    <t>Mr. Wajih</t>
  </si>
  <si>
    <t>Mr. Ali</t>
  </si>
  <si>
    <t>045</t>
  </si>
  <si>
    <t>Mar 2025 - May 2025</t>
  </si>
  <si>
    <t>Jun 2025 - Aug 2025</t>
  </si>
  <si>
    <t>Apr to Jun 2025</t>
  </si>
  <si>
    <t>Jul to Sep 2025</t>
  </si>
  <si>
    <t>Button/Lift weight</t>
  </si>
  <si>
    <t>Intercome Reception work</t>
  </si>
  <si>
    <t xml:space="preserve">Table Tennis Rackets + Balls / Play Area </t>
  </si>
  <si>
    <t xml:space="preserve">Faheem Ahmed </t>
  </si>
  <si>
    <t>Ali Advance</t>
  </si>
  <si>
    <t>AC Pipe &amp; tape</t>
  </si>
  <si>
    <t>Cleaning Material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</si>
  <si>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</si>
  <si>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</si>
  <si>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</si>
  <si>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</si>
  <si>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</si>
  <si>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</si>
  <si>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</si>
  <si>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</si>
  <si>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</si>
  <si>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</si>
  <si>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</si>
  <si>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</si>
  <si>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</si>
  <si>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</si>
  <si>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</si>
  <si>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062</t>
  </si>
  <si>
    <t>061</t>
  </si>
  <si>
    <t>063</t>
  </si>
  <si>
    <t>064</t>
  </si>
  <si>
    <t>065</t>
  </si>
  <si>
    <t>Rec in Jan 25</t>
  </si>
  <si>
    <t>Scrap Sales</t>
  </si>
  <si>
    <t>Kelectric - Jan 2025</t>
  </si>
  <si>
    <t>Opening Jan 01, 2025</t>
  </si>
  <si>
    <t>Scrap Sales 3 AC Community hall</t>
  </si>
  <si>
    <t xml:space="preserve">Reception Renovation Expense </t>
  </si>
  <si>
    <t>3D Payment to Designer</t>
  </si>
  <si>
    <t>Acs for Community Hall</t>
  </si>
  <si>
    <t>AC Purchased for Community Hall - Used by Danish</t>
  </si>
  <si>
    <t xml:space="preserve">Power Factor Work </t>
  </si>
  <si>
    <t>Electrical Appliances - Air Conditioners</t>
  </si>
  <si>
    <t>Kelectric - Mar 2025</t>
  </si>
  <si>
    <t>Kelectric - Feb 2025</t>
  </si>
  <si>
    <t>Play Area Expense</t>
  </si>
  <si>
    <t>2 Adds Adhoc</t>
  </si>
  <si>
    <t>Rec in Apr 25</t>
  </si>
  <si>
    <t>Oct to Dec 2025</t>
  </si>
  <si>
    <t>Kelectric - May 2025</t>
  </si>
  <si>
    <t>Kelectric - Apr 2025</t>
  </si>
  <si>
    <t>Power Factor + Installation Work</t>
  </si>
  <si>
    <t>Installation - Electric Faheem</t>
  </si>
  <si>
    <t xml:space="preserve">Power Factor Work - Instalation </t>
  </si>
  <si>
    <t>Adhoc Payments for 2 ads</t>
  </si>
  <si>
    <t>Rec in May 25</t>
  </si>
  <si>
    <t>068</t>
  </si>
  <si>
    <t>069</t>
  </si>
  <si>
    <t>070</t>
  </si>
  <si>
    <t>071</t>
  </si>
  <si>
    <t>072</t>
  </si>
  <si>
    <t>073</t>
  </si>
  <si>
    <t>Mrs. Rashid - Apr to Jul 2025</t>
  </si>
  <si>
    <t>1980</t>
  </si>
  <si>
    <t>Naveed - Jan to Jul 2025</t>
  </si>
  <si>
    <t>Shahid Bhai Aug to Dec 2024</t>
  </si>
  <si>
    <t xml:space="preserve">Air Freshners </t>
  </si>
  <si>
    <t>Grill Work on 14th floor</t>
  </si>
  <si>
    <t>Kelectric - Jul 2025</t>
  </si>
  <si>
    <t>Kelectric - Jun 2025</t>
  </si>
  <si>
    <t>Vertical Acs for Community Hall</t>
  </si>
  <si>
    <t>Building Expenses - Guard Room</t>
  </si>
  <si>
    <t>Building Expenses - Vertical Acs for community hall</t>
  </si>
  <si>
    <t>Water Drinking</t>
  </si>
  <si>
    <t>Summary Sheet / Funds Position - 2025</t>
  </si>
  <si>
    <t>Guard Room + Matress</t>
  </si>
  <si>
    <t>Residents - Receipts - Till Jul 2025</t>
  </si>
  <si>
    <t>Expenses - Till Jul 2025</t>
  </si>
  <si>
    <t>074</t>
  </si>
  <si>
    <t>075</t>
  </si>
  <si>
    <t>076</t>
  </si>
  <si>
    <t>078</t>
  </si>
  <si>
    <t>081</t>
  </si>
  <si>
    <t>082</t>
  </si>
  <si>
    <t>083</t>
  </si>
  <si>
    <t>084</t>
  </si>
  <si>
    <t>085</t>
  </si>
  <si>
    <t>086</t>
  </si>
  <si>
    <t>088</t>
  </si>
  <si>
    <t>089</t>
  </si>
  <si>
    <t>092</t>
  </si>
  <si>
    <t>066</t>
  </si>
  <si>
    <t>067</t>
  </si>
  <si>
    <t>090</t>
  </si>
  <si>
    <t>093</t>
  </si>
  <si>
    <t>094</t>
  </si>
  <si>
    <t>095</t>
  </si>
  <si>
    <t>080/096</t>
  </si>
  <si>
    <t>6,24 Aug</t>
  </si>
  <si>
    <t>097</t>
  </si>
  <si>
    <t>098</t>
  </si>
  <si>
    <t>101</t>
  </si>
  <si>
    <t>Adj/099</t>
  </si>
  <si>
    <t>091</t>
  </si>
  <si>
    <t>100</t>
  </si>
  <si>
    <t>102</t>
  </si>
  <si>
    <t>077/Adj</t>
  </si>
  <si>
    <t>Jun to Aug 2025</t>
  </si>
  <si>
    <t>Paid to Danish Bhai</t>
  </si>
  <si>
    <t xml:space="preserve">Remaining to be transferred to Muhammad Asif </t>
  </si>
  <si>
    <t xml:space="preserve">Asif - Advertisement Payment  </t>
  </si>
  <si>
    <t>103</t>
  </si>
  <si>
    <t>104</t>
  </si>
  <si>
    <t>1824 to 1827</t>
  </si>
  <si>
    <t>1828 Adj</t>
  </si>
  <si>
    <t>114</t>
  </si>
  <si>
    <t>105</t>
  </si>
  <si>
    <t>079/107</t>
  </si>
  <si>
    <t>5,30 Aug</t>
  </si>
  <si>
    <t>108</t>
  </si>
  <si>
    <t>109</t>
  </si>
  <si>
    <t>110</t>
  </si>
  <si>
    <t>111</t>
  </si>
  <si>
    <t>112</t>
  </si>
  <si>
    <t>113</t>
  </si>
  <si>
    <t>117</t>
  </si>
  <si>
    <t>116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</si>
  <si>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</si>
  <si>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</si>
  <si>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</si>
  <si>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</si>
  <si>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</si>
  <si>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</si>
  <si>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</si>
  <si>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</si>
  <si>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</si>
  <si>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</si>
  <si>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115</t>
  </si>
  <si>
    <t>1620</t>
  </si>
  <si>
    <t>1621</t>
  </si>
  <si>
    <t>128</t>
  </si>
  <si>
    <t>129</t>
  </si>
  <si>
    <t>130</t>
  </si>
  <si>
    <t>Ali</t>
  </si>
  <si>
    <t>Dilshad</t>
  </si>
  <si>
    <t xml:space="preserve">Asif </t>
  </si>
  <si>
    <t>Naveed</t>
  </si>
  <si>
    <t>131</t>
  </si>
  <si>
    <t>132</t>
  </si>
  <si>
    <t>133</t>
  </si>
  <si>
    <t>134</t>
  </si>
  <si>
    <t>135</t>
  </si>
  <si>
    <t>136</t>
  </si>
  <si>
    <t>137</t>
  </si>
  <si>
    <t>138</t>
  </si>
  <si>
    <t>140</t>
  </si>
  <si>
    <t>141</t>
  </si>
  <si>
    <t>139</t>
  </si>
  <si>
    <t>147</t>
  </si>
  <si>
    <t>144</t>
  </si>
  <si>
    <t>145</t>
  </si>
  <si>
    <t>146</t>
  </si>
  <si>
    <t>Received in Cash</t>
  </si>
  <si>
    <t xml:space="preserve">Nafees </t>
  </si>
  <si>
    <t>Shahid</t>
  </si>
  <si>
    <t xml:space="preserve">Anis </t>
  </si>
  <si>
    <t>Oct</t>
  </si>
  <si>
    <t>Sep</t>
  </si>
  <si>
    <t>Sep and Oct</t>
  </si>
  <si>
    <t>151</t>
  </si>
  <si>
    <t>Sohail</t>
  </si>
  <si>
    <t>Nasir</t>
  </si>
  <si>
    <t>Taj</t>
  </si>
  <si>
    <t>Nafis</t>
  </si>
  <si>
    <t>Ashraf</t>
  </si>
  <si>
    <t>Jul to Dec</t>
  </si>
  <si>
    <t>Mar to Aug</t>
  </si>
  <si>
    <t>Faisal</t>
  </si>
  <si>
    <t>Aug</t>
  </si>
  <si>
    <t xml:space="preserve">Shahid </t>
  </si>
  <si>
    <t>Jan to Aug</t>
  </si>
  <si>
    <t>SALARIES</t>
  </si>
  <si>
    <t>Zaheer - Electrician</t>
  </si>
  <si>
    <t>Abrar</t>
  </si>
  <si>
    <t>Advance paid to Dilshad</t>
  </si>
  <si>
    <t>Transfer</t>
  </si>
  <si>
    <t>Paid in Cash</t>
  </si>
  <si>
    <t>HO To Nadeem</t>
  </si>
  <si>
    <t>Salman</t>
  </si>
  <si>
    <t>152</t>
  </si>
  <si>
    <t>150</t>
  </si>
  <si>
    <t>142</t>
  </si>
  <si>
    <t>143</t>
  </si>
  <si>
    <t>148</t>
  </si>
  <si>
    <t>149</t>
  </si>
  <si>
    <t>153</t>
  </si>
  <si>
    <t>Camera and DVR (July)</t>
  </si>
  <si>
    <t>154</t>
  </si>
  <si>
    <t xml:space="preserve">Cash Receipt </t>
  </si>
  <si>
    <t>Slaries Paid from Cash</t>
  </si>
  <si>
    <t>Transfer to Danish Oct 04, 2025</t>
  </si>
  <si>
    <t xml:space="preserve">One time adjustment </t>
  </si>
  <si>
    <t>Adj Sohail</t>
  </si>
  <si>
    <t>Adj Yousuf</t>
  </si>
  <si>
    <t>Irfan Bhai 804</t>
  </si>
  <si>
    <t>Transferred through FBL account</t>
  </si>
  <si>
    <t>Shahid Bhai</t>
  </si>
  <si>
    <t>Cash Salaries</t>
  </si>
  <si>
    <t>Transfer to Danish</t>
  </si>
  <si>
    <t>Imam Sb salary</t>
  </si>
  <si>
    <t>Kelectric</t>
  </si>
  <si>
    <t>Camera and DVR (Jun)</t>
  </si>
  <si>
    <t>Camera and DVR (May)</t>
  </si>
  <si>
    <t>Gate lock</t>
  </si>
  <si>
    <t xml:space="preserve">Tape for lift </t>
  </si>
  <si>
    <t>Oil, Diesel, Rope, belt</t>
  </si>
  <si>
    <t>Lock Repairing/Winding/fan repairing</t>
  </si>
  <si>
    <t>14,20, 29</t>
  </si>
  <si>
    <t>14,18 Sep</t>
  </si>
  <si>
    <t>Wlding work Angles for pipes</t>
  </si>
  <si>
    <t xml:space="preserve">New Cameras Installation/Purchases </t>
  </si>
  <si>
    <t>Camera and DVR (JAug)</t>
  </si>
  <si>
    <t>16,22,30 Sep</t>
  </si>
  <si>
    <t>Statinary/Keys Gym</t>
  </si>
  <si>
    <t>Danish Exp</t>
  </si>
  <si>
    <t>Dilshad Exp</t>
  </si>
  <si>
    <t>Naveed Exp</t>
  </si>
  <si>
    <t xml:space="preserve">Account balance as of </t>
  </si>
  <si>
    <t>Cash n Hand</t>
  </si>
  <si>
    <t>18/10/2025</t>
  </si>
  <si>
    <t>20/10/2025</t>
  </si>
  <si>
    <t>25/10/2025</t>
  </si>
  <si>
    <t>27/10/2025</t>
  </si>
  <si>
    <t>Amanat Labour</t>
  </si>
  <si>
    <t>Colour Payment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</si>
  <si>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</si>
  <si>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</si>
  <si>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</si>
  <si>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</si>
  <si>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</si>
  <si>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</si>
  <si>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</si>
  <si>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</si>
  <si>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</si>
  <si>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</si>
  <si>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</si>
  <si>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</si>
  <si>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</si>
  <si>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</si>
  <si>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</si>
  <si>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</si>
  <si>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</si>
  <si>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</si>
  <si>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Maintenance Received By Naveed</t>
  </si>
  <si>
    <t>Maintenance Received By Danish</t>
  </si>
  <si>
    <t>Advertisement Received by Danish</t>
  </si>
  <si>
    <t xml:space="preserve">Funds Received By Asif </t>
  </si>
  <si>
    <t>Adjustment - Old issue adjusted</t>
  </si>
  <si>
    <t>28/10/2025</t>
  </si>
  <si>
    <t>Fahad</t>
  </si>
  <si>
    <t xml:space="preserve">Tanveer </t>
  </si>
  <si>
    <t>Ashfaq</t>
  </si>
  <si>
    <t>Kashif</t>
  </si>
  <si>
    <t>Nafees</t>
  </si>
  <si>
    <t>177</t>
  </si>
  <si>
    <t>176</t>
  </si>
  <si>
    <t>175</t>
  </si>
  <si>
    <t>174</t>
  </si>
  <si>
    <t>173</t>
  </si>
  <si>
    <t xml:space="preserve">Transfer from Danish </t>
  </si>
  <si>
    <t>178</t>
  </si>
  <si>
    <t>179</t>
  </si>
  <si>
    <t>180</t>
  </si>
  <si>
    <t>Fire Cylinder Refil + Drill + Colour</t>
  </si>
  <si>
    <t>5,7 Oct</t>
  </si>
  <si>
    <t>11,16 Oct</t>
  </si>
  <si>
    <t>25, 26 Oct</t>
  </si>
  <si>
    <t>Camera and DVR (Sep)</t>
  </si>
  <si>
    <t>Kashif - Labour / Roof work / Valve</t>
  </si>
  <si>
    <t>Labour Paid to Faraz/Waqas/Shoaib</t>
  </si>
  <si>
    <t>SS Railing fixing</t>
  </si>
  <si>
    <t>Gate Lock + Door Closer / Time Switch</t>
  </si>
  <si>
    <t>Sep 2025 - Nov 2025</t>
  </si>
  <si>
    <t>Dec 2025 - Feb 2026</t>
  </si>
  <si>
    <t>Funds Received By Dilshad</t>
  </si>
  <si>
    <t xml:space="preserve">Funds Received By Ali </t>
  </si>
  <si>
    <t>1706</t>
  </si>
  <si>
    <t>Recoded later Nov 2025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</si>
  <si>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</si>
  <si>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</si>
  <si>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</si>
  <si>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</si>
  <si>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</si>
  <si>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</si>
  <si>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</si>
  <si>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</si>
  <si>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</si>
  <si>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</si>
  <si>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</si>
  <si>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</si>
  <si>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</si>
  <si>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</si>
  <si>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</si>
  <si>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Kelectric - Aug 2025 - Paid by Naveed</t>
  </si>
  <si>
    <t xml:space="preserve">Camera Installation </t>
  </si>
  <si>
    <t>Gym Expense</t>
  </si>
  <si>
    <t>Enertaiment Exp</t>
  </si>
  <si>
    <t>Adjustment - Old Maintenance issue adjusted</t>
  </si>
  <si>
    <t>23/11/2025</t>
  </si>
  <si>
    <t>Maintenance amount</t>
  </si>
  <si>
    <t>Kelectric - Aug 2025</t>
  </si>
  <si>
    <t>Ali - 1004</t>
  </si>
  <si>
    <t>Dilshad - 104</t>
  </si>
  <si>
    <t>Danish - 1001</t>
  </si>
  <si>
    <t>Funds paid to Naveed</t>
  </si>
  <si>
    <t>Funds paid to Dilshad - Aug 23, 2025</t>
  </si>
  <si>
    <t>Building Expenses - Reception Renovation work/Plants</t>
  </si>
  <si>
    <t>Funds paid to Asif - Sep 01, 2025 by Asif Advertisement</t>
  </si>
  <si>
    <t xml:space="preserve">Received from Asif Adv </t>
  </si>
  <si>
    <t>Account transfer Adv by Asif</t>
  </si>
  <si>
    <t>Kelectric - Sep 2025</t>
  </si>
  <si>
    <t>Kelectric - Sep 2025 - Paid by Naveed</t>
  </si>
  <si>
    <t>Reception Renovation Expense/Plants</t>
  </si>
  <si>
    <t>Building Expenses - Grill Work at 14th floor/Fire Refilling</t>
  </si>
  <si>
    <t xml:space="preserve">Rec. Asif </t>
  </si>
  <si>
    <t>Rec. Dilshad</t>
  </si>
  <si>
    <t>0196</t>
  </si>
  <si>
    <t>Advertisement - Shehryar  (C)</t>
  </si>
  <si>
    <t>Kelectric - Oct 2025</t>
  </si>
  <si>
    <t>Kelectric - Oct 2025 - Paid by Naveed</t>
  </si>
  <si>
    <t>Mosque/Ramazan Expenses/Qurbani</t>
  </si>
  <si>
    <t>Reception Renovation Expense/Plants/Fire Refilling</t>
  </si>
  <si>
    <t>Building Colour</t>
  </si>
  <si>
    <t>Funds paid to Ali Bhai</t>
  </si>
  <si>
    <t>Maintenance amount received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</si>
  <si>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</si>
  <si>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</si>
  <si>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</si>
  <si>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</si>
  <si>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</si>
  <si>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</si>
  <si>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</si>
  <si>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</si>
  <si>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</si>
  <si>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</si>
  <si>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</si>
  <si>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</si>
  <si>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</si>
  <si>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</si>
  <si>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</si>
  <si>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</si>
  <si>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</si>
  <si>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</si>
  <si>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</si>
  <si>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</si>
  <si>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Junaid</t>
  </si>
  <si>
    <t>Dec'25</t>
  </si>
  <si>
    <t>Nov'25</t>
  </si>
  <si>
    <t>Oct'25</t>
  </si>
  <si>
    <t>Com-Hall</t>
  </si>
  <si>
    <t>Feb+Mar+Apr</t>
  </si>
  <si>
    <t>Sep to Dec</t>
  </si>
  <si>
    <t>Funds paid to Danish - Tranfered on Oct 04, 2025</t>
  </si>
  <si>
    <t>24/11/2025</t>
  </si>
  <si>
    <t>Deposited in Account by Asif against BC, Paid 10k cash to Noor</t>
  </si>
  <si>
    <t>Mysha fees</t>
  </si>
  <si>
    <t>Noor</t>
  </si>
  <si>
    <t>Masi</t>
  </si>
  <si>
    <t>Qari</t>
  </si>
  <si>
    <t>Iqba</t>
  </si>
  <si>
    <t>Car cleaning</t>
  </si>
  <si>
    <t>BC</t>
  </si>
  <si>
    <t>Zakat</t>
  </si>
  <si>
    <t>Name of Resident</t>
  </si>
  <si>
    <t>Trf to FBL account from Cash on Dec 25, 2025 = Total 60k from Shehroz</t>
  </si>
  <si>
    <t xml:space="preserve">Trf to FBL account from Cash on Dec 25, 2025 = Total 49.5k from HBL </t>
  </si>
  <si>
    <t>Nov 20, Dec 01</t>
  </si>
  <si>
    <t xml:space="preserve">Pending Mar - May </t>
  </si>
  <si>
    <t xml:space="preserve">Received Pending Mar - May </t>
  </si>
  <si>
    <t>Material, Rooftop sewerage line work</t>
  </si>
  <si>
    <t>Water Mater Outside/Tank cleaning/Parking Area Seweage line</t>
  </si>
  <si>
    <t>Kashif - Material + Labour/Tile Work</t>
  </si>
  <si>
    <t>1,5 Nov</t>
  </si>
  <si>
    <t>Electric Breaker/Material/UPS Fitting</t>
  </si>
  <si>
    <t>Hollo bricks outside with Labour</t>
  </si>
  <si>
    <t>Ouside garbage cleaning</t>
  </si>
  <si>
    <t>20,21 Nov</t>
  </si>
  <si>
    <t>UPS and Hard drive purchase</t>
  </si>
  <si>
    <t>Navid/Raiz/Abrar/Peter</t>
  </si>
  <si>
    <t>Dilbar/Electrician/Rahim</t>
  </si>
  <si>
    <t>Reception Chair</t>
  </si>
  <si>
    <t>Lights for building/wire - Faraz/Shoaib</t>
  </si>
  <si>
    <t>Rec in Aug 25, 1,100,000 Rec by Danish, 781,000 Rec by Asif</t>
  </si>
  <si>
    <t>Jul 2025 to Dec 2025</t>
  </si>
  <si>
    <t>Received by Danish</t>
  </si>
  <si>
    <t xml:space="preserve">Maintenance Amount </t>
  </si>
  <si>
    <t>247</t>
  </si>
  <si>
    <t>246</t>
  </si>
  <si>
    <t>245</t>
  </si>
  <si>
    <t>244</t>
  </si>
  <si>
    <t>243</t>
  </si>
  <si>
    <t>Jan'26</t>
  </si>
  <si>
    <t>248/242</t>
  </si>
  <si>
    <t>12/13 Jan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</si>
  <si>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</si>
  <si>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</si>
  <si>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</si>
  <si>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</si>
  <si>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</si>
  <si>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</si>
  <si>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</si>
  <si>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</si>
  <si>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</si>
  <si>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</si>
  <si>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</si>
  <si>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</si>
  <si>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</si>
  <si>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Oct+Nov+Dec'25</t>
  </si>
  <si>
    <t>Rehan</t>
  </si>
  <si>
    <t>Jan'25</t>
  </si>
  <si>
    <t>228</t>
  </si>
  <si>
    <t>227</t>
  </si>
  <si>
    <t>Jan to Jun 2026</t>
  </si>
  <si>
    <t>226</t>
  </si>
  <si>
    <t>225</t>
  </si>
  <si>
    <t>224</t>
  </si>
  <si>
    <t>223</t>
  </si>
  <si>
    <t>222</t>
  </si>
  <si>
    <t>221</t>
  </si>
  <si>
    <t>Nov, Dec 2025</t>
  </si>
  <si>
    <t>220</t>
  </si>
  <si>
    <t>219</t>
  </si>
  <si>
    <t>218</t>
  </si>
  <si>
    <t>217</t>
  </si>
  <si>
    <t>Maintenance Recived till Dec 31 2025</t>
  </si>
  <si>
    <t>Outstanding amount till Dec 31, 2025</t>
  </si>
  <si>
    <t>Kelectric - Nov 2025</t>
  </si>
  <si>
    <t>Building Colour/Bricks work</t>
  </si>
  <si>
    <t>Kelectric - Dec 2025</t>
  </si>
  <si>
    <t>250</t>
  </si>
  <si>
    <t>249</t>
  </si>
  <si>
    <t>Residents - Consolidated Oustanding Maintenance Position as of Jan 31, 2026</t>
  </si>
  <si>
    <t>Maintenance Recived during the Year 2026</t>
  </si>
  <si>
    <t>Dues till Dec 31, 2025</t>
  </si>
  <si>
    <t>Mr. Ammar</t>
  </si>
  <si>
    <t>Mr. Saad</t>
  </si>
  <si>
    <t>Mr. Arif 2</t>
  </si>
  <si>
    <t>Dues till Feb, 2026</t>
  </si>
  <si>
    <t>Maintenance amunt till Feb 2026</t>
  </si>
  <si>
    <t>Motor - Purchase</t>
  </si>
  <si>
    <t>Motor - Repair</t>
  </si>
  <si>
    <t>Sajid</t>
  </si>
  <si>
    <t>Circuit Relay</t>
  </si>
  <si>
    <t>Murtaza Security</t>
  </si>
  <si>
    <t xml:space="preserve">Air freshner </t>
  </si>
  <si>
    <t>Material - Water Tank new lines installation</t>
  </si>
  <si>
    <t>Labour - Kashif</t>
  </si>
  <si>
    <t>Monthy Camera</t>
  </si>
  <si>
    <t>Suction pump</t>
  </si>
  <si>
    <t>Lift Card repair</t>
  </si>
  <si>
    <t>Lights - Purchases</t>
  </si>
  <si>
    <t>Other Electrical Material Purchases</t>
  </si>
  <si>
    <t xml:space="preserve">Building Assets 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</si>
  <si>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</si>
  <si>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</si>
  <si>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</si>
  <si>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</si>
  <si>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</si>
  <si>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</si>
  <si>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</si>
  <si>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</si>
  <si>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</si>
  <si>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</si>
  <si>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</si>
  <si>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</si>
  <si>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</si>
  <si>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</si>
  <si>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</si>
  <si>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</si>
  <si>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</si>
  <si>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</si>
  <si>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</si>
  <si>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</si>
  <si>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</si>
  <si>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</si>
  <si>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</si>
  <si>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Mr. Junaid</t>
  </si>
  <si>
    <t>Mr. Kashif Patel</t>
  </si>
  <si>
    <t>276</t>
  </si>
  <si>
    <t>Camera, Intercom and Internet Expenses</t>
  </si>
  <si>
    <t>Building Maintenance - Others</t>
  </si>
  <si>
    <t>Material Purchases</t>
  </si>
  <si>
    <t>Closing Balance as of Dec 2025</t>
  </si>
  <si>
    <t>Advertisement Utility</t>
  </si>
  <si>
    <t>Advertisement Utility Bill Collection</t>
  </si>
  <si>
    <t>Residents - Receipts - 2026</t>
  </si>
  <si>
    <t>Mr. Owais</t>
  </si>
  <si>
    <t>Utilities - Kelectric</t>
  </si>
  <si>
    <t>Mosque/Ramzan Expenses</t>
  </si>
  <si>
    <t>Closing Balance as of Jan 2026</t>
  </si>
  <si>
    <t>Summary Sheet / Funds Position - 2026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</si>
  <si>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</si>
  <si>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</si>
  <si>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</si>
  <si>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</si>
  <si>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</si>
  <si>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</si>
  <si>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</si>
  <si>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</si>
  <si>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</si>
  <si>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</si>
  <si>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</si>
  <si>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</si>
  <si>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</si>
  <si>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</si>
  <si>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</si>
  <si>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</si>
  <si>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</si>
  <si>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</si>
  <si>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</si>
  <si>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</si>
  <si>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</si>
  <si>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</si>
  <si>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</si>
  <si>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</si>
  <si>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265</t>
  </si>
  <si>
    <t>S. No.</t>
  </si>
  <si>
    <t xml:space="preserve">Ahmed </t>
  </si>
  <si>
    <t>Sunny/Matloob+Zara</t>
  </si>
  <si>
    <t xml:space="preserve">Plants (Indoor + Outdoor) </t>
  </si>
  <si>
    <t xml:space="preserve">Stationary </t>
  </si>
  <si>
    <t xml:space="preserve">Other Maintenance </t>
  </si>
  <si>
    <t>1,5 Feb</t>
  </si>
  <si>
    <t>3,19 Feb</t>
  </si>
  <si>
    <t>Nil</t>
  </si>
  <si>
    <t>Opening Jan 01, 2026</t>
  </si>
  <si>
    <t>600k received By Asif, 500K 21/10/25, 600K 20/11/25, 270K 01/12/25  Remaining Rec by Dilshad</t>
  </si>
  <si>
    <t>Received by Dilshad 500k 19/12/2025, 500k 20/01/2026, 500k 17/02/2026</t>
  </si>
  <si>
    <t>Moved Below in Receipt 2026</t>
  </si>
  <si>
    <t>Collection till Dec 2025</t>
  </si>
  <si>
    <t>Collection from Jan 2026 till date</t>
  </si>
  <si>
    <t>Total Amount Received</t>
  </si>
  <si>
    <t>266</t>
  </si>
  <si>
    <t>301</t>
  </si>
  <si>
    <t>302</t>
  </si>
  <si>
    <t>303</t>
  </si>
  <si>
    <t>304</t>
  </si>
  <si>
    <t>Maintenance amunt till Mar 2026</t>
  </si>
  <si>
    <t>Dues till Mar, 2026</t>
  </si>
  <si>
    <t>305</t>
  </si>
  <si>
    <t>306</t>
  </si>
  <si>
    <t>307</t>
  </si>
  <si>
    <t>308</t>
  </si>
  <si>
    <t>309</t>
  </si>
  <si>
    <t>Fan Winding/Wire</t>
  </si>
  <si>
    <t>12,26 - Mar</t>
  </si>
  <si>
    <t>Door Repairing</t>
  </si>
  <si>
    <t>Button/Lift weight/Safety Switch</t>
  </si>
  <si>
    <t>Reception Chair repair</t>
  </si>
  <si>
    <t>Touching Wire/Fuel Pump/Drum</t>
  </si>
  <si>
    <t>17,23 Mar</t>
  </si>
  <si>
    <t>Mar 2026 - May 2026</t>
  </si>
  <si>
    <t>Mar</t>
  </si>
  <si>
    <t>Mar Adjust</t>
  </si>
  <si>
    <t>Received by Dilshad 500k 02/03/2026, 500k 16/03/2026</t>
  </si>
  <si>
    <t>02,16 Mar</t>
  </si>
  <si>
    <t xml:space="preserve">Janamaz/Fragnance </t>
  </si>
  <si>
    <t>Jan to Mar 2026</t>
  </si>
  <si>
    <t>Apr to Jun 2026</t>
  </si>
  <si>
    <t>Jul to Sep 2026</t>
  </si>
  <si>
    <t>Oct to Dec 2026</t>
  </si>
  <si>
    <t>Received in Feb and Mar - 2026</t>
  </si>
  <si>
    <t>Received in Nov and Dec 2025</t>
  </si>
  <si>
    <t>Received in Aug and Sep 2025</t>
  </si>
  <si>
    <t xml:space="preserve">Difference </t>
  </si>
  <si>
    <t>Received Short amount</t>
  </si>
  <si>
    <t>Trolly + Bailcha + Blower + Dust bins</t>
  </si>
  <si>
    <t>Tile Water Tank + Cover + Rubber Pipe + Labour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</si>
</sst>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\-yy;@"/>
  </numFmts>
  <fonts count="2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u val="singleAccounting"/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928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91">
    <border>
      <left/>
      <right/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1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4" fillId="3" borderId="4" xfId="0" applyFont="1" applyFill="1" applyBorder="1"/>
    <xf numFmtId="0" fontId="5" fillId="3" borderId="3" xfId="0" applyFont="1" applyFill="1" applyBorder="1" applyAlignment="1">
      <alignment horizontal="center"/>
    </xf>
    <xf numFmtId="0" fontId="4" fillId="3" borderId="11" xfId="0" applyFont="1" applyFill="1" applyBorder="1"/>
    <xf numFmtId="0" fontId="4" fillId="3" borderId="3" xfId="0" applyFont="1" applyFill="1" applyBorder="1"/>
    <xf numFmtId="0" fontId="3" fillId="0" borderId="2" xfId="0" applyFont="1" applyBorder="1"/>
    <xf numFmtId="0" fontId="0" fillId="0" borderId="13" xfId="0" applyBorder="1"/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3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0" xfId="0" applyBorder="1" applyAlignment="1">
      <alignment horizontal="center"/>
    </xf>
    <xf numFmtId="0" fontId="0" fillId="0" borderId="22" xfId="0" applyBorder="1"/>
    <xf numFmtId="0" fontId="3" fillId="0" borderId="0" xfId="0" applyFont="1"/>
    <xf numFmtId="0" fontId="3" fillId="0" borderId="22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3" fillId="0" borderId="17" xfId="0" applyFont="1" applyBorder="1"/>
    <xf numFmtId="0" fontId="6" fillId="0" borderId="0" xfId="0" applyFont="1"/>
    <xf numFmtId="0" fontId="7" fillId="0" borderId="0" xfId="0" applyFont="1"/>
    <xf numFmtId="0" fontId="0" fillId="0" borderId="11" xfId="0" quotePrefix="1" applyBorder="1"/>
    <xf numFmtId="15" fontId="0" fillId="0" borderId="3" xfId="0" applyNumberFormat="1" applyBorder="1"/>
    <xf numFmtId="164" fontId="0" fillId="0" borderId="4" xfId="1" applyNumberFormat="1" applyFont="1" applyBorder="1"/>
    <xf numFmtId="164" fontId="4" fillId="3" borderId="4" xfId="1" applyNumberFormat="1" applyFont="1" applyFill="1" applyBorder="1"/>
    <xf numFmtId="164" fontId="0" fillId="0" borderId="2" xfId="1" applyNumberFormat="1" applyFont="1" applyBorder="1"/>
    <xf numFmtId="164" fontId="0" fillId="0" borderId="7" xfId="1" applyNumberFormat="1" applyFont="1" applyBorder="1"/>
    <xf numFmtId="0" fontId="0" fillId="0" borderId="26" xfId="0" applyBorder="1"/>
    <xf numFmtId="0" fontId="0" fillId="3" borderId="28" xfId="0" applyFill="1" applyBorder="1"/>
    <xf numFmtId="0" fontId="0" fillId="3" borderId="29" xfId="0" applyFill="1" applyBorder="1"/>
    <xf numFmtId="164" fontId="0" fillId="3" borderId="28" xfId="1" applyNumberFormat="1" applyFont="1" applyFill="1" applyBorder="1"/>
    <xf numFmtId="0" fontId="1" fillId="2" borderId="13" xfId="0" applyFont="1" applyFill="1" applyBorder="1" applyAlignment="1">
      <alignment horizontal="center"/>
    </xf>
    <xf numFmtId="15" fontId="0" fillId="0" borderId="13" xfId="0" applyNumberFormat="1" applyBorder="1"/>
    <xf numFmtId="164" fontId="0" fillId="0" borderId="0" xfId="1" applyNumberFormat="1" applyFont="1"/>
    <xf numFmtId="0" fontId="3" fillId="4" borderId="28" xfId="0" applyFont="1" applyFill="1" applyBorder="1"/>
    <xf numFmtId="0" fontId="3" fillId="4" borderId="29" xfId="0" applyFont="1" applyFill="1" applyBorder="1"/>
    <xf numFmtId="164" fontId="0" fillId="6" borderId="0" xfId="1" applyNumberFormat="1" applyFont="1" applyFill="1"/>
    <xf numFmtId="164" fontId="0" fillId="6" borderId="22" xfId="1" applyNumberFormat="1" applyFont="1" applyFill="1" applyBorder="1"/>
    <xf numFmtId="164" fontId="0" fillId="6" borderId="0" xfId="1" applyNumberFormat="1" applyFont="1" applyFill="1" applyBorder="1"/>
    <xf numFmtId="164" fontId="6" fillId="0" borderId="0" xfId="1" applyNumberFormat="1" applyFont="1"/>
    <xf numFmtId="164" fontId="6" fillId="5" borderId="32" xfId="1" applyNumberFormat="1" applyFont="1" applyFill="1" applyBorder="1"/>
    <xf numFmtId="0" fontId="8" fillId="0" borderId="0" xfId="0" applyFont="1"/>
    <xf numFmtId="0" fontId="9" fillId="0" borderId="0" xfId="0" applyFont="1"/>
    <xf numFmtId="164" fontId="6" fillId="5" borderId="31" xfId="1" applyNumberFormat="1" applyFont="1" applyFill="1" applyBorder="1"/>
    <xf numFmtId="164" fontId="7" fillId="5" borderId="0" xfId="1" applyNumberFormat="1" applyFont="1" applyFill="1"/>
    <xf numFmtId="164" fontId="0" fillId="0" borderId="0" xfId="1" applyNumberFormat="1" applyFont="1" applyFill="1"/>
    <xf numFmtId="0" fontId="4" fillId="3" borderId="10" xfId="0" applyFont="1" applyFill="1" applyBorder="1"/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3" fillId="0" borderId="11" xfId="1" applyNumberFormat="1" applyFont="1" applyBorder="1" applyAlignment="1">
      <alignment horizontal="center"/>
    </xf>
    <xf numFmtId="164" fontId="3" fillId="0" borderId="12" xfId="1" applyNumberFormat="1" applyFont="1" applyBorder="1" applyAlignment="1">
      <alignment horizontal="center"/>
    </xf>
    <xf numFmtId="15" fontId="0" fillId="0" borderId="8" xfId="0" applyNumberFormat="1" applyBorder="1"/>
    <xf numFmtId="0" fontId="3" fillId="8" borderId="13" xfId="0" applyFont="1" applyFill="1" applyBorder="1"/>
    <xf numFmtId="164" fontId="3" fillId="8" borderId="13" xfId="1" applyNumberFormat="1" applyFont="1" applyFill="1" applyBorder="1"/>
    <xf numFmtId="0" fontId="0" fillId="9" borderId="0" xfId="0" applyFill="1"/>
    <xf numFmtId="164" fontId="0" fillId="0" borderId="7" xfId="1" applyNumberFormat="1" applyFont="1" applyFill="1" applyBorder="1"/>
    <xf numFmtId="164" fontId="0" fillId="0" borderId="0" xfId="0" applyNumberFormat="1"/>
    <xf numFmtId="164" fontId="0" fillId="0" borderId="0" xfId="1" applyNumberFormat="1" applyFont="1" applyBorder="1"/>
    <xf numFmtId="0" fontId="0" fillId="10" borderId="0" xfId="0" applyFill="1"/>
    <xf numFmtId="15" fontId="0" fillId="0" borderId="0" xfId="0" applyNumberFormat="1"/>
    <xf numFmtId="0" fontId="0" fillId="0" borderId="34" xfId="0" applyBorder="1"/>
    <xf numFmtId="164" fontId="0" fillId="0" borderId="37" xfId="1" applyNumberFormat="1" applyFont="1" applyBorder="1"/>
    <xf numFmtId="0" fontId="3" fillId="0" borderId="35" xfId="0" applyFont="1" applyBorder="1" applyAlignment="1">
      <alignment horizontal="left"/>
    </xf>
    <xf numFmtId="164" fontId="0" fillId="0" borderId="13" xfId="1" applyNumberFormat="1" applyFont="1" applyBorder="1"/>
    <xf numFmtId="17" fontId="0" fillId="0" borderId="0" xfId="0" applyNumberFormat="1"/>
    <xf numFmtId="0" fontId="0" fillId="11" borderId="13" xfId="0" applyFill="1" applyBorder="1" applyAlignment="1">
      <alignment vertical="center" wrapText="1"/>
    </xf>
    <xf numFmtId="0" fontId="0" fillId="11" borderId="13" xfId="0" applyFill="1" applyBorder="1" applyAlignment="1">
      <alignment vertical="center"/>
    </xf>
    <xf numFmtId="164" fontId="12" fillId="11" borderId="13" xfId="1" applyNumberFormat="1" applyFont="1" applyFill="1" applyBorder="1" applyAlignment="1">
      <alignment vertical="center"/>
    </xf>
    <xf numFmtId="49" fontId="13" fillId="0" borderId="13" xfId="0" applyNumberFormat="1" applyFont="1" applyBorder="1"/>
    <xf numFmtId="164" fontId="13" fillId="0" borderId="13" xfId="1" applyNumberFormat="1" applyFont="1" applyBorder="1"/>
    <xf numFmtId="17" fontId="0" fillId="0" borderId="13" xfId="0" applyNumberFormat="1" applyBorder="1"/>
    <xf numFmtId="164" fontId="14" fillId="0" borderId="0" xfId="0" applyNumberFormat="1" applyFont="1"/>
    <xf numFmtId="0" fontId="15" fillId="9" borderId="0" xfId="0" applyFont="1" applyFill="1"/>
    <xf numFmtId="164" fontId="0" fillId="0" borderId="9" xfId="1" applyNumberFormat="1" applyFont="1" applyBorder="1"/>
    <xf numFmtId="0" fontId="10" fillId="0" borderId="0" xfId="0" applyFont="1"/>
    <xf numFmtId="17" fontId="0" fillId="10" borderId="0" xfId="0" applyNumberFormat="1" applyFill="1" applyAlignment="1">
      <alignment horizontal="left"/>
    </xf>
    <xf numFmtId="15" fontId="0" fillId="0" borderId="36" xfId="0" applyNumberFormat="1" applyBorder="1"/>
    <xf numFmtId="164" fontId="0" fillId="0" borderId="4" xfId="1" applyNumberFormat="1" applyFont="1" applyFill="1" applyBorder="1"/>
    <xf numFmtId="164" fontId="3" fillId="12" borderId="11" xfId="1" applyNumberFormat="1" applyFont="1" applyFill="1" applyBorder="1" applyAlignment="1">
      <alignment horizontal="center"/>
    </xf>
    <xf numFmtId="164" fontId="3" fillId="0" borderId="11" xfId="1" applyNumberFormat="1" applyFont="1" applyFill="1" applyBorder="1" applyAlignment="1">
      <alignment horizontal="center"/>
    </xf>
    <xf numFmtId="0" fontId="3" fillId="13" borderId="0" xfId="0" applyFont="1" applyFill="1"/>
    <xf numFmtId="164" fontId="3" fillId="13" borderId="0" xfId="0" applyNumberFormat="1" applyFont="1" applyFill="1"/>
    <xf numFmtId="17" fontId="3" fillId="8" borderId="13" xfId="0" applyNumberFormat="1" applyFont="1" applyFill="1" applyBorder="1" applyAlignment="1">
      <alignment horizontal="center"/>
    </xf>
    <xf numFmtId="164" fontId="10" fillId="0" borderId="0" xfId="1" applyNumberFormat="1" applyFont="1"/>
    <xf numFmtId="164" fontId="13" fillId="0" borderId="13" xfId="1" applyNumberFormat="1" applyFont="1" applyFill="1" applyBorder="1"/>
    <xf numFmtId="164" fontId="3" fillId="0" borderId="31" xfId="1" applyNumberFormat="1" applyFont="1" applyBorder="1"/>
    <xf numFmtId="0" fontId="0" fillId="7" borderId="0" xfId="0" applyFill="1"/>
    <xf numFmtId="164" fontId="3" fillId="10" borderId="11" xfId="1" applyNumberFormat="1" applyFont="1" applyFill="1" applyBorder="1" applyAlignment="1">
      <alignment horizontal="center"/>
    </xf>
    <xf numFmtId="164" fontId="4" fillId="0" borderId="7" xfId="1" applyNumberFormat="1" applyFont="1" applyFill="1" applyBorder="1"/>
    <xf numFmtId="165" fontId="0" fillId="0" borderId="0" xfId="0" applyNumberFormat="1"/>
    <xf numFmtId="164" fontId="3" fillId="0" borderId="32" xfId="0" applyNumberFormat="1" applyFont="1" applyBorder="1"/>
    <xf numFmtId="164" fontId="13" fillId="0" borderId="0" xfId="1" applyNumberFormat="1" applyFont="1" applyBorder="1"/>
    <xf numFmtId="0" fontId="4" fillId="0" borderId="13" xfId="0" applyFont="1" applyBorder="1"/>
    <xf numFmtId="164" fontId="0" fillId="10" borderId="0" xfId="1" applyNumberFormat="1" applyFont="1" applyFill="1"/>
    <xf numFmtId="164" fontId="12" fillId="11" borderId="0" xfId="1" applyNumberFormat="1" applyFont="1" applyFill="1" applyBorder="1" applyAlignment="1">
      <alignment vertical="center"/>
    </xf>
    <xf numFmtId="164" fontId="3" fillId="14" borderId="11" xfId="1" applyNumberFormat="1" applyFont="1" applyFill="1" applyBorder="1" applyAlignment="1">
      <alignment horizontal="center"/>
    </xf>
    <xf numFmtId="164" fontId="16" fillId="7" borderId="13" xfId="1" applyNumberFormat="1" applyFont="1" applyFill="1" applyBorder="1"/>
    <xf numFmtId="164" fontId="0" fillId="0" borderId="31" xfId="0" applyNumberFormat="1" applyBorder="1"/>
    <xf numFmtId="164" fontId="17" fillId="7" borderId="13" xfId="1" applyNumberFormat="1" applyFont="1" applyFill="1" applyBorder="1"/>
    <xf numFmtId="0" fontId="0" fillId="0" borderId="33" xfId="0" applyBorder="1" applyAlignment="1">
      <alignment horizontal="left"/>
    </xf>
    <xf numFmtId="0" fontId="3" fillId="3" borderId="38" xfId="0" applyFont="1" applyFill="1" applyBorder="1" applyAlignment="1">
      <alignment horizontal="center"/>
    </xf>
    <xf numFmtId="0" fontId="0" fillId="0" borderId="39" xfId="0" applyBorder="1" applyAlignment="1">
      <alignment horizontal="left"/>
    </xf>
    <xf numFmtId="0" fontId="0" fillId="0" borderId="35" xfId="0" applyBorder="1" applyAlignment="1">
      <alignment horizontal="left"/>
    </xf>
    <xf numFmtId="0" fontId="3" fillId="0" borderId="33" xfId="0" applyFont="1" applyBorder="1" applyAlignment="1">
      <alignment horizontal="center"/>
    </xf>
    <xf numFmtId="0" fontId="0" fillId="0" borderId="40" xfId="0" applyBorder="1" applyAlignment="1">
      <alignment horizontal="left"/>
    </xf>
    <xf numFmtId="164" fontId="0" fillId="0" borderId="27" xfId="1" applyNumberFormat="1" applyFont="1" applyFill="1" applyBorder="1"/>
    <xf numFmtId="164" fontId="0" fillId="3" borderId="30" xfId="1" applyNumberFormat="1" applyFont="1" applyFill="1" applyBorder="1"/>
    <xf numFmtId="164" fontId="4" fillId="0" borderId="7" xfId="1" applyNumberFormat="1" applyFont="1" applyBorder="1"/>
    <xf numFmtId="164" fontId="3" fillId="3" borderId="41" xfId="0" applyNumberFormat="1" applyFont="1" applyFill="1" applyBorder="1" applyAlignment="1">
      <alignment horizontal="center"/>
    </xf>
    <xf numFmtId="0" fontId="3" fillId="9" borderId="0" xfId="0" applyFont="1" applyFill="1"/>
    <xf numFmtId="0" fontId="3" fillId="9" borderId="0" xfId="0" applyFont="1" applyFill="1" applyAlignment="1">
      <alignment horizontal="center"/>
    </xf>
    <xf numFmtId="0" fontId="3" fillId="15" borderId="13" xfId="0" applyFont="1" applyFill="1" applyBorder="1" applyAlignment="1">
      <alignment horizontal="left"/>
    </xf>
    <xf numFmtId="164" fontId="0" fillId="10" borderId="0" xfId="0" applyNumberFormat="1" applyFill="1"/>
    <xf numFmtId="15" fontId="0" fillId="0" borderId="8" xfId="0" applyNumberFormat="1" applyBorder="1" applyAlignment="1">
      <alignment horizontal="right"/>
    </xf>
    <xf numFmtId="164" fontId="3" fillId="4" borderId="44" xfId="0" applyNumberFormat="1" applyFont="1" applyFill="1" applyBorder="1"/>
    <xf numFmtId="164" fontId="19" fillId="7" borderId="13" xfId="1" applyNumberFormat="1" applyFont="1" applyFill="1" applyBorder="1"/>
    <xf numFmtId="164" fontId="18" fillId="10" borderId="13" xfId="1" applyNumberFormat="1" applyFont="1" applyFill="1" applyBorder="1"/>
    <xf numFmtId="0" fontId="5" fillId="3" borderId="8" xfId="0" applyFont="1" applyFill="1" applyBorder="1" applyAlignment="1">
      <alignment horizontal="center"/>
    </xf>
    <xf numFmtId="164" fontId="4" fillId="0" borderId="4" xfId="1" applyNumberFormat="1" applyFont="1" applyBorder="1"/>
    <xf numFmtId="15" fontId="0" fillId="0" borderId="43" xfId="0" applyNumberFormat="1" applyBorder="1"/>
    <xf numFmtId="16" fontId="0" fillId="0" borderId="36" xfId="0" applyNumberFormat="1" applyBorder="1"/>
    <xf numFmtId="164" fontId="3" fillId="3" borderId="41" xfId="1" applyNumberFormat="1" applyFont="1" applyFill="1" applyBorder="1" applyAlignment="1">
      <alignment horizontal="center"/>
    </xf>
    <xf numFmtId="164" fontId="10" fillId="0" borderId="0" xfId="0" applyNumberFormat="1" applyFont="1"/>
    <xf numFmtId="0" fontId="4" fillId="3" borderId="0" xfId="0" applyFont="1" applyFill="1"/>
    <xf numFmtId="0" fontId="4" fillId="3" borderId="42" xfId="0" applyFont="1" applyFill="1" applyBorder="1"/>
    <xf numFmtId="0" fontId="4" fillId="3" borderId="43" xfId="0" applyFont="1" applyFill="1" applyBorder="1"/>
    <xf numFmtId="15" fontId="0" fillId="0" borderId="42" xfId="0" applyNumberFormat="1" applyBorder="1"/>
    <xf numFmtId="0" fontId="0" fillId="0" borderId="42" xfId="0" applyBorder="1"/>
    <xf numFmtId="0" fontId="0" fillId="0" borderId="43" xfId="0" applyBorder="1"/>
    <xf numFmtId="0" fontId="0" fillId="0" borderId="46" xfId="0" applyBorder="1"/>
    <xf numFmtId="0" fontId="0" fillId="0" borderId="47" xfId="0" applyBorder="1"/>
    <xf numFmtId="0" fontId="3" fillId="7" borderId="0" xfId="0" applyFont="1" applyFill="1"/>
    <xf numFmtId="164" fontId="3" fillId="7" borderId="0" xfId="1" applyNumberFormat="1" applyFont="1" applyFill="1"/>
    <xf numFmtId="164" fontId="0" fillId="7" borderId="0" xfId="1" applyNumberFormat="1" applyFont="1" applyFill="1"/>
    <xf numFmtId="164" fontId="0" fillId="7" borderId="22" xfId="1" applyNumberFormat="1" applyFont="1" applyFill="1" applyBorder="1"/>
    <xf numFmtId="164" fontId="0" fillId="7" borderId="0" xfId="1" applyNumberFormat="1" applyFont="1" applyFill="1" applyBorder="1"/>
    <xf numFmtId="17" fontId="0" fillId="7" borderId="0" xfId="0" applyNumberFormat="1" applyFill="1" applyAlignment="1">
      <alignment horizontal="left"/>
    </xf>
    <xf numFmtId="17" fontId="0" fillId="7" borderId="0" xfId="0" applyNumberFormat="1" applyFill="1"/>
    <xf numFmtId="164" fontId="3" fillId="7" borderId="0" xfId="0" applyNumberFormat="1" applyFont="1" applyFill="1"/>
    <xf numFmtId="164" fontId="10" fillId="0" borderId="4" xfId="1" applyNumberFormat="1" applyFont="1" applyFill="1" applyBorder="1"/>
    <xf numFmtId="0" fontId="10" fillId="0" borderId="11" xfId="0" quotePrefix="1" applyFont="1" applyBorder="1"/>
    <xf numFmtId="164" fontId="4" fillId="0" borderId="4" xfId="1" applyNumberFormat="1" applyFont="1" applyFill="1" applyBorder="1"/>
    <xf numFmtId="0" fontId="4" fillId="0" borderId="11" xfId="0" quotePrefix="1" applyFont="1" applyBorder="1"/>
    <xf numFmtId="15" fontId="4" fillId="0" borderId="3" xfId="0" applyNumberFormat="1" applyFont="1" applyBorder="1"/>
    <xf numFmtId="15" fontId="0" fillId="0" borderId="0" xfId="0" quotePrefix="1" applyNumberFormat="1"/>
    <xf numFmtId="0" fontId="0" fillId="12" borderId="13" xfId="0" applyFill="1" applyBorder="1"/>
    <xf numFmtId="164" fontId="13" fillId="12" borderId="13" xfId="1" applyNumberFormat="1" applyFont="1" applyFill="1" applyBorder="1"/>
    <xf numFmtId="17" fontId="0" fillId="12" borderId="13" xfId="0" applyNumberFormat="1" applyFill="1" applyBorder="1"/>
    <xf numFmtId="0" fontId="1" fillId="2" borderId="49" xfId="0" applyFont="1" applyFill="1" applyBorder="1" applyAlignment="1">
      <alignment horizontal="center"/>
    </xf>
    <xf numFmtId="0" fontId="3" fillId="4" borderId="38" xfId="0" applyFont="1" applyFill="1" applyBorder="1" applyAlignment="1">
      <alignment horizontal="center"/>
    </xf>
    <xf numFmtId="164" fontId="0" fillId="0" borderId="26" xfId="1" applyNumberFormat="1" applyFont="1" applyFill="1" applyBorder="1"/>
    <xf numFmtId="164" fontId="0" fillId="0" borderId="34" xfId="1" applyNumberFormat="1" applyFont="1" applyBorder="1"/>
    <xf numFmtId="164" fontId="0" fillId="0" borderId="10" xfId="1" applyNumberFormat="1" applyFont="1" applyBorder="1"/>
    <xf numFmtId="0" fontId="3" fillId="4" borderId="50" xfId="0" applyFont="1" applyFill="1" applyBorder="1"/>
    <xf numFmtId="164" fontId="6" fillId="10" borderId="0" xfId="1" applyNumberFormat="1" applyFont="1" applyFill="1"/>
    <xf numFmtId="164" fontId="7" fillId="10" borderId="0" xfId="1" applyNumberFormat="1" applyFont="1" applyFill="1"/>
    <xf numFmtId="164" fontId="0" fillId="10" borderId="0" xfId="1" applyNumberFormat="1" applyFont="1" applyFill="1" applyBorder="1"/>
    <xf numFmtId="164" fontId="4" fillId="0" borderId="27" xfId="1" applyNumberFormat="1" applyFont="1" applyFill="1" applyBorder="1"/>
    <xf numFmtId="14" fontId="0" fillId="7" borderId="0" xfId="0" applyNumberFormat="1" applyFill="1"/>
    <xf numFmtId="14" fontId="0" fillId="7" borderId="0" xfId="0" applyNumberFormat="1" applyFill="1" applyAlignment="1">
      <alignment horizontal="right"/>
    </xf>
    <xf numFmtId="164" fontId="0" fillId="7" borderId="46" xfId="1" applyNumberFormat="1" applyFont="1" applyFill="1" applyBorder="1"/>
    <xf numFmtId="14" fontId="0" fillId="7" borderId="0" xfId="0" applyNumberFormat="1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46" xfId="0" applyFill="1" applyBorder="1"/>
    <xf numFmtId="14" fontId="0" fillId="10" borderId="0" xfId="0" applyNumberFormat="1" applyFill="1" applyAlignment="1">
      <alignment horizontal="left"/>
    </xf>
    <xf numFmtId="164" fontId="3" fillId="0" borderId="0" xfId="1" applyNumberFormat="1" applyFont="1" applyBorder="1"/>
    <xf numFmtId="164" fontId="0" fillId="16" borderId="0" xfId="1" applyNumberFormat="1" applyFont="1" applyFill="1" applyBorder="1"/>
    <xf numFmtId="0" fontId="0" fillId="16" borderId="0" xfId="0" applyFill="1"/>
    <xf numFmtId="0" fontId="0" fillId="4" borderId="0" xfId="0" applyFill="1"/>
    <xf numFmtId="14" fontId="0" fillId="4" borderId="0" xfId="0" applyNumberFormat="1" applyFill="1"/>
    <xf numFmtId="164" fontId="0" fillId="4" borderId="0" xfId="1" applyNumberFormat="1" applyFont="1" applyFill="1"/>
    <xf numFmtId="14" fontId="0" fillId="4" borderId="0" xfId="0" applyNumberFormat="1" applyFill="1" applyAlignment="1">
      <alignment horizontal="right"/>
    </xf>
    <xf numFmtId="164" fontId="0" fillId="4" borderId="0" xfId="1" applyNumberFormat="1" applyFont="1" applyFill="1" applyBorder="1"/>
    <xf numFmtId="14" fontId="0" fillId="16" borderId="0" xfId="0" applyNumberFormat="1" applyFill="1" applyAlignment="1">
      <alignment horizontal="right"/>
    </xf>
    <xf numFmtId="0" fontId="0" fillId="5" borderId="0" xfId="0" applyFill="1"/>
    <xf numFmtId="14" fontId="0" fillId="5" borderId="0" xfId="0" applyNumberFormat="1" applyFill="1" applyAlignment="1">
      <alignment horizontal="right"/>
    </xf>
    <xf numFmtId="164" fontId="0" fillId="5" borderId="0" xfId="1" applyNumberFormat="1" applyFont="1" applyFill="1" applyBorder="1"/>
    <xf numFmtId="164" fontId="3" fillId="0" borderId="0" xfId="0" applyNumberFormat="1" applyFont="1"/>
    <xf numFmtId="164" fontId="0" fillId="12" borderId="0" xfId="1" applyNumberFormat="1" applyFont="1" applyFill="1"/>
    <xf numFmtId="0" fontId="0" fillId="12" borderId="0" xfId="0" applyFill="1"/>
    <xf numFmtId="14" fontId="0" fillId="12" borderId="0" xfId="0" applyNumberFormat="1" applyFill="1" applyAlignment="1">
      <alignment horizontal="left"/>
    </xf>
    <xf numFmtId="43" fontId="0" fillId="0" borderId="0" xfId="0" applyNumberFormat="1"/>
    <xf numFmtId="0" fontId="3" fillId="0" borderId="31" xfId="0" applyFont="1" applyBorder="1"/>
    <xf numFmtId="164" fontId="3" fillId="0" borderId="31" xfId="0" applyNumberFormat="1" applyFont="1" applyBorder="1"/>
    <xf numFmtId="164" fontId="3" fillId="0" borderId="0" xfId="1" applyNumberFormat="1" applyFont="1" applyFill="1"/>
    <xf numFmtId="164" fontId="10" fillId="0" borderId="13" xfId="1" applyNumberFormat="1" applyFont="1" applyBorder="1"/>
    <xf numFmtId="164" fontId="10" fillId="0" borderId="7" xfId="1" applyNumberFormat="1" applyFont="1" applyBorder="1"/>
    <xf numFmtId="164" fontId="0" fillId="10" borderId="13" xfId="1" applyNumberFormat="1" applyFont="1" applyFill="1" applyBorder="1"/>
    <xf numFmtId="164" fontId="4" fillId="10" borderId="7" xfId="1" applyNumberFormat="1" applyFont="1" applyFill="1" applyBorder="1"/>
    <xf numFmtId="0" fontId="0" fillId="9" borderId="33" xfId="0" applyFill="1" applyBorder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7" fontId="0" fillId="0" borderId="0" xfId="0" applyNumberFormat="1" applyAlignment="1">
      <alignment horizontal="left" vertical="top"/>
    </xf>
    <xf numFmtId="0" fontId="0" fillId="12" borderId="0" xfId="0" applyFill="1" applyAlignment="1">
      <alignment horizontal="left"/>
    </xf>
    <xf numFmtId="0" fontId="10" fillId="0" borderId="13" xfId="0" applyFont="1" applyBorder="1"/>
    <xf numFmtId="15" fontId="0" fillId="0" borderId="3" xfId="0" applyNumberFormat="1" applyBorder="1" applyAlignment="1">
      <alignment horizontal="right"/>
    </xf>
    <xf numFmtId="0" fontId="0" fillId="17" borderId="0" xfId="0" applyFill="1"/>
    <xf numFmtId="14" fontId="0" fillId="17" borderId="0" xfId="0" applyNumberFormat="1" applyFill="1" applyAlignment="1">
      <alignment horizontal="right"/>
    </xf>
    <xf numFmtId="164" fontId="0" fillId="17" borderId="0" xfId="1" applyNumberFormat="1" applyFont="1" applyFill="1"/>
    <xf numFmtId="0" fontId="0" fillId="10" borderId="0" xfId="0" applyFill="1" applyAlignment="1">
      <alignment horizontal="left"/>
    </xf>
    <xf numFmtId="14" fontId="0" fillId="10" borderId="0" xfId="0" applyNumberFormat="1" applyFill="1"/>
    <xf numFmtId="14" fontId="0" fillId="10" borderId="0" xfId="0" applyNumberFormat="1" applyFill="1" applyAlignment="1">
      <alignment horizontal="right"/>
    </xf>
    <xf numFmtId="0" fontId="0" fillId="12" borderId="0" xfId="0" applyFill="1" applyAlignment="1">
      <alignment horizontal="right"/>
    </xf>
    <xf numFmtId="14" fontId="0" fillId="12" borderId="0" xfId="0" applyNumberFormat="1" applyFill="1" applyAlignment="1">
      <alignment horizontal="right"/>
    </xf>
    <xf numFmtId="0" fontId="0" fillId="7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right"/>
    </xf>
    <xf numFmtId="164" fontId="0" fillId="18" borderId="0" xfId="1" applyNumberFormat="1" applyFont="1" applyFill="1"/>
    <xf numFmtId="14" fontId="0" fillId="18" borderId="0" xfId="0" applyNumberFormat="1" applyFill="1"/>
    <xf numFmtId="0" fontId="0" fillId="19" borderId="0" xfId="0" applyFill="1"/>
    <xf numFmtId="0" fontId="0" fillId="19" borderId="0" xfId="0" applyFill="1" applyAlignment="1">
      <alignment horizontal="right"/>
    </xf>
    <xf numFmtId="164" fontId="0" fillId="19" borderId="0" xfId="1" applyNumberFormat="1" applyFont="1" applyFill="1"/>
    <xf numFmtId="0" fontId="0" fillId="20" borderId="0" xfId="0" applyFill="1"/>
    <xf numFmtId="14" fontId="0" fillId="20" borderId="0" xfId="0" applyNumberFormat="1" applyFill="1" applyAlignment="1">
      <alignment horizontal="right"/>
    </xf>
    <xf numFmtId="164" fontId="0" fillId="20" borderId="0" xfId="1" applyNumberFormat="1" applyFont="1" applyFill="1"/>
    <xf numFmtId="164" fontId="3" fillId="3" borderId="30" xfId="1" applyNumberFormat="1" applyFont="1" applyFill="1" applyBorder="1"/>
    <xf numFmtId="164" fontId="3" fillId="3" borderId="28" xfId="1" applyNumberFormat="1" applyFont="1" applyFill="1" applyBorder="1"/>
    <xf numFmtId="15" fontId="3" fillId="0" borderId="3" xfId="0" applyNumberFormat="1" applyFont="1" applyBorder="1"/>
    <xf numFmtId="164" fontId="4" fillId="0" borderId="42" xfId="1" applyNumberFormat="1" applyFont="1" applyBorder="1"/>
    <xf numFmtId="164" fontId="0" fillId="0" borderId="51" xfId="1" applyNumberFormat="1" applyFont="1" applyFill="1" applyBorder="1"/>
    <xf numFmtId="164" fontId="0" fillId="0" borderId="52" xfId="1" applyNumberFormat="1" applyFont="1" applyBorder="1"/>
    <xf numFmtId="164" fontId="0" fillId="0" borderId="46" xfId="1" applyNumberFormat="1" applyFont="1" applyFill="1" applyBorder="1"/>
    <xf numFmtId="0" fontId="0" fillId="0" borderId="31" xfId="0" applyBorder="1"/>
    <xf numFmtId="0" fontId="1" fillId="0" borderId="0" xfId="0" applyFont="1" applyAlignment="1">
      <alignment horizontal="center"/>
    </xf>
    <xf numFmtId="0" fontId="4" fillId="0" borderId="0" xfId="0" applyFont="1"/>
    <xf numFmtId="0" fontId="0" fillId="0" borderId="2" xfId="0" applyBorder="1"/>
    <xf numFmtId="0" fontId="0" fillId="21" borderId="0" xfId="0" applyFill="1"/>
    <xf numFmtId="0" fontId="3" fillId="4" borderId="53" xfId="0" applyFont="1" applyFill="1" applyBorder="1"/>
    <xf numFmtId="164" fontId="0" fillId="0" borderId="6" xfId="1" applyNumberFormat="1" applyFont="1" applyFill="1" applyBorder="1"/>
    <xf numFmtId="0" fontId="0" fillId="0" borderId="54" xfId="0" quotePrefix="1" applyBorder="1"/>
    <xf numFmtId="15" fontId="0" fillId="0" borderId="5" xfId="0" applyNumberFormat="1" applyBorder="1"/>
    <xf numFmtId="164" fontId="0" fillId="0" borderId="2" xfId="1" applyNumberFormat="1" applyFont="1" applyFill="1" applyBorder="1"/>
    <xf numFmtId="0" fontId="0" fillId="0" borderId="12" xfId="0" quotePrefix="1" applyBorder="1"/>
    <xf numFmtId="15" fontId="0" fillId="0" borderId="1" xfId="0" applyNumberFormat="1" applyBorder="1"/>
    <xf numFmtId="164" fontId="3" fillId="4" borderId="53" xfId="0" applyNumberFormat="1" applyFont="1" applyFill="1" applyBorder="1"/>
    <xf numFmtId="164" fontId="0" fillId="0" borderId="0" xfId="1" applyNumberFormat="1" applyFont="1" applyFill="1" applyBorder="1"/>
    <xf numFmtId="0" fontId="22" fillId="9" borderId="0" xfId="0" applyFont="1" applyFill="1" applyAlignment="1">
      <alignment horizontal="center"/>
    </xf>
    <xf numFmtId="0" fontId="10" fillId="9" borderId="0" xfId="0" applyFont="1" applyFill="1"/>
    <xf numFmtId="15" fontId="10" fillId="9" borderId="0" xfId="0" applyNumberFormat="1" applyFont="1" applyFill="1"/>
    <xf numFmtId="0" fontId="22" fillId="9" borderId="0" xfId="0" applyFont="1" applyFill="1"/>
    <xf numFmtId="164" fontId="0" fillId="0" borderId="13" xfId="0" applyNumberFormat="1" applyBorder="1"/>
    <xf numFmtId="0" fontId="5" fillId="3" borderId="0" xfId="0" applyFont="1" applyFill="1" applyAlignment="1">
      <alignment horizontal="center"/>
    </xf>
    <xf numFmtId="0" fontId="3" fillId="0" borderId="14" xfId="0" applyFont="1" applyBorder="1" applyAlignment="1">
      <alignment horizontal="center"/>
    </xf>
    <xf numFmtId="164" fontId="0" fillId="0" borderId="15" xfId="0" applyNumberFormat="1" applyBorder="1"/>
    <xf numFmtId="164" fontId="0" fillId="0" borderId="16" xfId="0" applyNumberFormat="1" applyBorder="1"/>
    <xf numFmtId="0" fontId="3" fillId="0" borderId="20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164" fontId="0" fillId="0" borderId="24" xfId="0" applyNumberFormat="1" applyBorder="1"/>
    <xf numFmtId="0" fontId="10" fillId="0" borderId="42" xfId="0" applyFont="1" applyBorder="1"/>
    <xf numFmtId="0" fontId="3" fillId="3" borderId="29" xfId="0" applyFont="1" applyFill="1" applyBorder="1"/>
    <xf numFmtId="164" fontId="2" fillId="0" borderId="13" xfId="1" applyNumberFormat="1" applyFont="1" applyBorder="1"/>
    <xf numFmtId="164" fontId="0" fillId="0" borderId="42" xfId="1" applyNumberFormat="1" applyFont="1" applyBorder="1"/>
    <xf numFmtId="0" fontId="0" fillId="0" borderId="0" xfId="0" quotePrefix="1"/>
    <xf numFmtId="15" fontId="10" fillId="0" borderId="3" xfId="0" applyNumberFormat="1" applyFont="1" applyBorder="1"/>
    <xf numFmtId="15" fontId="10" fillId="0" borderId="0" xfId="0" applyNumberFormat="1" applyFont="1"/>
    <xf numFmtId="164" fontId="0" fillId="10" borderId="22" xfId="1" applyNumberFormat="1" applyFont="1" applyFill="1" applyBorder="1"/>
    <xf numFmtId="164" fontId="0" fillId="7" borderId="15" xfId="0" applyNumberFormat="1" applyFill="1" applyBorder="1"/>
    <xf numFmtId="164" fontId="0" fillId="7" borderId="13" xfId="0" applyNumberFormat="1" applyFill="1" applyBorder="1"/>
    <xf numFmtId="164" fontId="10" fillId="7" borderId="15" xfId="0" applyNumberFormat="1" applyFont="1" applyFill="1" applyBorder="1"/>
    <xf numFmtId="0" fontId="1" fillId="2" borderId="13" xfId="0" applyFont="1" applyFill="1" applyBorder="1" applyAlignment="1">
      <alignment horizontal="center" vertical="center" wrapText="1"/>
    </xf>
    <xf numFmtId="0" fontId="0" fillId="15" borderId="13" xfId="0" applyFill="1" applyBorder="1" applyAlignment="1">
      <alignment horizontal="center"/>
    </xf>
    <xf numFmtId="164" fontId="0" fillId="15" borderId="13" xfId="1" applyNumberFormat="1" applyFont="1" applyFill="1" applyBorder="1"/>
    <xf numFmtId="164" fontId="10" fillId="0" borderId="4" xfId="1" applyNumberFormat="1" applyFont="1" applyBorder="1"/>
    <xf numFmtId="164" fontId="17" fillId="0" borderId="13" xfId="1" applyNumberFormat="1" applyFont="1" applyFill="1" applyBorder="1"/>
    <xf numFmtId="164" fontId="17" fillId="0" borderId="13" xfId="1" applyNumberFormat="1" applyFont="1" applyBorder="1"/>
    <xf numFmtId="164" fontId="2" fillId="0" borderId="4" xfId="1" applyNumberFormat="1" applyFont="1" applyFill="1" applyBorder="1"/>
    <xf numFmtId="164" fontId="0" fillId="7" borderId="4" xfId="1" applyNumberFormat="1" applyFont="1" applyFill="1" applyBorder="1"/>
    <xf numFmtId="0" fontId="0" fillId="7" borderId="11" xfId="0" quotePrefix="1" applyFill="1" applyBorder="1"/>
    <xf numFmtId="15" fontId="0" fillId="7" borderId="3" xfId="0" applyNumberFormat="1" applyFill="1" applyBorder="1"/>
    <xf numFmtId="0" fontId="1" fillId="2" borderId="25" xfId="0" applyFont="1" applyFill="1" applyBorder="1" applyAlignment="1">
      <alignment horizontal="center" wrapText="1"/>
    </xf>
    <xf numFmtId="15" fontId="10" fillId="7" borderId="3" xfId="0" applyNumberFormat="1" applyFont="1" applyFill="1" applyBorder="1"/>
    <xf numFmtId="164" fontId="4" fillId="0" borderId="13" xfId="1" applyNumberFormat="1" applyFont="1" applyBorder="1"/>
    <xf numFmtId="164" fontId="0" fillId="0" borderId="8" xfId="0" applyNumberFormat="1" applyBorder="1"/>
    <xf numFmtId="0" fontId="4" fillId="0" borderId="33" xfId="0" applyFont="1" applyBorder="1" applyAlignment="1">
      <alignment horizontal="left"/>
    </xf>
    <xf numFmtId="0" fontId="1" fillId="7" borderId="2" xfId="0" applyFont="1" applyFill="1" applyBorder="1" applyAlignment="1">
      <alignment horizontal="center"/>
    </xf>
    <xf numFmtId="164" fontId="0" fillId="7" borderId="7" xfId="1" applyNumberFormat="1" applyFont="1" applyFill="1" applyBorder="1"/>
    <xf numFmtId="164" fontId="0" fillId="7" borderId="27" xfId="1" applyNumberFormat="1" applyFont="1" applyFill="1" applyBorder="1"/>
    <xf numFmtId="164" fontId="3" fillId="7" borderId="30" xfId="1" applyNumberFormat="1" applyFont="1" applyFill="1" applyBorder="1"/>
    <xf numFmtId="164" fontId="4" fillId="7" borderId="27" xfId="1" applyNumberFormat="1" applyFont="1" applyFill="1" applyBorder="1"/>
    <xf numFmtId="164" fontId="4" fillId="7" borderId="7" xfId="1" applyNumberFormat="1" applyFont="1" applyFill="1" applyBorder="1"/>
    <xf numFmtId="164" fontId="0" fillId="7" borderId="9" xfId="1" applyNumberFormat="1" applyFont="1" applyFill="1" applyBorder="1"/>
    <xf numFmtId="0" fontId="0" fillId="7" borderId="7" xfId="0" applyFill="1" applyBorder="1"/>
    <xf numFmtId="164" fontId="0" fillId="7" borderId="37" xfId="1" applyNumberFormat="1" applyFont="1" applyFill="1" applyBorder="1"/>
    <xf numFmtId="164" fontId="4" fillId="7" borderId="4" xfId="1" applyNumberFormat="1" applyFont="1" applyFill="1" applyBorder="1"/>
    <xf numFmtId="164" fontId="3" fillId="7" borderId="41" xfId="0" applyNumberFormat="1" applyFont="1" applyFill="1" applyBorder="1" applyAlignment="1">
      <alignment horizontal="center"/>
    </xf>
    <xf numFmtId="164" fontId="3" fillId="7" borderId="41" xfId="1" applyNumberFormat="1" applyFont="1" applyFill="1" applyBorder="1" applyAlignment="1">
      <alignment horizontal="center"/>
    </xf>
    <xf numFmtId="164" fontId="0" fillId="7" borderId="30" xfId="1" applyNumberFormat="1" applyFont="1" applyFill="1" applyBorder="1"/>
    <xf numFmtId="164" fontId="10" fillId="7" borderId="7" xfId="1" applyNumberFormat="1" applyFont="1" applyFill="1" applyBorder="1"/>
    <xf numFmtId="164" fontId="3" fillId="7" borderId="44" xfId="0" applyNumberFormat="1" applyFont="1" applyFill="1" applyBorder="1"/>
    <xf numFmtId="0" fontId="1" fillId="10" borderId="2" xfId="0" applyFont="1" applyFill="1" applyBorder="1" applyAlignment="1">
      <alignment horizontal="center"/>
    </xf>
    <xf numFmtId="164" fontId="0" fillId="10" borderId="7" xfId="1" applyNumberFormat="1" applyFont="1" applyFill="1" applyBorder="1"/>
    <xf numFmtId="164" fontId="0" fillId="10" borderId="27" xfId="1" applyNumberFormat="1" applyFont="1" applyFill="1" applyBorder="1"/>
    <xf numFmtId="164" fontId="3" fillId="10" borderId="30" xfId="1" applyNumberFormat="1" applyFont="1" applyFill="1" applyBorder="1"/>
    <xf numFmtId="164" fontId="4" fillId="10" borderId="27" xfId="1" applyNumberFormat="1" applyFont="1" applyFill="1" applyBorder="1"/>
    <xf numFmtId="164" fontId="0" fillId="10" borderId="4" xfId="1" applyNumberFormat="1" applyFont="1" applyFill="1" applyBorder="1"/>
    <xf numFmtId="164" fontId="0" fillId="10" borderId="9" xfId="1" applyNumberFormat="1" applyFont="1" applyFill="1" applyBorder="1"/>
    <xf numFmtId="0" fontId="0" fillId="10" borderId="7" xfId="0" applyFill="1" applyBorder="1"/>
    <xf numFmtId="164" fontId="10" fillId="10" borderId="7" xfId="1" applyNumberFormat="1" applyFont="1" applyFill="1" applyBorder="1"/>
    <xf numFmtId="164" fontId="0" fillId="10" borderId="37" xfId="1" applyNumberFormat="1" applyFont="1" applyFill="1" applyBorder="1"/>
    <xf numFmtId="164" fontId="4" fillId="10" borderId="4" xfId="1" applyNumberFormat="1" applyFont="1" applyFill="1" applyBorder="1"/>
    <xf numFmtId="164" fontId="3" fillId="10" borderId="41" xfId="0" applyNumberFormat="1" applyFont="1" applyFill="1" applyBorder="1" applyAlignment="1">
      <alignment horizontal="center"/>
    </xf>
    <xf numFmtId="164" fontId="3" fillId="10" borderId="41" xfId="1" applyNumberFormat="1" applyFont="1" applyFill="1" applyBorder="1" applyAlignment="1">
      <alignment horizontal="center"/>
    </xf>
    <xf numFmtId="164" fontId="0" fillId="10" borderId="30" xfId="1" applyNumberFormat="1" applyFont="1" applyFill="1" applyBorder="1"/>
    <xf numFmtId="164" fontId="4" fillId="0" borderId="26" xfId="1" applyNumberFormat="1" applyFont="1" applyFill="1" applyBorder="1"/>
    <xf numFmtId="17" fontId="3" fillId="8" borderId="55" xfId="0" applyNumberFormat="1" applyFont="1" applyFill="1" applyBorder="1" applyAlignment="1">
      <alignment horizontal="center"/>
    </xf>
    <xf numFmtId="0" fontId="3" fillId="8" borderId="55" xfId="0" applyFont="1" applyFill="1" applyBorder="1"/>
    <xf numFmtId="164" fontId="3" fillId="8" borderId="55" xfId="1" applyNumberFormat="1" applyFont="1" applyFill="1" applyBorder="1"/>
    <xf numFmtId="0" fontId="0" fillId="3" borderId="56" xfId="0" applyFill="1" applyBorder="1"/>
    <xf numFmtId="0" fontId="0" fillId="3" borderId="57" xfId="0" applyFill="1" applyBorder="1"/>
    <xf numFmtId="164" fontId="10" fillId="0" borderId="6" xfId="1" applyNumberFormat="1" applyFont="1" applyBorder="1"/>
    <xf numFmtId="164" fontId="0" fillId="0" borderId="58" xfId="1" applyNumberFormat="1" applyFont="1" applyBorder="1"/>
    <xf numFmtId="0" fontId="4" fillId="7" borderId="11" xfId="0" quotePrefix="1" applyFont="1" applyFill="1" applyBorder="1"/>
    <xf numFmtId="15" fontId="4" fillId="7" borderId="3" xfId="0" applyNumberFormat="1" applyFont="1" applyFill="1" applyBorder="1"/>
    <xf numFmtId="0" fontId="4" fillId="7" borderId="0" xfId="0" quotePrefix="1" applyFont="1" applyFill="1"/>
    <xf numFmtId="15" fontId="0" fillId="0" borderId="36" xfId="0" applyNumberFormat="1" applyBorder="1" applyAlignment="1">
      <alignment horizontal="right"/>
    </xf>
    <xf numFmtId="164" fontId="0" fillId="0" borderId="59" xfId="0" applyNumberFormat="1" applyBorder="1"/>
    <xf numFmtId="164" fontId="0" fillId="0" borderId="60" xfId="0" applyNumberFormat="1" applyBorder="1"/>
    <xf numFmtId="0" fontId="0" fillId="0" borderId="0" xfId="0" applyAlignment="1">
      <alignment horizontal="left"/>
    </xf>
    <xf numFmtId="164" fontId="0" fillId="0" borderId="21" xfId="0" applyNumberFormat="1" applyBorder="1"/>
    <xf numFmtId="164" fontId="0" fillId="7" borderId="24" xfId="0" applyNumberFormat="1" applyFill="1" applyBorder="1"/>
    <xf numFmtId="164" fontId="0" fillId="0" borderId="25" xfId="0" applyNumberFormat="1" applyBorder="1"/>
    <xf numFmtId="164" fontId="0" fillId="7" borderId="51" xfId="0" applyNumberFormat="1" applyFill="1" applyBorder="1"/>
    <xf numFmtId="0" fontId="3" fillId="22" borderId="61" xfId="0" applyFont="1" applyFill="1" applyBorder="1"/>
    <xf numFmtId="164" fontId="3" fillId="22" borderId="59" xfId="1" applyNumberFormat="1" applyFont="1" applyFill="1" applyBorder="1"/>
    <xf numFmtId="164" fontId="3" fillId="22" borderId="60" xfId="1" applyNumberFormat="1" applyFont="1" applyFill="1" applyBorder="1"/>
    <xf numFmtId="0" fontId="3" fillId="0" borderId="61" xfId="0" applyFont="1" applyBorder="1"/>
    <xf numFmtId="164" fontId="4" fillId="7" borderId="13" xfId="0" applyNumberFormat="1" applyFont="1" applyFill="1" applyBorder="1"/>
    <xf numFmtId="0" fontId="10" fillId="7" borderId="0" xfId="0" quotePrefix="1" applyFont="1" applyFill="1"/>
    <xf numFmtId="164" fontId="0" fillId="0" borderId="10" xfId="1" applyNumberFormat="1" applyFont="1" applyFill="1" applyBorder="1"/>
    <xf numFmtId="0" fontId="4" fillId="9" borderId="0" xfId="0" applyFont="1" applyFill="1"/>
    <xf numFmtId="15" fontId="0" fillId="9" borderId="0" xfId="0" applyNumberFormat="1" applyFill="1"/>
    <xf numFmtId="0" fontId="1" fillId="2" borderId="64" xfId="0" applyFont="1" applyFill="1" applyBorder="1" applyAlignment="1">
      <alignment horizontal="center"/>
    </xf>
    <xf numFmtId="15" fontId="0" fillId="0" borderId="33" xfId="0" applyNumberFormat="1" applyBorder="1"/>
    <xf numFmtId="0" fontId="1" fillId="2" borderId="66" xfId="0" applyFont="1" applyFill="1" applyBorder="1" applyAlignment="1">
      <alignment horizontal="center"/>
    </xf>
    <xf numFmtId="164" fontId="0" fillId="0" borderId="9" xfId="1" applyNumberFormat="1" applyFont="1" applyFill="1" applyBorder="1"/>
    <xf numFmtId="164" fontId="0" fillId="0" borderId="67" xfId="1" applyNumberFormat="1" applyFont="1" applyBorder="1"/>
    <xf numFmtId="0" fontId="1" fillId="9" borderId="0" xfId="0" applyFont="1" applyFill="1" applyAlignment="1">
      <alignment horizontal="center"/>
    </xf>
    <xf numFmtId="15" fontId="4" fillId="9" borderId="0" xfId="0" applyNumberFormat="1" applyFont="1" applyFill="1"/>
    <xf numFmtId="15" fontId="10" fillId="0" borderId="33" xfId="0" applyNumberFormat="1" applyFont="1" applyBorder="1"/>
    <xf numFmtId="0" fontId="0" fillId="21" borderId="58" xfId="0" applyFill="1" applyBorder="1"/>
    <xf numFmtId="0" fontId="0" fillId="21" borderId="46" xfId="0" applyFill="1" applyBorder="1"/>
    <xf numFmtId="0" fontId="0" fillId="21" borderId="47" xfId="0" applyFill="1" applyBorder="1"/>
    <xf numFmtId="164" fontId="0" fillId="0" borderId="63" xfId="0" applyNumberFormat="1" applyBorder="1"/>
    <xf numFmtId="164" fontId="0" fillId="0" borderId="68" xfId="0" applyNumberFormat="1" applyBorder="1"/>
    <xf numFmtId="164" fontId="0" fillId="0" borderId="64" xfId="0" applyNumberFormat="1" applyBorder="1"/>
    <xf numFmtId="164" fontId="10" fillId="0" borderId="63" xfId="0" applyNumberFormat="1" applyFont="1" applyBorder="1"/>
    <xf numFmtId="164" fontId="10" fillId="0" borderId="68" xfId="0" applyNumberFormat="1" applyFont="1" applyBorder="1"/>
    <xf numFmtId="164" fontId="10" fillId="0" borderId="64" xfId="0" applyNumberFormat="1" applyFont="1" applyBorder="1"/>
    <xf numFmtId="164" fontId="0" fillId="16" borderId="14" xfId="0" applyNumberFormat="1" applyFill="1" applyBorder="1"/>
    <xf numFmtId="164" fontId="0" fillId="7" borderId="20" xfId="0" applyNumberFormat="1" applyFill="1" applyBorder="1"/>
    <xf numFmtId="164" fontId="0" fillId="7" borderId="23" xfId="0" applyNumberFormat="1" applyFill="1" applyBorder="1"/>
    <xf numFmtId="164" fontId="0" fillId="7" borderId="14" xfId="0" applyNumberFormat="1" applyFill="1" applyBorder="1"/>
    <xf numFmtId="164" fontId="0" fillId="16" borderId="20" xfId="0" applyNumberFormat="1" applyFill="1" applyBorder="1"/>
    <xf numFmtId="0" fontId="5" fillId="3" borderId="51" xfId="0" applyFont="1" applyFill="1" applyBorder="1" applyAlignment="1">
      <alignment horizontal="center"/>
    </xf>
    <xf numFmtId="164" fontId="10" fillId="23" borderId="68" xfId="0" applyNumberFormat="1" applyFont="1" applyFill="1" applyBorder="1"/>
    <xf numFmtId="164" fontId="4" fillId="7" borderId="20" xfId="0" applyNumberFormat="1" applyFont="1" applyFill="1" applyBorder="1"/>
    <xf numFmtId="15" fontId="10" fillId="0" borderId="13" xfId="0" applyNumberFormat="1" applyFont="1" applyBorder="1"/>
    <xf numFmtId="164" fontId="0" fillId="7" borderId="25" xfId="0" applyNumberFormat="1" applyFill="1" applyBorder="1"/>
    <xf numFmtId="164" fontId="0" fillId="10" borderId="21" xfId="0" applyNumberFormat="1" applyFill="1" applyBorder="1"/>
    <xf numFmtId="164" fontId="10" fillId="7" borderId="21" xfId="0" applyNumberFormat="1" applyFont="1" applyFill="1" applyBorder="1"/>
    <xf numFmtId="164" fontId="17" fillId="24" borderId="51" xfId="1" applyNumberFormat="1" applyFont="1" applyFill="1" applyBorder="1"/>
    <xf numFmtId="0" fontId="0" fillId="7" borderId="13" xfId="0" applyFill="1" applyBorder="1"/>
    <xf numFmtId="17" fontId="0" fillId="7" borderId="13" xfId="0" applyNumberFormat="1" applyFill="1" applyBorder="1"/>
    <xf numFmtId="15" fontId="0" fillId="7" borderId="13" xfId="0" applyNumberFormat="1" applyFill="1" applyBorder="1"/>
    <xf numFmtId="0" fontId="10" fillId="7" borderId="0" xfId="0" applyFont="1" applyFill="1"/>
    <xf numFmtId="0" fontId="0" fillId="3" borderId="38" xfId="0" applyFill="1" applyBorder="1"/>
    <xf numFmtId="0" fontId="3" fillId="3" borderId="38" xfId="0" applyFont="1" applyFill="1" applyBorder="1"/>
    <xf numFmtId="164" fontId="0" fillId="0" borderId="35" xfId="0" applyNumberFormat="1" applyBorder="1"/>
    <xf numFmtId="0" fontId="0" fillId="0" borderId="33" xfId="0" applyBorder="1"/>
    <xf numFmtId="16" fontId="0" fillId="0" borderId="40" xfId="0" applyNumberFormat="1" applyBorder="1"/>
    <xf numFmtId="15" fontId="0" fillId="0" borderId="33" xfId="0" applyNumberFormat="1" applyBorder="1" applyAlignment="1">
      <alignment horizontal="right"/>
    </xf>
    <xf numFmtId="15" fontId="0" fillId="0" borderId="40" xfId="0" applyNumberFormat="1" applyBorder="1" applyAlignment="1">
      <alignment horizontal="right"/>
    </xf>
    <xf numFmtId="15" fontId="0" fillId="0" borderId="40" xfId="0" applyNumberFormat="1" applyBorder="1"/>
    <xf numFmtId="0" fontId="0" fillId="0" borderId="35" xfId="0" applyBorder="1"/>
    <xf numFmtId="0" fontId="3" fillId="4" borderId="38" xfId="0" applyFont="1" applyFill="1" applyBorder="1"/>
    <xf numFmtId="0" fontId="1" fillId="2" borderId="67" xfId="0" applyFont="1" applyFill="1" applyBorder="1" applyAlignment="1">
      <alignment horizontal="center"/>
    </xf>
    <xf numFmtId="164" fontId="3" fillId="3" borderId="31" xfId="0" applyNumberFormat="1" applyFont="1" applyFill="1" applyBorder="1" applyAlignment="1">
      <alignment horizontal="center"/>
    </xf>
    <xf numFmtId="164" fontId="3" fillId="3" borderId="31" xfId="1" applyNumberFormat="1" applyFont="1" applyFill="1" applyBorder="1" applyAlignment="1">
      <alignment horizontal="center"/>
    </xf>
    <xf numFmtId="164" fontId="4" fillId="0" borderId="0" xfId="1" applyNumberFormat="1" applyFont="1" applyBorder="1"/>
    <xf numFmtId="164" fontId="3" fillId="4" borderId="70" xfId="0" applyNumberFormat="1" applyFont="1" applyFill="1" applyBorder="1"/>
    <xf numFmtId="0" fontId="1" fillId="9" borderId="71" xfId="0" applyFont="1" applyFill="1" applyBorder="1" applyAlignment="1">
      <alignment horizontal="center"/>
    </xf>
    <xf numFmtId="0" fontId="1" fillId="9" borderId="72" xfId="0" applyFont="1" applyFill="1" applyBorder="1" applyAlignment="1">
      <alignment horizontal="center"/>
    </xf>
    <xf numFmtId="15" fontId="0" fillId="9" borderId="72" xfId="0" applyNumberFormat="1" applyFill="1" applyBorder="1"/>
    <xf numFmtId="0" fontId="0" fillId="9" borderId="72" xfId="0" applyFill="1" applyBorder="1"/>
    <xf numFmtId="0" fontId="3" fillId="9" borderId="72" xfId="0" applyFont="1" applyFill="1" applyBorder="1"/>
    <xf numFmtId="164" fontId="0" fillId="9" borderId="72" xfId="0" applyNumberFormat="1" applyFill="1" applyBorder="1"/>
    <xf numFmtId="16" fontId="0" fillId="9" borderId="72" xfId="0" applyNumberFormat="1" applyFill="1" applyBorder="1"/>
    <xf numFmtId="15" fontId="0" fillId="9" borderId="72" xfId="0" applyNumberFormat="1" applyFill="1" applyBorder="1" applyAlignment="1">
      <alignment horizontal="right"/>
    </xf>
    <xf numFmtId="0" fontId="3" fillId="9" borderId="73" xfId="0" applyFont="1" applyFill="1" applyBorder="1"/>
    <xf numFmtId="0" fontId="3" fillId="0" borderId="40" xfId="0" applyFont="1" applyBorder="1" applyAlignment="1">
      <alignment horizontal="center"/>
    </xf>
    <xf numFmtId="164" fontId="3" fillId="3" borderId="74" xfId="0" applyNumberFormat="1" applyFont="1" applyFill="1" applyBorder="1" applyAlignment="1">
      <alignment horizontal="center"/>
    </xf>
    <xf numFmtId="164" fontId="0" fillId="0" borderId="34" xfId="1" applyNumberFormat="1" applyFont="1" applyFill="1" applyBorder="1"/>
    <xf numFmtId="164" fontId="0" fillId="0" borderId="37" xfId="1" applyNumberFormat="1" applyFont="1" applyFill="1" applyBorder="1"/>
    <xf numFmtId="164" fontId="17" fillId="0" borderId="51" xfId="1" applyNumberFormat="1" applyFont="1" applyFill="1" applyBorder="1"/>
    <xf numFmtId="0" fontId="0" fillId="0" borderId="51" xfId="0" applyBorder="1"/>
    <xf numFmtId="0" fontId="23" fillId="0" borderId="0" xfId="0" applyFont="1"/>
    <xf numFmtId="164" fontId="23" fillId="0" borderId="0" xfId="0" applyNumberFormat="1" applyFont="1"/>
    <xf numFmtId="164" fontId="6" fillId="26" borderId="0" xfId="0" applyNumberFormat="1" applyFont="1" applyFill="1"/>
    <xf numFmtId="164" fontId="0" fillId="25" borderId="6" xfId="1" applyNumberFormat="1" applyFont="1" applyFill="1" applyBorder="1"/>
    <xf numFmtId="164" fontId="0" fillId="20" borderId="4" xfId="1" applyNumberFormat="1" applyFont="1" applyFill="1" applyBorder="1"/>
    <xf numFmtId="0" fontId="0" fillId="20" borderId="11" xfId="0" quotePrefix="1" applyFill="1" applyBorder="1"/>
    <xf numFmtId="164" fontId="4" fillId="20" borderId="4" xfId="1" applyNumberFormat="1" applyFont="1" applyFill="1" applyBorder="1"/>
    <xf numFmtId="164" fontId="0" fillId="20" borderId="6" xfId="1" applyNumberFormat="1" applyFont="1" applyFill="1" applyBorder="1"/>
    <xf numFmtId="0" fontId="0" fillId="0" borderId="13" xfId="0" quotePrefix="1" applyBorder="1"/>
    <xf numFmtId="15" fontId="0" fillId="26" borderId="13" xfId="0" applyNumberFormat="1" applyFill="1" applyBorder="1"/>
    <xf numFmtId="0" fontId="0" fillId="26" borderId="13" xfId="0" quotePrefix="1" applyFill="1" applyBorder="1"/>
    <xf numFmtId="17" fontId="0" fillId="26" borderId="13" xfId="0" applyNumberFormat="1" applyFill="1" applyBorder="1"/>
    <xf numFmtId="0" fontId="0" fillId="26" borderId="13" xfId="0" applyFill="1" applyBorder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64" fontId="22" fillId="0" borderId="0" xfId="1" applyNumberFormat="1" applyFont="1"/>
    <xf numFmtId="0" fontId="22" fillId="0" borderId="0" xfId="0" applyFont="1"/>
    <xf numFmtId="0" fontId="5" fillId="0" borderId="0" xfId="0" applyFont="1" applyAlignment="1">
      <alignment horizontal="center"/>
    </xf>
    <xf numFmtId="164" fontId="0" fillId="0" borderId="75" xfId="0" applyNumberFormat="1" applyBorder="1"/>
    <xf numFmtId="164" fontId="0" fillId="0" borderId="76" xfId="0" applyNumberFormat="1" applyBorder="1"/>
    <xf numFmtId="164" fontId="0" fillId="0" borderId="77" xfId="0" applyNumberFormat="1" applyBorder="1"/>
    <xf numFmtId="164" fontId="0" fillId="27" borderId="4" xfId="1" applyNumberFormat="1" applyFont="1" applyFill="1" applyBorder="1"/>
    <xf numFmtId="164" fontId="0" fillId="0" borderId="31" xfId="1" applyNumberFormat="1" applyFont="1" applyBorder="1"/>
    <xf numFmtId="164" fontId="10" fillId="10" borderId="13" xfId="1" applyNumberFormat="1" applyFont="1" applyFill="1" applyBorder="1"/>
    <xf numFmtId="0" fontId="0" fillId="10" borderId="13" xfId="0" applyFill="1" applyBorder="1"/>
    <xf numFmtId="0" fontId="10" fillId="10" borderId="13" xfId="0" applyFont="1" applyFill="1" applyBorder="1"/>
    <xf numFmtId="15" fontId="0" fillId="10" borderId="13" xfId="0" applyNumberFormat="1" applyFill="1" applyBorder="1"/>
    <xf numFmtId="164" fontId="0" fillId="24" borderId="27" xfId="1" applyNumberFormat="1" applyFont="1" applyFill="1" applyBorder="1"/>
    <xf numFmtId="15" fontId="0" fillId="24" borderId="3" xfId="0" applyNumberFormat="1" applyFill="1" applyBorder="1"/>
    <xf numFmtId="164" fontId="4" fillId="24" borderId="27" xfId="1" applyNumberFormat="1" applyFont="1" applyFill="1" applyBorder="1"/>
    <xf numFmtId="164" fontId="0" fillId="24" borderId="7" xfId="1" applyNumberFormat="1" applyFont="1" applyFill="1" applyBorder="1"/>
    <xf numFmtId="15" fontId="0" fillId="10" borderId="3" xfId="0" applyNumberFormat="1" applyFill="1" applyBorder="1"/>
    <xf numFmtId="164" fontId="0" fillId="0" borderId="13" xfId="1" applyNumberFormat="1" applyFont="1" applyFill="1" applyBorder="1"/>
    <xf numFmtId="0" fontId="0" fillId="0" borderId="51" xfId="0" applyBorder="1" applyAlignment="1">
      <alignment horizontal="center"/>
    </xf>
    <xf numFmtId="164" fontId="0" fillId="28" borderId="7" xfId="1" applyNumberFormat="1" applyFont="1" applyFill="1" applyBorder="1"/>
    <xf numFmtId="0" fontId="10" fillId="0" borderId="40" xfId="0" applyFont="1" applyBorder="1" applyAlignment="1">
      <alignment horizontal="left"/>
    </xf>
    <xf numFmtId="164" fontId="0" fillId="10" borderId="16" xfId="0" applyNumberFormat="1" applyFill="1" applyBorder="1"/>
    <xf numFmtId="164" fontId="0" fillId="0" borderId="22" xfId="1" applyNumberFormat="1" applyFont="1" applyBorder="1"/>
    <xf numFmtId="164" fontId="0" fillId="0" borderId="22" xfId="0" applyNumberFormat="1" applyBorder="1"/>
    <xf numFmtId="0" fontId="0" fillId="3" borderId="34" xfId="0" applyFill="1" applyBorder="1"/>
    <xf numFmtId="0" fontId="3" fillId="3" borderId="40" xfId="0" applyFont="1" applyFill="1" applyBorder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0" fillId="3" borderId="36" xfId="0" applyFill="1" applyBorder="1"/>
    <xf numFmtId="164" fontId="0" fillId="3" borderId="0" xfId="0" applyNumberFormat="1" applyFill="1" applyAlignment="1">
      <alignment horizontal="center"/>
    </xf>
    <xf numFmtId="164" fontId="0" fillId="28" borderId="27" xfId="1" applyNumberFormat="1" applyFont="1" applyFill="1" applyBorder="1"/>
    <xf numFmtId="15" fontId="0" fillId="28" borderId="3" xfId="0" applyNumberFormat="1" applyFill="1" applyBorder="1"/>
    <xf numFmtId="164" fontId="4" fillId="28" borderId="27" xfId="1" applyNumberFormat="1" applyFont="1" applyFill="1" applyBorder="1"/>
    <xf numFmtId="164" fontId="4" fillId="28" borderId="4" xfId="1" applyNumberFormat="1" applyFont="1" applyFill="1" applyBorder="1"/>
    <xf numFmtId="15" fontId="0" fillId="28" borderId="3" xfId="0" applyNumberFormat="1" applyFill="1" applyBorder="1" applyAlignment="1">
      <alignment horizontal="right"/>
    </xf>
    <xf numFmtId="17" fontId="0" fillId="10" borderId="13" xfId="0" applyNumberFormat="1" applyFill="1" applyBorder="1"/>
    <xf numFmtId="164" fontId="17" fillId="0" borderId="51" xfId="1" applyNumberFormat="1" applyFont="1" applyBorder="1"/>
    <xf numFmtId="0" fontId="0" fillId="7" borderId="13" xfId="0" quotePrefix="1" applyFill="1" applyBorder="1"/>
    <xf numFmtId="0" fontId="0" fillId="10" borderId="11" xfId="0" quotePrefix="1" applyFill="1" applyBorder="1"/>
    <xf numFmtId="164" fontId="0" fillId="0" borderId="46" xfId="1" applyNumberFormat="1" applyFont="1" applyBorder="1"/>
    <xf numFmtId="0" fontId="24" fillId="29" borderId="0" xfId="0" applyFont="1" applyFill="1"/>
    <xf numFmtId="164" fontId="24" fillId="29" borderId="0" xfId="1" applyNumberFormat="1" applyFont="1" applyFill="1"/>
    <xf numFmtId="15" fontId="0" fillId="0" borderId="11" xfId="0" quotePrefix="1" applyNumberFormat="1" applyBorder="1"/>
    <xf numFmtId="15" fontId="0" fillId="0" borderId="54" xfId="0" quotePrefix="1" applyNumberFormat="1" applyBorder="1"/>
    <xf numFmtId="0" fontId="1" fillId="2" borderId="0" xfId="0" applyFont="1" applyFill="1" applyAlignment="1">
      <alignment horizontal="center"/>
    </xf>
    <xf numFmtId="0" fontId="0" fillId="3" borderId="0" xfId="0" applyFill="1"/>
    <xf numFmtId="0" fontId="3" fillId="3" borderId="0" xfId="0" applyFont="1" applyFill="1"/>
    <xf numFmtId="15" fontId="0" fillId="0" borderId="0" xfId="0" applyNumberFormat="1" applyAlignment="1">
      <alignment horizontal="right"/>
    </xf>
    <xf numFmtId="0" fontId="3" fillId="4" borderId="0" xfId="0" applyFont="1" applyFill="1"/>
    <xf numFmtId="0" fontId="3" fillId="22" borderId="78" xfId="0" applyFont="1" applyFill="1" applyBorder="1"/>
    <xf numFmtId="0" fontId="3" fillId="0" borderId="78" xfId="0" applyFont="1" applyBorder="1"/>
    <xf numFmtId="0" fontId="0" fillId="0" borderId="14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3" xfId="0" applyBorder="1" applyAlignment="1">
      <alignment horizontal="left"/>
    </xf>
    <xf numFmtId="0" fontId="4" fillId="3" borderId="0" xfId="0" applyFont="1" applyFill="1" applyAlignment="1">
      <alignment horizontal="left"/>
    </xf>
    <xf numFmtId="164" fontId="3" fillId="30" borderId="0" xfId="1" applyNumberFormat="1" applyFont="1" applyFill="1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15" fontId="0" fillId="0" borderId="0" xfId="0" applyNumberFormat="1" applyAlignment="1">
      <alignment vertical="top"/>
    </xf>
    <xf numFmtId="0" fontId="0" fillId="0" borderId="0" xfId="0" quotePrefix="1" applyAlignment="1">
      <alignment horizontal="center" vertical="top"/>
    </xf>
    <xf numFmtId="0" fontId="0" fillId="16" borderId="0" xfId="0" applyFill="1" applyAlignment="1">
      <alignment vertical="top"/>
    </xf>
    <xf numFmtId="0" fontId="0" fillId="16" borderId="0" xfId="0" applyFill="1" applyAlignment="1">
      <alignment vertical="top" wrapText="1"/>
    </xf>
    <xf numFmtId="0" fontId="0" fillId="0" borderId="55" xfId="0" applyBorder="1"/>
    <xf numFmtId="17" fontId="0" fillId="0" borderId="55" xfId="0" applyNumberFormat="1" applyBorder="1"/>
    <xf numFmtId="15" fontId="0" fillId="0" borderId="55" xfId="0" applyNumberFormat="1" applyBorder="1"/>
    <xf numFmtId="164" fontId="17" fillId="0" borderId="0" xfId="1" applyNumberFormat="1" applyFont="1" applyBorder="1"/>
    <xf numFmtId="0" fontId="0" fillId="0" borderId="79" xfId="0" quotePrefix="1" applyBorder="1"/>
    <xf numFmtId="15" fontId="0" fillId="0" borderId="79" xfId="0" quotePrefix="1" applyNumberFormat="1" applyBorder="1"/>
    <xf numFmtId="15" fontId="0" fillId="0" borderId="12" xfId="0" quotePrefix="1" applyNumberFormat="1" applyBorder="1"/>
    <xf numFmtId="0" fontId="0" fillId="31" borderId="0" xfId="0" applyFill="1" applyAlignment="1">
      <alignment vertical="top"/>
    </xf>
    <xf numFmtId="0" fontId="0" fillId="31" borderId="0" xfId="0" applyFill="1" applyAlignment="1">
      <alignment vertical="top" wrapText="1"/>
    </xf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8" borderId="0" xfId="0" applyFill="1"/>
    <xf numFmtId="164" fontId="0" fillId="0" borderId="16" xfId="1" applyNumberFormat="1" applyFont="1" applyBorder="1"/>
    <xf numFmtId="164" fontId="0" fillId="0" borderId="21" xfId="1" applyNumberFormat="1" applyFont="1" applyBorder="1"/>
    <xf numFmtId="164" fontId="0" fillId="0" borderId="25" xfId="1" applyNumberFormat="1" applyFont="1" applyBorder="1"/>
    <xf numFmtId="0" fontId="3" fillId="0" borderId="59" xfId="0" applyFont="1" applyBorder="1"/>
    <xf numFmtId="164" fontId="0" fillId="0" borderId="60" xfId="1" applyNumberFormat="1" applyFont="1" applyBorder="1"/>
    <xf numFmtId="0" fontId="3" fillId="22" borderId="61" xfId="0" applyFont="1" applyFill="1" applyBorder="1" applyAlignment="1">
      <alignment horizontal="center"/>
    </xf>
    <xf numFmtId="164" fontId="0" fillId="10" borderId="13" xfId="0" applyNumberFormat="1" applyFill="1" applyBorder="1"/>
    <xf numFmtId="164" fontId="0" fillId="10" borderId="23" xfId="0" applyNumberFormat="1" applyFill="1" applyBorder="1"/>
    <xf numFmtId="164" fontId="0" fillId="10" borderId="20" xfId="0" applyNumberFormat="1" applyFill="1" applyBorder="1"/>
    <xf numFmtId="164" fontId="0" fillId="10" borderId="14" xfId="0" applyNumberFormat="1" applyFill="1" applyBorder="1"/>
    <xf numFmtId="164" fontId="0" fillId="0" borderId="59" xfId="1" applyNumberFormat="1" applyFont="1" applyBorder="1"/>
    <xf numFmtId="164" fontId="4" fillId="0" borderId="13" xfId="1" applyNumberFormat="1" applyFont="1" applyFill="1" applyBorder="1"/>
    <xf numFmtId="15" fontId="0" fillId="0" borderId="13" xfId="0" applyNumberFormat="1" applyBorder="1" applyAlignment="1">
      <alignment horizontal="right"/>
    </xf>
    <xf numFmtId="164" fontId="3" fillId="4" borderId="13" xfId="0" applyNumberFormat="1" applyFont="1" applyFill="1" applyBorder="1"/>
    <xf numFmtId="0" fontId="3" fillId="4" borderId="13" xfId="0" applyFont="1" applyFill="1" applyBorder="1"/>
    <xf numFmtId="164" fontId="0" fillId="0" borderId="80" xfId="1" applyNumberFormat="1" applyFont="1" applyFill="1" applyBorder="1"/>
    <xf numFmtId="15" fontId="0" fillId="0" borderId="80" xfId="0" applyNumberFormat="1" applyBorder="1"/>
    <xf numFmtId="15" fontId="0" fillId="0" borderId="83" xfId="0" applyNumberFormat="1" applyBorder="1"/>
    <xf numFmtId="15" fontId="0" fillId="0" borderId="21" xfId="0" applyNumberFormat="1" applyBorder="1"/>
    <xf numFmtId="15" fontId="0" fillId="0" borderId="84" xfId="0" applyNumberFormat="1" applyBorder="1"/>
    <xf numFmtId="164" fontId="3" fillId="3" borderId="85" xfId="1" applyNumberFormat="1" applyFont="1" applyFill="1" applyBorder="1"/>
    <xf numFmtId="0" fontId="0" fillId="3" borderId="86" xfId="0" applyFill="1" applyBorder="1"/>
    <xf numFmtId="0" fontId="0" fillId="0" borderId="48" xfId="0" applyBorder="1" applyAlignment="1">
      <alignment horizontal="left"/>
    </xf>
    <xf numFmtId="0" fontId="1" fillId="2" borderId="21" xfId="0" applyFont="1" applyFill="1" applyBorder="1" applyAlignment="1">
      <alignment horizontal="center"/>
    </xf>
    <xf numFmtId="164" fontId="0" fillId="0" borderId="55" xfId="1" applyNumberFormat="1" applyFont="1" applyFill="1" applyBorder="1"/>
    <xf numFmtId="164" fontId="0" fillId="0" borderId="80" xfId="1" applyNumberFormat="1" applyFont="1" applyBorder="1"/>
    <xf numFmtId="0" fontId="0" fillId="3" borderId="85" xfId="0" applyFill="1" applyBorder="1"/>
    <xf numFmtId="0" fontId="3" fillId="3" borderId="85" xfId="0" applyFont="1" applyFill="1" applyBorder="1"/>
    <xf numFmtId="164" fontId="0" fillId="0" borderId="80" xfId="0" applyNumberFormat="1" applyBorder="1"/>
    <xf numFmtId="164" fontId="4" fillId="0" borderId="80" xfId="1" applyNumberFormat="1" applyFont="1" applyBorder="1"/>
    <xf numFmtId="164" fontId="4" fillId="0" borderId="80" xfId="1" applyNumberFormat="1" applyFont="1" applyFill="1" applyBorder="1"/>
    <xf numFmtId="15" fontId="0" fillId="0" borderId="80" xfId="0" applyNumberFormat="1" applyBorder="1" applyAlignment="1">
      <alignment horizontal="right"/>
    </xf>
    <xf numFmtId="164" fontId="3" fillId="3" borderId="85" xfId="0" applyNumberFormat="1" applyFont="1" applyFill="1" applyBorder="1" applyAlignment="1">
      <alignment horizontal="center"/>
    </xf>
    <xf numFmtId="164" fontId="3" fillId="3" borderId="85" xfId="1" applyNumberFormat="1" applyFont="1" applyFill="1" applyBorder="1" applyAlignment="1">
      <alignment horizontal="center"/>
    </xf>
    <xf numFmtId="164" fontId="0" fillId="3" borderId="85" xfId="1" applyNumberFormat="1" applyFont="1" applyFill="1" applyBorder="1"/>
    <xf numFmtId="0" fontId="0" fillId="0" borderId="80" xfId="0" applyBorder="1"/>
    <xf numFmtId="164" fontId="0" fillId="10" borderId="21" xfId="1" applyNumberFormat="1" applyFont="1" applyFill="1" applyBorder="1"/>
    <xf numFmtId="164" fontId="0" fillId="0" borderId="55" xfId="1" applyNumberFormat="1" applyFont="1" applyBorder="1"/>
    <xf numFmtId="0" fontId="0" fillId="10" borderId="88" xfId="0" applyFill="1" applyBorder="1"/>
    <xf numFmtId="0" fontId="3" fillId="10" borderId="88" xfId="0" applyFont="1" applyFill="1" applyBorder="1" applyAlignment="1">
      <alignment horizontal="center"/>
    </xf>
    <xf numFmtId="164" fontId="3" fillId="0" borderId="13" xfId="0" applyNumberFormat="1" applyFont="1" applyBorder="1"/>
    <xf numFmtId="164" fontId="0" fillId="0" borderId="69" xfId="1" applyNumberFormat="1" applyFont="1" applyFill="1" applyBorder="1"/>
    <xf numFmtId="164" fontId="0" fillId="0" borderId="67" xfId="1" applyNumberFormat="1" applyFont="1" applyFill="1" applyBorder="1"/>
    <xf numFmtId="0" fontId="3" fillId="0" borderId="0" xfId="0" applyFont="1" applyAlignment="1">
      <alignment horizontal="center"/>
    </xf>
    <xf numFmtId="15" fontId="0" fillId="0" borderId="48" xfId="0" applyNumberFormat="1" applyBorder="1"/>
    <xf numFmtId="164" fontId="0" fillId="0" borderId="89" xfId="1" applyNumberFormat="1" applyFont="1" applyFill="1" applyBorder="1"/>
    <xf numFmtId="15" fontId="0" fillId="0" borderId="45" xfId="0" quotePrefix="1" applyNumberFormat="1" applyBorder="1"/>
    <xf numFmtId="15" fontId="0" fillId="0" borderId="90" xfId="0" applyNumberFormat="1" applyBorder="1"/>
    <xf numFmtId="164" fontId="0" fillId="0" borderId="42" xfId="1" applyNumberFormat="1" applyFont="1" applyFill="1" applyBorder="1"/>
    <xf numFmtId="15" fontId="0" fillId="0" borderId="43" xfId="0" quotePrefix="1" applyNumberFormat="1" applyBorder="1"/>
    <xf numFmtId="164" fontId="0" fillId="0" borderId="58" xfId="1" applyNumberFormat="1" applyFont="1" applyFill="1" applyBorder="1"/>
    <xf numFmtId="0" fontId="0" fillId="0" borderId="46" xfId="0" quotePrefix="1" applyBorder="1"/>
    <xf numFmtId="15" fontId="0" fillId="0" borderId="47" xfId="0" quotePrefix="1" applyNumberFormat="1" applyBorder="1"/>
    <xf numFmtId="0" fontId="0" fillId="0" borderId="89" xfId="0" applyBorder="1"/>
    <xf numFmtId="0" fontId="3" fillId="0" borderId="45" xfId="0" applyFont="1" applyBorder="1" applyAlignment="1">
      <alignment horizontal="center"/>
    </xf>
    <xf numFmtId="0" fontId="0" fillId="0" borderId="58" xfId="0" applyBorder="1"/>
    <xf numFmtId="0" fontId="3" fillId="0" borderId="46" xfId="0" applyFont="1" applyBorder="1" applyAlignment="1">
      <alignment horizontal="center"/>
    </xf>
    <xf numFmtId="164" fontId="3" fillId="0" borderId="71" xfId="1" applyNumberFormat="1" applyFont="1" applyFill="1" applyBorder="1" applyAlignment="1">
      <alignment horizontal="center"/>
    </xf>
    <xf numFmtId="164" fontId="3" fillId="0" borderId="72" xfId="1" applyNumberFormat="1" applyFont="1" applyFill="1" applyBorder="1" applyAlignment="1">
      <alignment horizontal="center"/>
    </xf>
    <xf numFmtId="164" fontId="3" fillId="0" borderId="73" xfId="1" applyNumberFormat="1" applyFont="1" applyFill="1" applyBorder="1" applyAlignment="1">
      <alignment horizontal="center"/>
    </xf>
    <xf numFmtId="0" fontId="3" fillId="9" borderId="31" xfId="0" applyFont="1" applyFill="1" applyBorder="1"/>
    <xf numFmtId="0" fontId="24" fillId="9" borderId="0" xfId="0" applyFont="1" applyFill="1"/>
    <xf numFmtId="0" fontId="3" fillId="24" borderId="31" xfId="0" applyFont="1" applyFill="1" applyBorder="1"/>
    <xf numFmtId="164" fontId="3" fillId="24" borderId="31" xfId="1" applyNumberFormat="1" applyFont="1" applyFill="1" applyBorder="1"/>
    <xf numFmtId="164" fontId="0" fillId="9" borderId="0" xfId="1" applyNumberFormat="1" applyFont="1" applyFill="1"/>
    <xf numFmtId="164" fontId="0" fillId="0" borderId="45" xfId="1" applyNumberFormat="1" applyFont="1" applyFill="1" applyBorder="1"/>
    <xf numFmtId="15" fontId="0" fillId="0" borderId="47" xfId="0" applyNumberFormat="1" applyBorder="1"/>
    <xf numFmtId="17" fontId="6" fillId="8" borderId="0" xfId="0" applyNumberFormat="1" applyFont="1" applyFill="1" applyAlignment="1">
      <alignment horizontal="center"/>
    </xf>
    <xf numFmtId="17" fontId="1" fillId="2" borderId="14" xfId="0" applyNumberFormat="1" applyFont="1" applyFill="1" applyBorder="1" applyAlignment="1">
      <alignment horizontal="center"/>
    </xf>
    <xf numFmtId="17" fontId="1" fillId="2" borderId="15" xfId="0" applyNumberFormat="1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71" xfId="0" applyFont="1" applyFill="1" applyBorder="1" applyAlignment="1">
      <alignment horizontal="center" vertical="center" wrapText="1"/>
    </xf>
    <xf numFmtId="0" fontId="1" fillId="2" borderId="73" xfId="0" applyFont="1" applyFill="1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17" fontId="1" fillId="2" borderId="6" xfId="0" applyNumberFormat="1" applyFont="1" applyFill="1" applyBorder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0" fillId="0" borderId="87" xfId="0" applyBorder="1" applyAlignment="1">
      <alignment horizontal="center" vertical="center" wrapText="1"/>
    </xf>
    <xf numFmtId="0" fontId="11" fillId="0" borderId="22" xfId="0" applyFont="1" applyBorder="1" applyAlignment="1">
      <alignment horizontal="center"/>
    </xf>
    <xf numFmtId="164" fontId="0" fillId="0" borderId="0" xfId="1" applyNumberFormat="1" applyFont="1" applyAlignment="1">
      <alignment horizontal="center" wrapText="1"/>
    </xf>
    <xf numFmtId="17" fontId="1" fillId="2" borderId="65" xfId="0" applyNumberFormat="1" applyFont="1" applyFill="1" applyBorder="1" applyAlignment="1">
      <alignment horizontal="center"/>
    </xf>
    <xf numFmtId="0" fontId="1" fillId="2" borderId="6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top" wrapText="1"/>
    </xf>
    <xf numFmtId="0" fontId="1" fillId="2" borderId="46" xfId="0" applyFont="1" applyFill="1" applyBorder="1" applyAlignment="1">
      <alignment horizontal="center" vertical="top" wrapText="1"/>
    </xf>
    <xf numFmtId="0" fontId="1" fillId="2" borderId="6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7" fontId="1" fillId="2" borderId="69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5" fontId="0" fillId="0" borderId="0" xfId="0" applyNumberFormat="1" applyBorder="1"/>
    <xf numFmtId="0" fontId="0" fillId="0" borderId="0" xfId="0" applyBorder="1"/>
    <xf numFmtId="0" fontId="3" fillId="4" borderId="0" xfId="0" applyFont="1" applyFill="1" applyBorder="1"/>
    <xf numFmtId="0" fontId="0" fillId="3" borderId="0" xfId="0" applyFill="1" applyBorder="1"/>
    <xf numFmtId="0" fontId="3" fillId="3" borderId="0" xfId="0" applyFont="1" applyFill="1" applyBorder="1"/>
    <xf numFmtId="164" fontId="0" fillId="0" borderId="0" xfId="0" applyNumberFormat="1" applyBorder="1"/>
    <xf numFmtId="15" fontId="0" fillId="0" borderId="0" xfId="0" applyNumberFormat="1" applyBorder="1" applyAlignment="1">
      <alignment horizontal="right"/>
    </xf>
    <xf numFmtId="15" fontId="0" fillId="10" borderId="0" xfId="0" applyNumberFormat="1" applyFill="1" applyBorder="1"/>
    <xf numFmtId="0" fontId="0" fillId="0" borderId="40" xfId="0" applyFill="1" applyBorder="1" applyAlignment="1">
      <alignment horizontal="left"/>
    </xf>
    <xf numFmtId="164" fontId="18" fillId="0" borderId="13" xfId="1" applyNumberFormat="1" applyFont="1" applyBorder="1"/>
    <xf numFmtId="164" fontId="17" fillId="0" borderId="0" xfId="1" applyNumberFormat="1" applyFont="1" applyFill="1" applyBorder="1"/>
    <xf numFmtId="17" fontId="0" fillId="0" borderId="0" xfId="0" applyNumberFormat="1" applyBorder="1"/>
    <xf numFmtId="164" fontId="18" fillId="0" borderId="13" xfId="1" applyNumberFormat="1" applyFont="1" applyFill="1" applyBorder="1"/>
    <xf numFmtId="15" fontId="10" fillId="0" borderId="13" xfId="0" applyNumberFormat="1" applyFont="1" applyBorder="1" applyAlignment="1">
      <alignment horizontal="left" vertical="center" wrapText="1"/>
    </xf>
    <xf numFmtId="164" fontId="18" fillId="0" borderId="55" xfId="1" applyNumberFormat="1" applyFont="1" applyBorder="1"/>
    <xf numFmtId="17" fontId="0" fillId="0" borderId="51" xfId="0" applyNumberFormat="1" applyBorder="1"/>
    <xf numFmtId="15" fontId="0" fillId="0" borderId="51" xfId="0" applyNumberFormat="1" applyBorder="1"/>
    <xf numFmtId="0" fontId="0" fillId="0" borderId="13" xfId="0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66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sakhiwkm90439\c\Documents%20and%20Settings\PervaizMA\Desktop\SD\Branch%20Ladder\BL%20Number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6.77.156\tak\2015\Jul-2015\Averages\022016\CA%20Averages%20-%202016%2002%2029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6.77.156\2015\Jul-2015\SalesTracker_2016\201602\SalesTracker%20-%20FormulaFile%20-%20Feb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HAR~1.NAE\AppData\Local\Temp\Rar$DIa0.986\HBL%20-%20SalesTracker%20-%20012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TAK\2015\Jul-2015\Averages\022016\CA%20Averages%20-%202016%2002%2027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HAR~1.NAE\AppData\Local\Temp\Rar$DIa0.493\Sales%20Tracker%2024%20Jul%202015.xlsb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n4501\AppData\Local\Microsoft\Windows\Temporary%20Internet%20Files\Content.Outlook\BO6SWK6G\Final%20Branch%20and%20Area%20Allowance%20-%20Q2%202016%20-%20Hardcoded%20(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n4501\AppData\Local\Microsoft\Windows\Temporary%20Internet%20Files\Content.Outlook\BO6SWK6G\Regional%20Trends%20and%20Forecast%20Template%20(3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HAR~1.NAE\AppData\Local\Temp\Rar$DIa0.707\Sales%20Tracker%2008%20Sep%202015.xlsb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eel.shakil\Desktop\Target%20working%202017.xlsb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veed.iqbal1\Desktop\Projects\2016%20prep\Targets%202016\Proposed%20Target%202016%20-%2010th%20Feb%20v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n4501\AppData\Local\Temp\Rar$DIa0.188\Sales%20Tracker%2031%20Dec%202015.xlsb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n4501\AppData\Local\Microsoft\Windows\Temporary%20Internet%20Files\Content.Outlook\BO6SWK6G\CA%20Averages%20-%202016%2002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Numbers"/>
      <sheetName val="Total Liab &amp; OD"/>
      <sheetName val="SME-OD_Avg"/>
      <sheetName val="SME-OD_PE"/>
      <sheetName val="LiabPE"/>
      <sheetName val="LiabAvg"/>
      <sheetName val="ODPE"/>
      <sheetName val="ODAvg"/>
      <sheetName val="Acs"/>
      <sheetName val="Iqra"/>
      <sheetName val="NIT"/>
      <sheetName val="AHIM"/>
      <sheetName val="ABAMCO"/>
      <sheetName val="PIB"/>
      <sheetName val="Others Invst"/>
      <sheetName val="Investment"/>
      <sheetName val="CC"/>
      <sheetName val="PL"/>
      <sheetName val="AL"/>
      <sheetName val="IBanking"/>
      <sheetName val="EStateCC"/>
      <sheetName val="EStateBr"/>
      <sheetName val="SMS"/>
      <sheetName val="ATM"/>
      <sheetName val="DebitCard"/>
      <sheetName val="Sheet1"/>
      <sheetName val="Actual_Numbers"/>
      <sheetName val="Total_Liab_&amp;_OD"/>
      <sheetName val="Others_Invst"/>
    </sheetNames>
    <sheetDataSet>
      <sheetData sheetId="0">
        <row r="1">
          <cell r="B1">
            <v>6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</row>
        <row r="2">
          <cell r="A2" t="str">
            <v>CD</v>
          </cell>
          <cell r="B2">
            <v>2006</v>
          </cell>
          <cell r="C2" t="str">
            <v>IQRAVolume</v>
          </cell>
          <cell r="D2" t="str">
            <v>InvetsmentVolume</v>
          </cell>
          <cell r="E2" t="str">
            <v>CCNumbers</v>
          </cell>
          <cell r="F2" t="str">
            <v>ALnumbers</v>
          </cell>
          <cell r="G2" t="str">
            <v>PL              Volume</v>
          </cell>
          <cell r="H2" t="str">
            <v>I BankingNumbers</v>
          </cell>
          <cell r="I2" t="str">
            <v>E StatementNumbersCC</v>
          </cell>
          <cell r="J2" t="str">
            <v>E StatementNumbersBranch</v>
          </cell>
          <cell r="K2" t="str">
            <v>SMS BankingNumbers</v>
          </cell>
          <cell r="L2" t="str">
            <v>ATMNumbers</v>
          </cell>
          <cell r="M2" t="str">
            <v>Debit CardNumbers</v>
          </cell>
        </row>
        <row r="3">
          <cell r="A3">
            <v>22</v>
          </cell>
          <cell r="B3" t="str">
            <v>22 Garden</v>
          </cell>
          <cell r="C3">
            <v>329.81200000000001</v>
          </cell>
          <cell r="D3">
            <v>10250</v>
          </cell>
          <cell r="E3">
            <v>73</v>
          </cell>
          <cell r="F3">
            <v>19</v>
          </cell>
          <cell r="G3">
            <v>6188</v>
          </cell>
          <cell r="H3">
            <v>56</v>
          </cell>
          <cell r="I3">
            <v>0</v>
          </cell>
          <cell r="J3">
            <v>122</v>
          </cell>
          <cell r="K3">
            <v>197</v>
          </cell>
          <cell r="L3">
            <v>26782</v>
          </cell>
          <cell r="M3">
            <v>568</v>
          </cell>
        </row>
        <row r="4">
          <cell r="A4">
            <v>24</v>
          </cell>
          <cell r="B4" t="str">
            <v>24 Gulshan</v>
          </cell>
          <cell r="C4">
            <v>134</v>
          </cell>
          <cell r="D4">
            <v>27816.666069999999</v>
          </cell>
          <cell r="E4">
            <v>94</v>
          </cell>
          <cell r="F4">
            <v>9</v>
          </cell>
          <cell r="G4">
            <v>4885</v>
          </cell>
          <cell r="H4">
            <v>18</v>
          </cell>
          <cell r="I4">
            <v>0</v>
          </cell>
          <cell r="J4">
            <v>74</v>
          </cell>
          <cell r="K4">
            <v>84</v>
          </cell>
          <cell r="L4">
            <v>35552</v>
          </cell>
          <cell r="M4">
            <v>606</v>
          </cell>
        </row>
        <row r="5">
          <cell r="A5">
            <v>25</v>
          </cell>
          <cell r="B5" t="str">
            <v>25 Allama Iqbal</v>
          </cell>
          <cell r="C5">
            <v>0</v>
          </cell>
          <cell r="D5">
            <v>5375</v>
          </cell>
          <cell r="E5">
            <v>124</v>
          </cell>
          <cell r="F5">
            <v>15</v>
          </cell>
          <cell r="G5">
            <v>5517</v>
          </cell>
          <cell r="H5">
            <v>3</v>
          </cell>
          <cell r="I5">
            <v>13</v>
          </cell>
          <cell r="J5">
            <v>117</v>
          </cell>
          <cell r="K5">
            <v>71</v>
          </cell>
          <cell r="L5">
            <v>24553</v>
          </cell>
          <cell r="M5">
            <v>368</v>
          </cell>
        </row>
        <row r="6">
          <cell r="A6">
            <v>73</v>
          </cell>
          <cell r="B6" t="str">
            <v>73 Hill Park</v>
          </cell>
          <cell r="C6">
            <v>0</v>
          </cell>
          <cell r="D6">
            <v>12282.9491</v>
          </cell>
          <cell r="E6">
            <v>148</v>
          </cell>
          <cell r="F6">
            <v>16</v>
          </cell>
          <cell r="G6">
            <v>7977</v>
          </cell>
          <cell r="H6">
            <v>13</v>
          </cell>
          <cell r="I6">
            <v>0</v>
          </cell>
          <cell r="J6">
            <v>108</v>
          </cell>
          <cell r="K6">
            <v>32</v>
          </cell>
          <cell r="L6">
            <v>34124</v>
          </cell>
          <cell r="M6">
            <v>619</v>
          </cell>
        </row>
        <row r="7">
          <cell r="A7">
            <v>23</v>
          </cell>
          <cell r="B7" t="str">
            <v>23 Metropole</v>
          </cell>
          <cell r="C7">
            <v>900.01499999999999</v>
          </cell>
          <cell r="D7">
            <v>29843.364899999997</v>
          </cell>
          <cell r="E7">
            <v>61</v>
          </cell>
          <cell r="F7">
            <v>4</v>
          </cell>
          <cell r="G7">
            <v>5158</v>
          </cell>
          <cell r="H7">
            <v>3</v>
          </cell>
          <cell r="I7">
            <v>0</v>
          </cell>
          <cell r="J7">
            <v>98</v>
          </cell>
          <cell r="K7">
            <v>40</v>
          </cell>
          <cell r="L7">
            <v>31453</v>
          </cell>
          <cell r="M7">
            <v>565</v>
          </cell>
        </row>
        <row r="8">
          <cell r="A8">
            <v>27</v>
          </cell>
          <cell r="B8" t="str">
            <v>27 Centenary</v>
          </cell>
          <cell r="C8">
            <v>604</v>
          </cell>
          <cell r="D8">
            <v>43700.989099999999</v>
          </cell>
          <cell r="E8">
            <v>163</v>
          </cell>
          <cell r="F8">
            <v>36</v>
          </cell>
          <cell r="G8">
            <v>4460</v>
          </cell>
          <cell r="H8">
            <v>125</v>
          </cell>
          <cell r="I8">
            <v>0</v>
          </cell>
          <cell r="J8">
            <v>160</v>
          </cell>
          <cell r="K8">
            <v>207</v>
          </cell>
          <cell r="L8">
            <v>37946</v>
          </cell>
          <cell r="M8">
            <v>720</v>
          </cell>
        </row>
        <row r="9">
          <cell r="A9">
            <v>34</v>
          </cell>
          <cell r="B9" t="str">
            <v>34 Quetta</v>
          </cell>
          <cell r="C9">
            <v>297.64800000000002</v>
          </cell>
          <cell r="D9">
            <v>15000</v>
          </cell>
          <cell r="E9">
            <v>80</v>
          </cell>
          <cell r="F9">
            <v>0</v>
          </cell>
          <cell r="G9">
            <v>7321</v>
          </cell>
          <cell r="H9">
            <v>58</v>
          </cell>
          <cell r="I9">
            <v>0</v>
          </cell>
          <cell r="J9">
            <v>116</v>
          </cell>
          <cell r="K9">
            <v>224</v>
          </cell>
          <cell r="L9">
            <v>30794</v>
          </cell>
          <cell r="M9">
            <v>208</v>
          </cell>
        </row>
        <row r="10">
          <cell r="A10">
            <v>72</v>
          </cell>
          <cell r="B10" t="str">
            <v>72 Clifton - SCB</v>
          </cell>
          <cell r="C10">
            <v>0</v>
          </cell>
          <cell r="D10">
            <v>80233.614279999994</v>
          </cell>
          <cell r="E10">
            <v>194</v>
          </cell>
          <cell r="F10">
            <v>29</v>
          </cell>
          <cell r="G10">
            <v>15442</v>
          </cell>
          <cell r="H10">
            <v>32</v>
          </cell>
          <cell r="I10">
            <v>0</v>
          </cell>
          <cell r="J10">
            <v>257</v>
          </cell>
          <cell r="K10">
            <v>92</v>
          </cell>
          <cell r="L10">
            <v>67366</v>
          </cell>
          <cell r="M10">
            <v>2175</v>
          </cell>
        </row>
        <row r="11">
          <cell r="A11">
            <v>71</v>
          </cell>
          <cell r="B11" t="str">
            <v>71 Khi Main</v>
          </cell>
          <cell r="C11">
            <v>35.950000000000003</v>
          </cell>
          <cell r="D11">
            <v>13386.840249999999</v>
          </cell>
          <cell r="E11">
            <v>110</v>
          </cell>
          <cell r="F11">
            <v>22</v>
          </cell>
          <cell r="G11">
            <v>9031.2000000000007</v>
          </cell>
          <cell r="H11">
            <v>44</v>
          </cell>
          <cell r="I11">
            <v>4</v>
          </cell>
          <cell r="J11">
            <v>1461</v>
          </cell>
          <cell r="K11">
            <v>593</v>
          </cell>
          <cell r="L11">
            <v>48620</v>
          </cell>
          <cell r="M11">
            <v>4446</v>
          </cell>
        </row>
        <row r="12">
          <cell r="A12">
            <v>28</v>
          </cell>
          <cell r="B12" t="str">
            <v>28 Tufail Road</v>
          </cell>
          <cell r="C12">
            <v>50</v>
          </cell>
          <cell r="D12">
            <v>89039.981499999994</v>
          </cell>
          <cell r="E12">
            <v>78</v>
          </cell>
          <cell r="F12">
            <v>40</v>
          </cell>
          <cell r="G12">
            <v>4259</v>
          </cell>
          <cell r="H12">
            <v>30</v>
          </cell>
          <cell r="I12">
            <v>0</v>
          </cell>
          <cell r="J12">
            <v>135</v>
          </cell>
          <cell r="K12">
            <v>118</v>
          </cell>
          <cell r="L12">
            <v>39225</v>
          </cell>
          <cell r="M12">
            <v>605</v>
          </cell>
        </row>
        <row r="13">
          <cell r="A13">
            <v>78</v>
          </cell>
          <cell r="B13" t="str">
            <v>78 Defence</v>
          </cell>
          <cell r="C13">
            <v>353.5</v>
          </cell>
          <cell r="D13">
            <v>375</v>
          </cell>
          <cell r="E13">
            <v>39</v>
          </cell>
          <cell r="F13">
            <v>37</v>
          </cell>
          <cell r="G13">
            <v>953</v>
          </cell>
          <cell r="H13">
            <v>2</v>
          </cell>
          <cell r="I13">
            <v>0</v>
          </cell>
          <cell r="J13">
            <v>41</v>
          </cell>
          <cell r="K13">
            <v>16</v>
          </cell>
          <cell r="L13">
            <v>37283</v>
          </cell>
          <cell r="M13">
            <v>310</v>
          </cell>
        </row>
        <row r="14">
          <cell r="A14">
            <v>76</v>
          </cell>
          <cell r="B14" t="str">
            <v>76 Faisalabad</v>
          </cell>
          <cell r="C14">
            <v>305.06</v>
          </cell>
          <cell r="D14">
            <v>0</v>
          </cell>
          <cell r="E14">
            <v>183</v>
          </cell>
          <cell r="F14">
            <v>36</v>
          </cell>
          <cell r="G14">
            <v>6373</v>
          </cell>
          <cell r="H14">
            <v>3</v>
          </cell>
          <cell r="I14">
            <v>0</v>
          </cell>
          <cell r="J14">
            <v>75</v>
          </cell>
          <cell r="K14">
            <v>696</v>
          </cell>
          <cell r="L14">
            <v>29358</v>
          </cell>
          <cell r="M14">
            <v>243</v>
          </cell>
        </row>
        <row r="15">
          <cell r="A15">
            <v>74</v>
          </cell>
          <cell r="B15" t="str">
            <v>74 Mall Road</v>
          </cell>
          <cell r="C15">
            <v>0</v>
          </cell>
          <cell r="D15">
            <v>9947.7549999999992</v>
          </cell>
          <cell r="E15">
            <v>3</v>
          </cell>
          <cell r="F15">
            <v>41</v>
          </cell>
          <cell r="G15">
            <v>725</v>
          </cell>
          <cell r="H15">
            <v>1</v>
          </cell>
          <cell r="I15">
            <v>0</v>
          </cell>
          <cell r="J15">
            <v>19</v>
          </cell>
          <cell r="K15">
            <v>39</v>
          </cell>
          <cell r="L15">
            <v>14958</v>
          </cell>
          <cell r="M15">
            <v>320</v>
          </cell>
        </row>
        <row r="16">
          <cell r="A16">
            <v>51</v>
          </cell>
          <cell r="B16" t="str">
            <v>51 Shadman</v>
          </cell>
          <cell r="C16">
            <v>0</v>
          </cell>
          <cell r="D16">
            <v>0</v>
          </cell>
          <cell r="E16">
            <v>112</v>
          </cell>
          <cell r="F16">
            <v>43</v>
          </cell>
          <cell r="G16">
            <v>16605</v>
          </cell>
          <cell r="H16">
            <v>5</v>
          </cell>
          <cell r="I16">
            <v>0</v>
          </cell>
          <cell r="J16">
            <v>31</v>
          </cell>
          <cell r="K16">
            <v>131</v>
          </cell>
          <cell r="L16">
            <v>26048</v>
          </cell>
          <cell r="M16">
            <v>58</v>
          </cell>
        </row>
        <row r="17">
          <cell r="A17">
            <v>29</v>
          </cell>
          <cell r="B17" t="str">
            <v>29 Gulberg</v>
          </cell>
          <cell r="C17">
            <v>253.61</v>
          </cell>
          <cell r="D17">
            <v>98770</v>
          </cell>
          <cell r="E17">
            <v>155</v>
          </cell>
          <cell r="F17">
            <v>41</v>
          </cell>
          <cell r="G17">
            <v>11593</v>
          </cell>
          <cell r="H17">
            <v>15</v>
          </cell>
          <cell r="I17">
            <v>0</v>
          </cell>
          <cell r="J17">
            <v>134</v>
          </cell>
          <cell r="K17">
            <v>224</v>
          </cell>
          <cell r="L17">
            <v>41287</v>
          </cell>
          <cell r="M17">
            <v>550</v>
          </cell>
        </row>
        <row r="18">
          <cell r="A18">
            <v>30</v>
          </cell>
          <cell r="B18" t="str">
            <v>30 Sialkot</v>
          </cell>
          <cell r="C18">
            <v>850</v>
          </cell>
          <cell r="D18">
            <v>0</v>
          </cell>
          <cell r="E18">
            <v>80</v>
          </cell>
          <cell r="F18">
            <v>35</v>
          </cell>
          <cell r="G18">
            <v>900</v>
          </cell>
          <cell r="H18">
            <v>19</v>
          </cell>
          <cell r="I18">
            <v>0</v>
          </cell>
          <cell r="J18">
            <v>83</v>
          </cell>
          <cell r="K18">
            <v>269</v>
          </cell>
          <cell r="L18">
            <v>15387</v>
          </cell>
          <cell r="M18">
            <v>111</v>
          </cell>
        </row>
        <row r="19">
          <cell r="A19">
            <v>75</v>
          </cell>
          <cell r="B19" t="str">
            <v>75 NGT</v>
          </cell>
          <cell r="C19">
            <v>0</v>
          </cell>
          <cell r="D19">
            <v>48750</v>
          </cell>
          <cell r="E19">
            <v>128</v>
          </cell>
          <cell r="F19">
            <v>38</v>
          </cell>
          <cell r="G19">
            <v>3179</v>
          </cell>
          <cell r="H19">
            <v>34</v>
          </cell>
          <cell r="I19">
            <v>0</v>
          </cell>
          <cell r="J19">
            <v>81</v>
          </cell>
          <cell r="K19">
            <v>79</v>
          </cell>
          <cell r="L19">
            <v>53500</v>
          </cell>
          <cell r="M19">
            <v>578</v>
          </cell>
        </row>
        <row r="20">
          <cell r="A20">
            <v>32</v>
          </cell>
          <cell r="B20" t="str">
            <v>32 Rawalpindi</v>
          </cell>
          <cell r="C20">
            <v>100</v>
          </cell>
          <cell r="D20">
            <v>8000</v>
          </cell>
          <cell r="E20">
            <v>141</v>
          </cell>
          <cell r="F20">
            <v>26</v>
          </cell>
          <cell r="G20">
            <v>3295</v>
          </cell>
          <cell r="H20">
            <v>26</v>
          </cell>
          <cell r="I20">
            <v>0</v>
          </cell>
          <cell r="J20">
            <v>137</v>
          </cell>
          <cell r="K20">
            <v>272</v>
          </cell>
          <cell r="L20">
            <v>43916</v>
          </cell>
          <cell r="M20">
            <v>289</v>
          </cell>
        </row>
        <row r="21">
          <cell r="A21">
            <v>31</v>
          </cell>
          <cell r="B21" t="str">
            <v>31 Islamabad DE</v>
          </cell>
          <cell r="C21">
            <v>221.505</v>
          </cell>
          <cell r="D21">
            <v>32510</v>
          </cell>
          <cell r="E21">
            <v>72</v>
          </cell>
          <cell r="F21">
            <v>27</v>
          </cell>
          <cell r="G21">
            <v>11455</v>
          </cell>
          <cell r="H21">
            <v>33</v>
          </cell>
          <cell r="I21">
            <v>0</v>
          </cell>
          <cell r="J21">
            <v>295</v>
          </cell>
          <cell r="K21">
            <v>237</v>
          </cell>
          <cell r="L21">
            <v>32031</v>
          </cell>
          <cell r="M21">
            <v>740</v>
          </cell>
        </row>
        <row r="22">
          <cell r="A22">
            <v>79</v>
          </cell>
          <cell r="B22" t="str">
            <v>79 UNDP</v>
          </cell>
          <cell r="C22">
            <v>0</v>
          </cell>
          <cell r="D22">
            <v>0</v>
          </cell>
          <cell r="E22">
            <v>30</v>
          </cell>
          <cell r="F22">
            <v>2</v>
          </cell>
          <cell r="G22">
            <v>8280</v>
          </cell>
          <cell r="H22">
            <v>8</v>
          </cell>
          <cell r="I22">
            <v>0</v>
          </cell>
          <cell r="J22">
            <v>192</v>
          </cell>
          <cell r="K22">
            <v>79</v>
          </cell>
          <cell r="L22">
            <v>32838</v>
          </cell>
          <cell r="M22">
            <v>329</v>
          </cell>
        </row>
        <row r="23">
          <cell r="A23">
            <v>33</v>
          </cell>
          <cell r="B23" t="str">
            <v>33 Peshawer</v>
          </cell>
          <cell r="C23">
            <v>243.08</v>
          </cell>
          <cell r="D23">
            <v>43474.403850000002</v>
          </cell>
          <cell r="E23">
            <v>108</v>
          </cell>
          <cell r="F23">
            <v>36</v>
          </cell>
          <cell r="G23">
            <v>4044</v>
          </cell>
          <cell r="H23">
            <v>39</v>
          </cell>
          <cell r="I23">
            <v>0</v>
          </cell>
          <cell r="J23">
            <v>141</v>
          </cell>
          <cell r="K23">
            <v>131</v>
          </cell>
          <cell r="L23">
            <v>47487</v>
          </cell>
          <cell r="M23">
            <v>158</v>
          </cell>
        </row>
        <row r="24">
          <cell r="A24">
            <v>48</v>
          </cell>
          <cell r="B24" t="str">
            <v>48 North Nazimabad</v>
          </cell>
          <cell r="C24">
            <v>9.3960000000000008</v>
          </cell>
          <cell r="D24">
            <v>0</v>
          </cell>
          <cell r="E24">
            <v>104</v>
          </cell>
          <cell r="F24">
            <v>18</v>
          </cell>
          <cell r="G24">
            <v>3820</v>
          </cell>
          <cell r="H24">
            <v>2</v>
          </cell>
          <cell r="I24">
            <v>0</v>
          </cell>
          <cell r="J24">
            <v>76</v>
          </cell>
          <cell r="K24">
            <v>102</v>
          </cell>
          <cell r="L24">
            <v>36326</v>
          </cell>
          <cell r="M24">
            <v>168</v>
          </cell>
        </row>
        <row r="25">
          <cell r="A25">
            <v>49</v>
          </cell>
          <cell r="B25" t="str">
            <v>49 Gulistan-e-Johar</v>
          </cell>
          <cell r="C25">
            <v>0</v>
          </cell>
          <cell r="D25">
            <v>0</v>
          </cell>
          <cell r="E25">
            <v>84</v>
          </cell>
          <cell r="F25">
            <v>25</v>
          </cell>
          <cell r="G25">
            <v>10444</v>
          </cell>
          <cell r="H25">
            <v>0</v>
          </cell>
          <cell r="I25">
            <v>0</v>
          </cell>
          <cell r="J25">
            <v>72</v>
          </cell>
          <cell r="K25">
            <v>117</v>
          </cell>
          <cell r="L25">
            <v>29448</v>
          </cell>
          <cell r="M25">
            <v>281</v>
          </cell>
        </row>
        <row r="26">
          <cell r="A26">
            <v>56</v>
          </cell>
          <cell r="B26" t="str">
            <v>56 SITE</v>
          </cell>
          <cell r="C26">
            <v>0</v>
          </cell>
          <cell r="D26">
            <v>0</v>
          </cell>
          <cell r="E26">
            <v>78</v>
          </cell>
          <cell r="F26">
            <v>5</v>
          </cell>
          <cell r="G26">
            <v>2389.6</v>
          </cell>
          <cell r="H26">
            <v>0</v>
          </cell>
          <cell r="I26">
            <v>0</v>
          </cell>
          <cell r="J26">
            <v>20</v>
          </cell>
          <cell r="K26">
            <v>95</v>
          </cell>
          <cell r="L26">
            <v>11112</v>
          </cell>
          <cell r="M26">
            <v>57</v>
          </cell>
        </row>
        <row r="27">
          <cell r="A27">
            <v>58</v>
          </cell>
          <cell r="B27" t="str">
            <v>58 FB Area</v>
          </cell>
          <cell r="C27">
            <v>0</v>
          </cell>
          <cell r="D27">
            <v>3000</v>
          </cell>
          <cell r="E27">
            <v>108</v>
          </cell>
          <cell r="F27">
            <v>7</v>
          </cell>
          <cell r="G27">
            <v>3807</v>
          </cell>
          <cell r="H27">
            <v>1</v>
          </cell>
          <cell r="I27">
            <v>0</v>
          </cell>
          <cell r="J27">
            <v>40</v>
          </cell>
          <cell r="K27">
            <v>87</v>
          </cell>
          <cell r="L27">
            <v>14554</v>
          </cell>
          <cell r="M27">
            <v>48</v>
          </cell>
        </row>
        <row r="28">
          <cell r="A28">
            <v>81</v>
          </cell>
          <cell r="B28" t="str">
            <v xml:space="preserve">81 Metropole Islamic </v>
          </cell>
          <cell r="C28">
            <v>0</v>
          </cell>
          <cell r="D28">
            <v>0</v>
          </cell>
          <cell r="E28">
            <v>0</v>
          </cell>
          <cell r="F28">
            <v>7</v>
          </cell>
          <cell r="G28">
            <v>0</v>
          </cell>
          <cell r="H28">
            <v>0</v>
          </cell>
          <cell r="I28">
            <v>0</v>
          </cell>
          <cell r="J28">
            <v>27</v>
          </cell>
          <cell r="K28">
            <v>32</v>
          </cell>
          <cell r="L28">
            <v>0</v>
          </cell>
          <cell r="M28">
            <v>104</v>
          </cell>
        </row>
        <row r="29">
          <cell r="A29">
            <v>83</v>
          </cell>
          <cell r="B29" t="str">
            <v>83 M A Society Islamic</v>
          </cell>
          <cell r="C29">
            <v>0</v>
          </cell>
          <cell r="D29">
            <v>0</v>
          </cell>
          <cell r="E29">
            <v>0</v>
          </cell>
          <cell r="F29">
            <v>12</v>
          </cell>
          <cell r="G29">
            <v>0</v>
          </cell>
          <cell r="H29">
            <v>0</v>
          </cell>
          <cell r="I29">
            <v>0</v>
          </cell>
          <cell r="J29">
            <v>68</v>
          </cell>
          <cell r="K29">
            <v>64</v>
          </cell>
          <cell r="L29">
            <v>9983</v>
          </cell>
          <cell r="M29">
            <v>11</v>
          </cell>
        </row>
        <row r="30">
          <cell r="A30">
            <v>47</v>
          </cell>
          <cell r="B30" t="str">
            <v>47 Defence  Shahbaz</v>
          </cell>
          <cell r="C30">
            <v>315</v>
          </cell>
          <cell r="D30">
            <v>11919.712599999999</v>
          </cell>
          <cell r="E30">
            <v>32</v>
          </cell>
          <cell r="F30">
            <v>13</v>
          </cell>
          <cell r="G30">
            <v>5462</v>
          </cell>
          <cell r="H30">
            <v>2</v>
          </cell>
          <cell r="I30">
            <v>0</v>
          </cell>
          <cell r="J30">
            <v>121</v>
          </cell>
          <cell r="K30">
            <v>81</v>
          </cell>
          <cell r="L30">
            <v>29427</v>
          </cell>
          <cell r="M30">
            <v>404</v>
          </cell>
        </row>
        <row r="31">
          <cell r="A31">
            <v>57</v>
          </cell>
          <cell r="B31" t="str">
            <v>57 Defence Market</v>
          </cell>
          <cell r="C31">
            <v>489.721</v>
          </cell>
          <cell r="D31">
            <v>2000</v>
          </cell>
          <cell r="E31">
            <v>21</v>
          </cell>
          <cell r="F31">
            <v>7</v>
          </cell>
          <cell r="G31">
            <v>1220</v>
          </cell>
          <cell r="H31">
            <v>4</v>
          </cell>
          <cell r="I31">
            <v>0</v>
          </cell>
          <cell r="J31">
            <v>89</v>
          </cell>
          <cell r="K31">
            <v>141</v>
          </cell>
          <cell r="L31">
            <v>26033</v>
          </cell>
          <cell r="M31">
            <v>237</v>
          </cell>
        </row>
        <row r="32">
          <cell r="A32">
            <v>59</v>
          </cell>
          <cell r="B32" t="str">
            <v>59 Tanzeem</v>
          </cell>
          <cell r="C32">
            <v>0</v>
          </cell>
          <cell r="D32">
            <v>6000</v>
          </cell>
          <cell r="E32">
            <v>20</v>
          </cell>
          <cell r="F32">
            <v>4</v>
          </cell>
          <cell r="G32">
            <v>1530</v>
          </cell>
          <cell r="H32">
            <v>1</v>
          </cell>
          <cell r="I32">
            <v>1</v>
          </cell>
          <cell r="J32">
            <v>16</v>
          </cell>
          <cell r="K32">
            <v>22</v>
          </cell>
          <cell r="L32">
            <v>15788</v>
          </cell>
          <cell r="M32">
            <v>222</v>
          </cell>
        </row>
        <row r="33">
          <cell r="A33">
            <v>50</v>
          </cell>
          <cell r="B33" t="str">
            <v>50 Hyderabad</v>
          </cell>
          <cell r="C33">
            <v>210</v>
          </cell>
          <cell r="D33">
            <v>0</v>
          </cell>
          <cell r="E33">
            <v>55</v>
          </cell>
          <cell r="F33">
            <v>0</v>
          </cell>
          <cell r="G33">
            <v>2885</v>
          </cell>
          <cell r="H33">
            <v>0</v>
          </cell>
          <cell r="I33">
            <v>0</v>
          </cell>
          <cell r="J33">
            <v>51</v>
          </cell>
          <cell r="K33">
            <v>443</v>
          </cell>
          <cell r="L33">
            <v>16371</v>
          </cell>
          <cell r="M33">
            <v>150</v>
          </cell>
        </row>
        <row r="34">
          <cell r="A34">
            <v>60</v>
          </cell>
          <cell r="B34" t="str">
            <v>60 Paper Mart</v>
          </cell>
          <cell r="C34">
            <v>0</v>
          </cell>
          <cell r="D34">
            <v>0</v>
          </cell>
          <cell r="E34">
            <v>61</v>
          </cell>
          <cell r="F34">
            <v>5</v>
          </cell>
          <cell r="G34">
            <v>13843.5</v>
          </cell>
          <cell r="H34">
            <v>4</v>
          </cell>
          <cell r="I34">
            <v>1</v>
          </cell>
          <cell r="J34">
            <v>34</v>
          </cell>
          <cell r="K34">
            <v>48</v>
          </cell>
          <cell r="L34">
            <v>3766</v>
          </cell>
          <cell r="M34">
            <v>40</v>
          </cell>
        </row>
        <row r="35">
          <cell r="A35">
            <v>42</v>
          </cell>
          <cell r="B35" t="str">
            <v>42 Multan</v>
          </cell>
          <cell r="C35">
            <v>0</v>
          </cell>
          <cell r="D35">
            <v>0</v>
          </cell>
          <cell r="E35">
            <v>86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25</v>
          </cell>
          <cell r="K35">
            <v>103</v>
          </cell>
          <cell r="L35">
            <v>8574</v>
          </cell>
          <cell r="M35">
            <v>190</v>
          </cell>
        </row>
        <row r="36">
          <cell r="A36">
            <v>64</v>
          </cell>
          <cell r="B36" t="str">
            <v xml:space="preserve">64 Defence Phase II </v>
          </cell>
          <cell r="C36">
            <v>0</v>
          </cell>
          <cell r="D36">
            <v>16500</v>
          </cell>
          <cell r="E36">
            <v>2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4</v>
          </cell>
          <cell r="K36">
            <v>41</v>
          </cell>
          <cell r="L36">
            <v>0</v>
          </cell>
          <cell r="M36">
            <v>25</v>
          </cell>
        </row>
        <row r="37">
          <cell r="A37">
            <v>69</v>
          </cell>
          <cell r="B37" t="str">
            <v>69 Faisalabad II</v>
          </cell>
          <cell r="C37">
            <v>0</v>
          </cell>
          <cell r="D37">
            <v>0</v>
          </cell>
          <cell r="E37">
            <v>48</v>
          </cell>
          <cell r="F37">
            <v>8</v>
          </cell>
          <cell r="G37">
            <v>150</v>
          </cell>
          <cell r="H37">
            <v>3</v>
          </cell>
          <cell r="I37">
            <v>0</v>
          </cell>
          <cell r="J37">
            <v>28</v>
          </cell>
          <cell r="K37">
            <v>254</v>
          </cell>
          <cell r="L37">
            <v>7717</v>
          </cell>
          <cell r="M37">
            <v>26</v>
          </cell>
        </row>
        <row r="38">
          <cell r="A38">
            <v>61</v>
          </cell>
          <cell r="B38" t="str">
            <v>61 Circular Road</v>
          </cell>
          <cell r="C38">
            <v>0</v>
          </cell>
          <cell r="D38">
            <v>4000</v>
          </cell>
          <cell r="E38">
            <v>10</v>
          </cell>
          <cell r="F38">
            <v>7</v>
          </cell>
          <cell r="G38">
            <v>0</v>
          </cell>
          <cell r="H38">
            <v>0</v>
          </cell>
          <cell r="I38">
            <v>0</v>
          </cell>
          <cell r="J38">
            <v>29</v>
          </cell>
          <cell r="K38">
            <v>201</v>
          </cell>
          <cell r="L38">
            <v>4087</v>
          </cell>
          <cell r="M38">
            <v>70</v>
          </cell>
        </row>
        <row r="39">
          <cell r="A39">
            <v>63</v>
          </cell>
          <cell r="B39" t="str">
            <v>63 Allam Iqbal Town</v>
          </cell>
          <cell r="C39">
            <v>0</v>
          </cell>
          <cell r="D39">
            <v>0</v>
          </cell>
          <cell r="E39">
            <v>29</v>
          </cell>
          <cell r="F39">
            <v>8</v>
          </cell>
          <cell r="G39">
            <v>0</v>
          </cell>
          <cell r="H39">
            <v>0</v>
          </cell>
          <cell r="I39">
            <v>0</v>
          </cell>
          <cell r="J39">
            <v>21</v>
          </cell>
          <cell r="K39">
            <v>56</v>
          </cell>
          <cell r="L39">
            <v>11330</v>
          </cell>
          <cell r="M39">
            <v>88</v>
          </cell>
        </row>
        <row r="40">
          <cell r="A40">
            <v>52</v>
          </cell>
          <cell r="B40" t="str">
            <v>52 PECO, Lahore</v>
          </cell>
          <cell r="C40">
            <v>0</v>
          </cell>
          <cell r="D40">
            <v>0</v>
          </cell>
          <cell r="E40">
            <v>283</v>
          </cell>
          <cell r="F40">
            <v>0</v>
          </cell>
          <cell r="G40">
            <v>3489</v>
          </cell>
          <cell r="H40">
            <v>1</v>
          </cell>
          <cell r="I40">
            <v>0</v>
          </cell>
          <cell r="J40">
            <v>40</v>
          </cell>
          <cell r="K40">
            <v>88</v>
          </cell>
          <cell r="L40">
            <v>24861</v>
          </cell>
          <cell r="M40">
            <v>218</v>
          </cell>
        </row>
        <row r="41">
          <cell r="A41">
            <v>53</v>
          </cell>
          <cell r="B41" t="str">
            <v>53 Johar Town</v>
          </cell>
          <cell r="C41">
            <v>500</v>
          </cell>
          <cell r="D41">
            <v>8100</v>
          </cell>
          <cell r="E41">
            <v>51</v>
          </cell>
          <cell r="F41">
            <v>31</v>
          </cell>
          <cell r="G41">
            <v>7245</v>
          </cell>
          <cell r="H41">
            <v>3</v>
          </cell>
          <cell r="I41">
            <v>0</v>
          </cell>
          <cell r="J41">
            <v>41</v>
          </cell>
          <cell r="K41">
            <v>132</v>
          </cell>
          <cell r="L41">
            <v>24071</v>
          </cell>
          <cell r="M41">
            <v>63</v>
          </cell>
        </row>
        <row r="42">
          <cell r="A42">
            <v>65</v>
          </cell>
          <cell r="B42" t="str">
            <v>65 Model Town</v>
          </cell>
          <cell r="C42">
            <v>0</v>
          </cell>
          <cell r="D42">
            <v>5000</v>
          </cell>
          <cell r="E42">
            <v>106</v>
          </cell>
          <cell r="F42">
            <v>2</v>
          </cell>
          <cell r="G42">
            <v>1645</v>
          </cell>
          <cell r="H42">
            <v>11</v>
          </cell>
          <cell r="I42">
            <v>0</v>
          </cell>
          <cell r="J42">
            <v>70</v>
          </cell>
          <cell r="K42">
            <v>199</v>
          </cell>
          <cell r="L42">
            <v>9879</v>
          </cell>
          <cell r="M42">
            <v>190</v>
          </cell>
        </row>
        <row r="43">
          <cell r="A43">
            <v>82</v>
          </cell>
          <cell r="B43" t="str">
            <v>82 Gulberg Islamic</v>
          </cell>
          <cell r="C43">
            <v>0</v>
          </cell>
          <cell r="D43">
            <v>0</v>
          </cell>
          <cell r="E43">
            <v>0</v>
          </cell>
          <cell r="F43">
            <v>15</v>
          </cell>
          <cell r="G43">
            <v>0</v>
          </cell>
          <cell r="H43">
            <v>0</v>
          </cell>
          <cell r="I43">
            <v>0</v>
          </cell>
          <cell r="J43">
            <v>29</v>
          </cell>
          <cell r="K43">
            <v>186</v>
          </cell>
          <cell r="L43">
            <v>8064</v>
          </cell>
          <cell r="M43">
            <v>8</v>
          </cell>
        </row>
        <row r="44">
          <cell r="A44">
            <v>55</v>
          </cell>
          <cell r="B44" t="str">
            <v>55 Satellite Town</v>
          </cell>
          <cell r="C44">
            <v>0</v>
          </cell>
          <cell r="D44">
            <v>30000</v>
          </cell>
          <cell r="E44">
            <v>127</v>
          </cell>
          <cell r="F44">
            <v>18</v>
          </cell>
          <cell r="G44">
            <v>8855</v>
          </cell>
          <cell r="H44">
            <v>0</v>
          </cell>
          <cell r="I44">
            <v>0</v>
          </cell>
          <cell r="J44">
            <v>12</v>
          </cell>
          <cell r="K44">
            <v>104</v>
          </cell>
          <cell r="L44">
            <v>24404</v>
          </cell>
          <cell r="M44">
            <v>121</v>
          </cell>
        </row>
        <row r="45">
          <cell r="A45">
            <v>68</v>
          </cell>
          <cell r="B45" t="str">
            <v xml:space="preserve">68 Chaklala </v>
          </cell>
          <cell r="C45">
            <v>0</v>
          </cell>
          <cell r="D45">
            <v>2133.04</v>
          </cell>
          <cell r="E45">
            <v>85</v>
          </cell>
          <cell r="F45">
            <v>0</v>
          </cell>
          <cell r="G45">
            <v>6857</v>
          </cell>
          <cell r="H45">
            <v>0</v>
          </cell>
          <cell r="I45">
            <v>0</v>
          </cell>
          <cell r="J45">
            <v>39</v>
          </cell>
          <cell r="K45">
            <v>160</v>
          </cell>
          <cell r="L45">
            <v>11737</v>
          </cell>
          <cell r="M45">
            <v>31</v>
          </cell>
        </row>
        <row r="46">
          <cell r="A46">
            <v>67</v>
          </cell>
          <cell r="B46" t="str">
            <v>67 F-7</v>
          </cell>
          <cell r="C46">
            <v>84</v>
          </cell>
          <cell r="D46">
            <v>68660</v>
          </cell>
          <cell r="E46">
            <v>36</v>
          </cell>
          <cell r="F46">
            <v>36</v>
          </cell>
          <cell r="G46">
            <v>4311</v>
          </cell>
          <cell r="H46">
            <v>13</v>
          </cell>
          <cell r="I46">
            <v>0</v>
          </cell>
          <cell r="J46">
            <v>139</v>
          </cell>
          <cell r="K46">
            <v>106</v>
          </cell>
          <cell r="L46">
            <v>27218</v>
          </cell>
          <cell r="M46">
            <v>166</v>
          </cell>
        </row>
        <row r="47">
          <cell r="A47">
            <v>54</v>
          </cell>
          <cell r="B47" t="str">
            <v>54 F-11</v>
          </cell>
          <cell r="C47">
            <v>585.99400000000003</v>
          </cell>
          <cell r="D47">
            <v>9095</v>
          </cell>
          <cell r="E47">
            <v>109</v>
          </cell>
          <cell r="F47">
            <v>12</v>
          </cell>
          <cell r="G47">
            <v>3313</v>
          </cell>
          <cell r="H47">
            <v>1</v>
          </cell>
          <cell r="I47">
            <v>0</v>
          </cell>
          <cell r="J47">
            <v>86</v>
          </cell>
          <cell r="K47">
            <v>125</v>
          </cell>
          <cell r="L47">
            <v>16464</v>
          </cell>
          <cell r="M47">
            <v>110</v>
          </cell>
        </row>
        <row r="48">
          <cell r="A48">
            <v>66</v>
          </cell>
          <cell r="B48" t="str">
            <v>66 I-8</v>
          </cell>
          <cell r="C48">
            <v>0</v>
          </cell>
          <cell r="D48">
            <v>2000</v>
          </cell>
          <cell r="E48">
            <v>95</v>
          </cell>
          <cell r="F48">
            <v>0</v>
          </cell>
          <cell r="G48">
            <v>7482</v>
          </cell>
          <cell r="H48">
            <v>0</v>
          </cell>
          <cell r="I48">
            <v>0</v>
          </cell>
          <cell r="J48">
            <v>71</v>
          </cell>
          <cell r="K48">
            <v>234</v>
          </cell>
          <cell r="L48">
            <v>12150</v>
          </cell>
          <cell r="M48">
            <v>53</v>
          </cell>
        </row>
        <row r="50">
          <cell r="B50" t="str">
            <v>Regular</v>
          </cell>
          <cell r="C50">
            <v>4678.1799999999994</v>
          </cell>
          <cell r="D50">
            <v>568756.56405000004</v>
          </cell>
          <cell r="E50">
            <v>2176</v>
          </cell>
          <cell r="F50">
            <v>552</v>
          </cell>
          <cell r="G50">
            <v>137640.20000000001</v>
          </cell>
          <cell r="H50">
            <v>567</v>
          </cell>
          <cell r="I50">
            <v>17</v>
          </cell>
          <cell r="J50">
            <v>3877</v>
          </cell>
          <cell r="K50">
            <v>3831</v>
          </cell>
          <cell r="L50">
            <v>750508</v>
          </cell>
          <cell r="M50">
            <v>14566</v>
          </cell>
        </row>
        <row r="51">
          <cell r="B51" t="str">
            <v>Smart</v>
          </cell>
          <cell r="C51">
            <v>2194.1109999999999</v>
          </cell>
          <cell r="D51">
            <v>168407.75260000001</v>
          </cell>
          <cell r="E51">
            <v>1630</v>
          </cell>
          <cell r="F51">
            <v>240</v>
          </cell>
          <cell r="G51">
            <v>88748.1</v>
          </cell>
          <cell r="H51">
            <v>46</v>
          </cell>
          <cell r="I51">
            <v>2</v>
          </cell>
          <cell r="J51">
            <v>1248</v>
          </cell>
          <cell r="K51">
            <v>3221</v>
          </cell>
          <cell r="L51">
            <v>383364</v>
          </cell>
          <cell r="M51">
            <v>3081</v>
          </cell>
        </row>
        <row r="53">
          <cell r="B53" t="str">
            <v>Total</v>
          </cell>
          <cell r="C53">
            <v>6872.2909999999993</v>
          </cell>
          <cell r="D53">
            <v>737164.31665000005</v>
          </cell>
          <cell r="E53">
            <v>3806</v>
          </cell>
          <cell r="F53">
            <v>792</v>
          </cell>
          <cell r="G53">
            <v>226388.30000000002</v>
          </cell>
          <cell r="H53">
            <v>613</v>
          </cell>
          <cell r="I53">
            <v>19</v>
          </cell>
          <cell r="J53">
            <v>5125</v>
          </cell>
          <cell r="K53">
            <v>7052</v>
          </cell>
          <cell r="L53">
            <v>1133872</v>
          </cell>
          <cell r="M53">
            <v>17647</v>
          </cell>
        </row>
      </sheetData>
      <sheetData sheetId="1" refreshError="1">
        <row r="2">
          <cell r="A2">
            <v>22</v>
          </cell>
          <cell r="B2" t="str">
            <v>22 Garden</v>
          </cell>
          <cell r="C2">
            <v>304</v>
          </cell>
          <cell r="D2">
            <v>222</v>
          </cell>
          <cell r="E2">
            <v>8</v>
          </cell>
          <cell r="F2">
            <v>534</v>
          </cell>
          <cell r="G2">
            <v>60277.01554220001</v>
          </cell>
          <cell r="H2">
            <v>72397.723858060315</v>
          </cell>
          <cell r="I2">
            <v>122690.71296092111</v>
          </cell>
          <cell r="J2">
            <v>255365.45236118144</v>
          </cell>
          <cell r="K2">
            <v>-2469.5087000000349</v>
          </cell>
          <cell r="M2">
            <v>27856.209623059724</v>
          </cell>
          <cell r="N2">
            <v>32208.141061206581</v>
          </cell>
          <cell r="O2">
            <v>88887.607406338095</v>
          </cell>
          <cell r="P2">
            <v>148951.9580906044</v>
          </cell>
          <cell r="Q2">
            <v>-24064.908064309158</v>
          </cell>
        </row>
        <row r="3">
          <cell r="A3">
            <v>24</v>
          </cell>
          <cell r="B3" t="str">
            <v>24 Gulshan</v>
          </cell>
          <cell r="C3">
            <v>179</v>
          </cell>
          <cell r="D3">
            <v>66</v>
          </cell>
          <cell r="E3">
            <v>8</v>
          </cell>
          <cell r="F3">
            <v>253</v>
          </cell>
          <cell r="G3">
            <v>-21667.931443999056</v>
          </cell>
          <cell r="H3">
            <v>192581.73796626995</v>
          </cell>
          <cell r="I3">
            <v>186852.89182475902</v>
          </cell>
          <cell r="J3">
            <v>357766.69834702992</v>
          </cell>
          <cell r="K3">
            <v>-63564.233249999088</v>
          </cell>
          <cell r="M3">
            <v>-54173.462302393396</v>
          </cell>
          <cell r="N3">
            <v>186678.90415784344</v>
          </cell>
          <cell r="O3">
            <v>211973.88662814267</v>
          </cell>
          <cell r="P3">
            <v>344479.32848359272</v>
          </cell>
          <cell r="Q3">
            <v>-67507.283541048746</v>
          </cell>
        </row>
        <row r="4">
          <cell r="A4">
            <v>25</v>
          </cell>
          <cell r="B4" t="str">
            <v>25 Allama Iqbal</v>
          </cell>
          <cell r="C4">
            <v>329</v>
          </cell>
          <cell r="D4">
            <v>45</v>
          </cell>
          <cell r="E4">
            <v>14</v>
          </cell>
          <cell r="F4">
            <v>388</v>
          </cell>
          <cell r="G4">
            <v>62437.493490690133</v>
          </cell>
          <cell r="H4">
            <v>88333.618011880084</v>
          </cell>
          <cell r="I4">
            <v>-150323.54753863998</v>
          </cell>
          <cell r="J4">
            <v>447.56396393023897</v>
          </cell>
          <cell r="K4">
            <v>-199637.9843599991</v>
          </cell>
          <cell r="M4">
            <v>19263.923858358292</v>
          </cell>
          <cell r="N4">
            <v>46958.452667520382</v>
          </cell>
          <cell r="O4">
            <v>-146165.76863489591</v>
          </cell>
          <cell r="P4">
            <v>-79943.392109017237</v>
          </cell>
          <cell r="Q4">
            <v>-164053.07318696028</v>
          </cell>
        </row>
        <row r="5">
          <cell r="A5">
            <v>73</v>
          </cell>
          <cell r="B5" t="str">
            <v>73 Hill Park</v>
          </cell>
          <cell r="C5">
            <v>199</v>
          </cell>
          <cell r="D5">
            <v>86</v>
          </cell>
          <cell r="E5">
            <v>6</v>
          </cell>
          <cell r="F5">
            <v>291</v>
          </cell>
          <cell r="G5">
            <v>177330.90602331993</v>
          </cell>
          <cell r="H5">
            <v>84782.35838172189</v>
          </cell>
          <cell r="I5">
            <v>-20283.888068760978</v>
          </cell>
          <cell r="J5">
            <v>241829.37633628084</v>
          </cell>
          <cell r="K5">
            <v>-115198.65028000006</v>
          </cell>
          <cell r="M5">
            <v>72361.541494645644</v>
          </cell>
          <cell r="N5">
            <v>-11127.757543752552</v>
          </cell>
          <cell r="O5">
            <v>182905.47670578759</v>
          </cell>
          <cell r="P5">
            <v>244139.26065668068</v>
          </cell>
          <cell r="Q5">
            <v>-95301.465476573852</v>
          </cell>
        </row>
        <row r="6">
          <cell r="A6">
            <v>23</v>
          </cell>
          <cell r="B6" t="str">
            <v>23 Metropole</v>
          </cell>
          <cell r="C6">
            <v>124</v>
          </cell>
          <cell r="D6">
            <v>70</v>
          </cell>
          <cell r="E6">
            <v>6</v>
          </cell>
          <cell r="F6">
            <v>200</v>
          </cell>
          <cell r="G6">
            <v>-33791.979506899952</v>
          </cell>
          <cell r="H6">
            <v>14697.174110479886</v>
          </cell>
          <cell r="I6">
            <v>213259.02738243993</v>
          </cell>
          <cell r="J6">
            <v>194164.22198601987</v>
          </cell>
          <cell r="K6">
            <v>-41538.824255999003</v>
          </cell>
          <cell r="M6">
            <v>-19539.086536679184</v>
          </cell>
          <cell r="N6">
            <v>-26616.724493322894</v>
          </cell>
          <cell r="O6">
            <v>94583.858113819384</v>
          </cell>
          <cell r="P6">
            <v>48428.047083817306</v>
          </cell>
          <cell r="Q6">
            <v>-11178.695848077186</v>
          </cell>
        </row>
        <row r="7">
          <cell r="A7">
            <v>27</v>
          </cell>
          <cell r="B7" t="str">
            <v>27 Centenary</v>
          </cell>
          <cell r="C7">
            <v>206</v>
          </cell>
          <cell r="D7">
            <v>125</v>
          </cell>
          <cell r="E7">
            <v>14</v>
          </cell>
          <cell r="F7">
            <v>345</v>
          </cell>
          <cell r="G7">
            <v>22439.967632718035</v>
          </cell>
          <cell r="H7">
            <v>-122232.28834068985</v>
          </cell>
          <cell r="I7">
            <v>291427.84566907998</v>
          </cell>
          <cell r="J7">
            <v>191635.52496110817</v>
          </cell>
          <cell r="K7">
            <v>-20328.335389999978</v>
          </cell>
          <cell r="M7">
            <v>125498.44326139579</v>
          </cell>
          <cell r="N7">
            <v>-39919.614730862202</v>
          </cell>
          <cell r="O7">
            <v>164432.57301197312</v>
          </cell>
          <cell r="P7">
            <v>250011.4015425067</v>
          </cell>
          <cell r="Q7">
            <v>-10561.39955154754</v>
          </cell>
        </row>
        <row r="8">
          <cell r="A8">
            <v>34</v>
          </cell>
          <cell r="B8" t="str">
            <v>34 Quetta</v>
          </cell>
          <cell r="C8">
            <v>485</v>
          </cell>
          <cell r="D8">
            <v>154</v>
          </cell>
          <cell r="E8">
            <v>45</v>
          </cell>
          <cell r="F8">
            <v>684</v>
          </cell>
          <cell r="G8">
            <v>205686.63379776001</v>
          </cell>
          <cell r="H8">
            <v>-45312.640004719957</v>
          </cell>
          <cell r="I8">
            <v>91426.055223439995</v>
          </cell>
          <cell r="J8">
            <v>251800.04901648004</v>
          </cell>
          <cell r="K8">
            <v>11624.073130000008</v>
          </cell>
          <cell r="M8">
            <v>74324.175171696115</v>
          </cell>
          <cell r="N8">
            <v>-34960.546559560811</v>
          </cell>
          <cell r="O8">
            <v>30119.173562884913</v>
          </cell>
          <cell r="P8">
            <v>69482.802175020217</v>
          </cell>
          <cell r="Q8">
            <v>3809.0982872374952</v>
          </cell>
        </row>
        <row r="9">
          <cell r="A9">
            <v>72</v>
          </cell>
          <cell r="B9" t="str">
            <v>72 Clifton - SCB</v>
          </cell>
          <cell r="C9">
            <v>425</v>
          </cell>
          <cell r="D9">
            <v>364</v>
          </cell>
          <cell r="E9">
            <v>46</v>
          </cell>
          <cell r="F9">
            <v>835</v>
          </cell>
          <cell r="G9">
            <v>207405.43171098037</v>
          </cell>
          <cell r="H9">
            <v>-150170.61821799027</v>
          </cell>
          <cell r="I9">
            <v>663022.4681776308</v>
          </cell>
          <cell r="J9">
            <v>720257.2816706209</v>
          </cell>
          <cell r="K9">
            <v>25446.956940000004</v>
          </cell>
          <cell r="M9">
            <v>27759.195448073093</v>
          </cell>
          <cell r="N9">
            <v>-26322.823668320663</v>
          </cell>
          <cell r="O9">
            <v>329482.83693296253</v>
          </cell>
          <cell r="P9">
            <v>330919.20871271496</v>
          </cell>
          <cell r="Q9">
            <v>-9837.1075814368669</v>
          </cell>
        </row>
        <row r="10">
          <cell r="A10">
            <v>71</v>
          </cell>
          <cell r="B10" t="str">
            <v>71 Khi Main</v>
          </cell>
          <cell r="C10">
            <v>3534</v>
          </cell>
          <cell r="D10">
            <v>753</v>
          </cell>
          <cell r="E10">
            <v>26</v>
          </cell>
          <cell r="F10">
            <v>4313</v>
          </cell>
          <cell r="G10">
            <v>5958.3861709302291</v>
          </cell>
          <cell r="H10">
            <v>32427.804671429563</v>
          </cell>
          <cell r="I10">
            <v>608614.00452742109</v>
          </cell>
          <cell r="J10">
            <v>647000.19536978088</v>
          </cell>
          <cell r="K10">
            <v>102542.53810800193</v>
          </cell>
          <cell r="M10">
            <v>119011.10434348602</v>
          </cell>
          <cell r="N10">
            <v>89386.931618889328</v>
          </cell>
          <cell r="O10">
            <v>135885.06172917213</v>
          </cell>
          <cell r="P10">
            <v>344283.09769154747</v>
          </cell>
          <cell r="Q10">
            <v>-15738.491408959613</v>
          </cell>
        </row>
        <row r="11">
          <cell r="A11">
            <v>28</v>
          </cell>
          <cell r="B11" t="str">
            <v>28 Tufail Road</v>
          </cell>
          <cell r="C11">
            <v>575</v>
          </cell>
          <cell r="D11">
            <v>351</v>
          </cell>
          <cell r="E11">
            <v>18</v>
          </cell>
          <cell r="F11">
            <v>944</v>
          </cell>
          <cell r="G11">
            <v>54050.999299820047</v>
          </cell>
          <cell r="H11">
            <v>-262502.45800631004</v>
          </cell>
          <cell r="I11">
            <v>556428.77065971005</v>
          </cell>
          <cell r="J11">
            <v>347977.31195322005</v>
          </cell>
          <cell r="K11">
            <v>-481385.22783000098</v>
          </cell>
          <cell r="M11">
            <v>-42550.854438547045</v>
          </cell>
          <cell r="N11">
            <v>-123929.97556461766</v>
          </cell>
          <cell r="O11">
            <v>335141.79920705175</v>
          </cell>
          <cell r="P11">
            <v>168660.96920388704</v>
          </cell>
          <cell r="Q11">
            <v>-337638.54909563652</v>
          </cell>
        </row>
        <row r="12">
          <cell r="A12">
            <v>78</v>
          </cell>
          <cell r="B12" t="str">
            <v>78 Defence</v>
          </cell>
          <cell r="C12">
            <v>206</v>
          </cell>
          <cell r="D12">
            <v>51</v>
          </cell>
          <cell r="E12">
            <v>11</v>
          </cell>
          <cell r="F12">
            <v>268</v>
          </cell>
          <cell r="G12">
            <v>65166.388466001023</v>
          </cell>
          <cell r="H12">
            <v>38253.630157470005</v>
          </cell>
          <cell r="I12">
            <v>-17206.926192120009</v>
          </cell>
          <cell r="J12">
            <v>86213.092431351019</v>
          </cell>
          <cell r="K12">
            <v>-210049.43689000007</v>
          </cell>
          <cell r="M12">
            <v>-61590.972056294791</v>
          </cell>
          <cell r="N12">
            <v>22170.89126020181</v>
          </cell>
          <cell r="O12">
            <v>-25456.852295650402</v>
          </cell>
          <cell r="P12">
            <v>-64876.933091743384</v>
          </cell>
          <cell r="Q12">
            <v>-127787.86487447569</v>
          </cell>
        </row>
        <row r="13">
          <cell r="A13">
            <v>76</v>
          </cell>
          <cell r="B13" t="str">
            <v>76 Faisalabad</v>
          </cell>
          <cell r="C13">
            <v>1036</v>
          </cell>
          <cell r="D13">
            <v>104</v>
          </cell>
          <cell r="E13">
            <v>13</v>
          </cell>
          <cell r="F13">
            <v>1153</v>
          </cell>
          <cell r="G13">
            <v>282091.85050705005</v>
          </cell>
          <cell r="H13">
            <v>-1896.1332885700976</v>
          </cell>
          <cell r="I13">
            <v>82809.026166760887</v>
          </cell>
          <cell r="J13">
            <v>363004.74338524084</v>
          </cell>
          <cell r="K13">
            <v>-8065.2136800000007</v>
          </cell>
          <cell r="M13">
            <v>64468.310991040547</v>
          </cell>
          <cell r="N13">
            <v>8982.2847943088273</v>
          </cell>
          <cell r="O13">
            <v>84776.234840050747</v>
          </cell>
          <cell r="P13">
            <v>158226.83062540012</v>
          </cell>
          <cell r="Q13">
            <v>-7171.3685406187251</v>
          </cell>
        </row>
        <row r="14">
          <cell r="A14">
            <v>74</v>
          </cell>
          <cell r="B14" t="str">
            <v>74 Mall Road</v>
          </cell>
          <cell r="C14">
            <v>118</v>
          </cell>
          <cell r="D14">
            <v>18</v>
          </cell>
          <cell r="E14">
            <v>9</v>
          </cell>
          <cell r="F14">
            <v>145</v>
          </cell>
          <cell r="G14">
            <v>10899.169440169935</v>
          </cell>
          <cell r="H14">
            <v>-148974.48904018803</v>
          </cell>
          <cell r="I14">
            <v>-188776.2894358302</v>
          </cell>
          <cell r="J14">
            <v>-326851.60903584829</v>
          </cell>
          <cell r="K14">
            <v>-520096.90830000088</v>
          </cell>
          <cell r="M14">
            <v>-9050.1940484435763</v>
          </cell>
          <cell r="N14">
            <v>-25041.156529519125</v>
          </cell>
          <cell r="O14">
            <v>-208704.49995898455</v>
          </cell>
          <cell r="P14">
            <v>-242795.85053694726</v>
          </cell>
          <cell r="Q14">
            <v>-373327.30643729342</v>
          </cell>
        </row>
        <row r="15">
          <cell r="A15">
            <v>51</v>
          </cell>
          <cell r="B15" t="str">
            <v>51 Shadman</v>
          </cell>
          <cell r="C15">
            <v>322</v>
          </cell>
          <cell r="D15">
            <v>24</v>
          </cell>
          <cell r="E15">
            <v>9</v>
          </cell>
          <cell r="F15">
            <v>355</v>
          </cell>
          <cell r="G15">
            <v>89960.365852920018</v>
          </cell>
          <cell r="H15">
            <v>-2848.9018537601005</v>
          </cell>
          <cell r="I15">
            <v>48064.17040000001</v>
          </cell>
          <cell r="J15">
            <v>135175.63439915993</v>
          </cell>
          <cell r="K15">
            <v>-2.8900000000000002E-3</v>
          </cell>
          <cell r="M15">
            <v>25610.933406115044</v>
          </cell>
          <cell r="N15">
            <v>-7937.3502732469024</v>
          </cell>
          <cell r="O15">
            <v>13019.293177900516</v>
          </cell>
          <cell r="P15">
            <v>30692.876310768657</v>
          </cell>
          <cell r="Q15">
            <v>1.5127275690607729</v>
          </cell>
        </row>
        <row r="16">
          <cell r="A16">
            <v>29</v>
          </cell>
          <cell r="B16" t="str">
            <v>29 Gulberg</v>
          </cell>
          <cell r="C16">
            <v>438</v>
          </cell>
          <cell r="D16">
            <v>195</v>
          </cell>
          <cell r="E16">
            <v>27</v>
          </cell>
          <cell r="F16">
            <v>660</v>
          </cell>
          <cell r="G16">
            <v>-81030.336437749909</v>
          </cell>
          <cell r="H16">
            <v>53517.323506940156</v>
          </cell>
          <cell r="I16">
            <v>299888.56406224996</v>
          </cell>
          <cell r="J16">
            <v>272375.55113144021</v>
          </cell>
          <cell r="K16">
            <v>1671.2226458399673</v>
          </cell>
          <cell r="M16">
            <v>-43252.699473684188</v>
          </cell>
          <cell r="N16">
            <v>28157.0796409701</v>
          </cell>
          <cell r="O16">
            <v>173549.30719540443</v>
          </cell>
          <cell r="P16">
            <v>158453.68736269034</v>
          </cell>
          <cell r="Q16">
            <v>50844.597183895356</v>
          </cell>
        </row>
        <row r="17">
          <cell r="A17">
            <v>30</v>
          </cell>
          <cell r="B17" t="str">
            <v>30 Sialkot</v>
          </cell>
          <cell r="C17">
            <v>658</v>
          </cell>
          <cell r="D17">
            <v>131</v>
          </cell>
          <cell r="E17">
            <v>10</v>
          </cell>
          <cell r="F17">
            <v>799</v>
          </cell>
          <cell r="G17">
            <v>-9768.8752446599538</v>
          </cell>
          <cell r="H17">
            <v>36376.946887678991</v>
          </cell>
          <cell r="I17">
            <v>96298.591665840038</v>
          </cell>
          <cell r="J17">
            <v>122906.66330885908</v>
          </cell>
          <cell r="K17">
            <v>-2836.9369100001004</v>
          </cell>
          <cell r="M17">
            <v>-25234.283029594924</v>
          </cell>
          <cell r="N17">
            <v>-4923.2857912158361</v>
          </cell>
          <cell r="O17">
            <v>65575.384450311802</v>
          </cell>
          <cell r="P17">
            <v>35417.815629501041</v>
          </cell>
          <cell r="Q17">
            <v>-2283.5182213812186</v>
          </cell>
        </row>
        <row r="18">
          <cell r="A18">
            <v>75</v>
          </cell>
          <cell r="B18" t="str">
            <v>75 NGT</v>
          </cell>
          <cell r="C18">
            <v>1851</v>
          </cell>
          <cell r="D18">
            <v>218</v>
          </cell>
          <cell r="E18">
            <v>21</v>
          </cell>
          <cell r="F18">
            <v>2090</v>
          </cell>
          <cell r="G18">
            <v>-47614.583684700076</v>
          </cell>
          <cell r="H18">
            <v>-39988.528020255151</v>
          </cell>
          <cell r="I18">
            <v>-36811.659264320275</v>
          </cell>
          <cell r="J18">
            <v>-124414.7709692755</v>
          </cell>
          <cell r="K18">
            <v>-408706.30851999891</v>
          </cell>
          <cell r="M18">
            <v>-38165.762482800754</v>
          </cell>
          <cell r="N18">
            <v>-4513.5424778545275</v>
          </cell>
          <cell r="O18">
            <v>-211688.71236823115</v>
          </cell>
          <cell r="P18">
            <v>-254368.01732888643</v>
          </cell>
          <cell r="Q18">
            <v>-303719.30871570087</v>
          </cell>
        </row>
        <row r="19">
          <cell r="A19">
            <v>32</v>
          </cell>
          <cell r="B19" t="str">
            <v>32 Rawalpindi</v>
          </cell>
          <cell r="C19">
            <v>602</v>
          </cell>
          <cell r="D19">
            <v>89</v>
          </cell>
          <cell r="E19">
            <v>11</v>
          </cell>
          <cell r="F19">
            <v>702</v>
          </cell>
          <cell r="G19">
            <v>-5226.1228034610394</v>
          </cell>
          <cell r="H19">
            <v>404294.24289941404</v>
          </cell>
          <cell r="I19">
            <v>-160989.62538703997</v>
          </cell>
          <cell r="J19">
            <v>238078.49470891303</v>
          </cell>
          <cell r="K19">
            <v>-243571.53714999999</v>
          </cell>
          <cell r="M19">
            <v>3675.8254515782464</v>
          </cell>
          <cell r="N19">
            <v>149859.30948549055</v>
          </cell>
          <cell r="O19">
            <v>-85402.785865557846</v>
          </cell>
          <cell r="P19">
            <v>68132.349071510951</v>
          </cell>
          <cell r="Q19">
            <v>-140689.88732077263</v>
          </cell>
        </row>
        <row r="20">
          <cell r="A20">
            <v>31</v>
          </cell>
          <cell r="B20" t="str">
            <v>31 Islamabad DE</v>
          </cell>
          <cell r="C20">
            <v>666</v>
          </cell>
          <cell r="D20">
            <v>138</v>
          </cell>
          <cell r="E20">
            <v>45</v>
          </cell>
          <cell r="F20">
            <v>849</v>
          </cell>
          <cell r="G20">
            <v>2678541.1915716496</v>
          </cell>
          <cell r="H20">
            <v>-288724.84651538986</v>
          </cell>
          <cell r="I20">
            <v>475241.80300499103</v>
          </cell>
          <cell r="J20">
            <v>2865058.1480612513</v>
          </cell>
          <cell r="K20">
            <v>-316527.00277999998</v>
          </cell>
          <cell r="M20">
            <v>-455283.66810424789</v>
          </cell>
          <cell r="N20">
            <v>-140022.73888956802</v>
          </cell>
          <cell r="O20">
            <v>199960.2677575897</v>
          </cell>
          <cell r="P20">
            <v>-395346.13923622621</v>
          </cell>
          <cell r="Q20">
            <v>-242878.27803025092</v>
          </cell>
        </row>
        <row r="21">
          <cell r="A21">
            <v>79</v>
          </cell>
          <cell r="B21" t="str">
            <v>79 UNDP</v>
          </cell>
          <cell r="C21">
            <v>511</v>
          </cell>
          <cell r="D21">
            <v>138</v>
          </cell>
          <cell r="E21">
            <v>2</v>
          </cell>
          <cell r="F21">
            <v>651</v>
          </cell>
          <cell r="G21">
            <v>-546228.18831359106</v>
          </cell>
          <cell r="H21">
            <v>32643.864430440008</v>
          </cell>
          <cell r="I21">
            <v>-67905.987594598962</v>
          </cell>
          <cell r="J21">
            <v>-581490.31147775007</v>
          </cell>
          <cell r="K21">
            <v>-2409.2844900001</v>
          </cell>
          <cell r="M21">
            <v>-560932.04798079247</v>
          </cell>
          <cell r="N21">
            <v>76707.628905494785</v>
          </cell>
          <cell r="O21">
            <v>124567.38640361011</v>
          </cell>
          <cell r="P21">
            <v>-359657.03267168754</v>
          </cell>
          <cell r="Q21">
            <v>31851.112426599633</v>
          </cell>
        </row>
        <row r="22">
          <cell r="A22">
            <v>33</v>
          </cell>
          <cell r="B22" t="str">
            <v>33 Peshawer</v>
          </cell>
          <cell r="C22">
            <v>793</v>
          </cell>
          <cell r="D22">
            <v>155</v>
          </cell>
          <cell r="E22">
            <v>21</v>
          </cell>
          <cell r="F22">
            <v>969</v>
          </cell>
          <cell r="G22">
            <v>92628.84869712987</v>
          </cell>
          <cell r="H22">
            <v>214628.13187633385</v>
          </cell>
          <cell r="I22">
            <v>-60290.779973720084</v>
          </cell>
          <cell r="J22">
            <v>246966.20059974364</v>
          </cell>
          <cell r="K22">
            <v>-159842.39609999995</v>
          </cell>
          <cell r="M22">
            <v>-25480.745678122621</v>
          </cell>
          <cell r="N22">
            <v>174208.57260964462</v>
          </cell>
          <cell r="O22">
            <v>-105922.64425796317</v>
          </cell>
          <cell r="P22">
            <v>42805.182673558826</v>
          </cell>
          <cell r="Q22">
            <v>-127342.71206027555</v>
          </cell>
        </row>
        <row r="23">
          <cell r="A23">
            <v>48</v>
          </cell>
          <cell r="B23" t="str">
            <v>48 North Nazimabad</v>
          </cell>
          <cell r="C23">
            <v>296</v>
          </cell>
          <cell r="D23">
            <v>38</v>
          </cell>
          <cell r="E23">
            <v>30</v>
          </cell>
          <cell r="F23">
            <v>364</v>
          </cell>
          <cell r="G23">
            <v>87068.593602039982</v>
          </cell>
          <cell r="H23">
            <v>26407.284491799997</v>
          </cell>
          <cell r="I23">
            <v>460050.58467000001</v>
          </cell>
          <cell r="J23">
            <v>573526.46276383998</v>
          </cell>
          <cell r="K23">
            <v>-76058.383159999998</v>
          </cell>
          <cell r="M23">
            <v>38045.196184849032</v>
          </cell>
          <cell r="N23">
            <v>28556.556221343104</v>
          </cell>
          <cell r="O23">
            <v>97655.882118894922</v>
          </cell>
          <cell r="P23">
            <v>164257.63452508705</v>
          </cell>
          <cell r="Q23">
            <v>30995.586810331486</v>
          </cell>
        </row>
        <row r="24">
          <cell r="A24">
            <v>49</v>
          </cell>
          <cell r="B24" t="str">
            <v>49 Gulistan-e-Johar</v>
          </cell>
          <cell r="C24">
            <v>202</v>
          </cell>
          <cell r="D24">
            <v>39</v>
          </cell>
          <cell r="E24">
            <v>1</v>
          </cell>
          <cell r="F24">
            <v>242</v>
          </cell>
          <cell r="G24">
            <v>39764.197639198974</v>
          </cell>
          <cell r="H24">
            <v>11808.128108920104</v>
          </cell>
          <cell r="I24">
            <v>32558.460876000005</v>
          </cell>
          <cell r="J24">
            <v>84130.786624119093</v>
          </cell>
          <cell r="K24">
            <v>322.28859000000011</v>
          </cell>
          <cell r="M24">
            <v>-549.48037862569618</v>
          </cell>
          <cell r="N24">
            <v>3580.1417875503757</v>
          </cell>
          <cell r="O24">
            <v>7956.1151615690324</v>
          </cell>
          <cell r="P24">
            <v>10986.776570493712</v>
          </cell>
          <cell r="Q24">
            <v>233.74744762431283</v>
          </cell>
        </row>
        <row r="25">
          <cell r="A25">
            <v>56</v>
          </cell>
          <cell r="B25" t="str">
            <v>56 SITE</v>
          </cell>
          <cell r="C25">
            <v>723</v>
          </cell>
          <cell r="D25">
            <v>12</v>
          </cell>
          <cell r="E25">
            <v>3</v>
          </cell>
          <cell r="F25">
            <v>738</v>
          </cell>
          <cell r="G25">
            <v>73684.566579999111</v>
          </cell>
          <cell r="H25">
            <v>19521.989690000002</v>
          </cell>
          <cell r="I25">
            <v>16400</v>
          </cell>
          <cell r="J25">
            <v>109606.55626999911</v>
          </cell>
          <cell r="K25">
            <v>47170.112959999999</v>
          </cell>
          <cell r="M25">
            <v>32233.107218899462</v>
          </cell>
          <cell r="N25">
            <v>13211.329516629801</v>
          </cell>
          <cell r="O25">
            <v>8063.8121546961338</v>
          </cell>
          <cell r="P25">
            <v>53508.248890225397</v>
          </cell>
          <cell r="Q25">
            <v>23824.812531657448</v>
          </cell>
        </row>
        <row r="26">
          <cell r="A26">
            <v>58</v>
          </cell>
          <cell r="B26" t="str">
            <v>58 FB Area</v>
          </cell>
          <cell r="C26">
            <v>260</v>
          </cell>
          <cell r="D26">
            <v>54</v>
          </cell>
          <cell r="E26">
            <v>10</v>
          </cell>
          <cell r="F26">
            <v>324</v>
          </cell>
          <cell r="G26">
            <v>145751.74890439998</v>
          </cell>
          <cell r="H26">
            <v>52044.561421599996</v>
          </cell>
          <cell r="I26">
            <v>59599.65</v>
          </cell>
          <cell r="J26">
            <v>257395.96032599997</v>
          </cell>
          <cell r="K26">
            <v>78.24511000000075</v>
          </cell>
          <cell r="M26">
            <v>86599.302811691552</v>
          </cell>
          <cell r="N26">
            <v>28006.331227438652</v>
          </cell>
          <cell r="O26">
            <v>26552.397237569061</v>
          </cell>
          <cell r="P26">
            <v>141158.03127669927</v>
          </cell>
          <cell r="Q26">
            <v>-260.46252121544785</v>
          </cell>
        </row>
        <row r="27">
          <cell r="A27">
            <v>81</v>
          </cell>
          <cell r="B27" t="str">
            <v xml:space="preserve">81 Metropole Islamic </v>
          </cell>
          <cell r="C27">
            <v>103</v>
          </cell>
          <cell r="D27">
            <v>1</v>
          </cell>
          <cell r="E27">
            <v>2</v>
          </cell>
          <cell r="F27">
            <v>106</v>
          </cell>
          <cell r="G27">
            <v>-58354.400340601045</v>
          </cell>
          <cell r="H27">
            <v>-1236.1132193199899</v>
          </cell>
          <cell r="I27">
            <v>29500</v>
          </cell>
          <cell r="J27">
            <v>-30090.513559921033</v>
          </cell>
          <cell r="K27">
            <v>-17.8396399999999</v>
          </cell>
          <cell r="M27">
            <v>-53492.223486792762</v>
          </cell>
          <cell r="N27">
            <v>-1045.7799625213152</v>
          </cell>
          <cell r="O27">
            <v>2558.011049723757</v>
          </cell>
          <cell r="P27">
            <v>-51979.992399590323</v>
          </cell>
          <cell r="Q27">
            <v>-5.441166243093889</v>
          </cell>
        </row>
        <row r="28">
          <cell r="A28">
            <v>83</v>
          </cell>
          <cell r="B28" t="str">
            <v>83 M A Society Islamic</v>
          </cell>
          <cell r="C28">
            <v>220</v>
          </cell>
          <cell r="D28">
            <v>10</v>
          </cell>
          <cell r="E28">
            <v>4</v>
          </cell>
          <cell r="F28">
            <v>234</v>
          </cell>
          <cell r="G28">
            <v>105170.44943000001</v>
          </cell>
          <cell r="H28">
            <v>32936.262999999999</v>
          </cell>
          <cell r="I28">
            <v>16200</v>
          </cell>
          <cell r="J28">
            <v>154306.71243000001</v>
          </cell>
          <cell r="K28">
            <v>0</v>
          </cell>
          <cell r="M28">
            <v>43482.913346022033</v>
          </cell>
          <cell r="N28">
            <v>391.26519889502765</v>
          </cell>
          <cell r="O28">
            <v>1496.6850828729282</v>
          </cell>
          <cell r="P28">
            <v>45370.863627789993</v>
          </cell>
          <cell r="Q28">
            <v>0.93121491712706628</v>
          </cell>
        </row>
        <row r="29">
          <cell r="A29">
            <v>47</v>
          </cell>
          <cell r="B29" t="str">
            <v>47 Defence  Shahbaz</v>
          </cell>
          <cell r="C29">
            <v>307</v>
          </cell>
          <cell r="D29">
            <v>65</v>
          </cell>
          <cell r="E29">
            <v>17</v>
          </cell>
          <cell r="F29">
            <v>389</v>
          </cell>
          <cell r="G29">
            <v>127317.20490931999</v>
          </cell>
          <cell r="H29">
            <v>34916.765114919996</v>
          </cell>
          <cell r="I29">
            <v>153755.73288656009</v>
          </cell>
          <cell r="J29">
            <v>315989.70291080006</v>
          </cell>
          <cell r="K29">
            <v>-9874.3585899999889</v>
          </cell>
          <cell r="M29">
            <v>65630.853914491308</v>
          </cell>
          <cell r="N29">
            <v>28911.46336751456</v>
          </cell>
          <cell r="O29">
            <v>106245.80819116306</v>
          </cell>
          <cell r="P29">
            <v>200788.12547316891</v>
          </cell>
          <cell r="Q29">
            <v>-6128.3984858011045</v>
          </cell>
        </row>
        <row r="30">
          <cell r="A30">
            <v>57</v>
          </cell>
          <cell r="B30" t="str">
            <v>57 Defence Market</v>
          </cell>
          <cell r="C30">
            <v>391</v>
          </cell>
          <cell r="D30">
            <v>60</v>
          </cell>
          <cell r="E30">
            <v>16</v>
          </cell>
          <cell r="F30">
            <v>467</v>
          </cell>
          <cell r="G30">
            <v>271113.2874457601</v>
          </cell>
          <cell r="H30">
            <v>151473.03292663902</v>
          </cell>
          <cell r="I30">
            <v>113506.060996</v>
          </cell>
          <cell r="J30">
            <v>536092.38136839913</v>
          </cell>
          <cell r="K30">
            <v>12245.90567</v>
          </cell>
          <cell r="M30">
            <v>128161.45036906109</v>
          </cell>
          <cell r="N30">
            <v>47478.736263324121</v>
          </cell>
          <cell r="O30">
            <v>67800.6322932818</v>
          </cell>
          <cell r="P30">
            <v>243440.81892566703</v>
          </cell>
          <cell r="Q30">
            <v>3232.6267234254133</v>
          </cell>
        </row>
        <row r="31">
          <cell r="A31">
            <v>59</v>
          </cell>
          <cell r="B31" t="str">
            <v>59 Tanzeem</v>
          </cell>
          <cell r="C31">
            <v>217</v>
          </cell>
          <cell r="D31">
            <v>46</v>
          </cell>
          <cell r="E31">
            <v>6</v>
          </cell>
          <cell r="F31">
            <v>269</v>
          </cell>
          <cell r="G31">
            <v>210058.21907951901</v>
          </cell>
          <cell r="H31">
            <v>122172.52618479999</v>
          </cell>
          <cell r="I31">
            <v>41750</v>
          </cell>
          <cell r="J31">
            <v>373980.745264319</v>
          </cell>
          <cell r="K31">
            <v>23398.771000000001</v>
          </cell>
          <cell r="M31">
            <v>68669.001191940566</v>
          </cell>
          <cell r="N31">
            <v>74480.616436413111</v>
          </cell>
          <cell r="O31">
            <v>17734.309392265193</v>
          </cell>
          <cell r="P31">
            <v>160883.92702061887</v>
          </cell>
          <cell r="Q31">
            <v>7145.1146906077347</v>
          </cell>
        </row>
        <row r="32">
          <cell r="A32">
            <v>50</v>
          </cell>
          <cell r="B32" t="str">
            <v>50 Hyderabad</v>
          </cell>
          <cell r="C32">
            <v>876</v>
          </cell>
          <cell r="D32">
            <v>76</v>
          </cell>
          <cell r="E32">
            <v>12</v>
          </cell>
          <cell r="F32">
            <v>964</v>
          </cell>
          <cell r="G32">
            <v>44681.252863999995</v>
          </cell>
          <cell r="H32">
            <v>-7475.3263391998989</v>
          </cell>
          <cell r="I32">
            <v>-8431.1970336001032</v>
          </cell>
          <cell r="J32">
            <v>28774.729491199992</v>
          </cell>
          <cell r="K32">
            <v>949.6213600000001</v>
          </cell>
          <cell r="M32">
            <v>-11568.691630377973</v>
          </cell>
          <cell r="N32">
            <v>-683.43947525736439</v>
          </cell>
          <cell r="O32">
            <v>-4564.9724377083076</v>
          </cell>
          <cell r="P32">
            <v>-16817.103543343645</v>
          </cell>
          <cell r="Q32">
            <v>384.39586585635277</v>
          </cell>
        </row>
        <row r="33">
          <cell r="A33">
            <v>60</v>
          </cell>
          <cell r="B33" t="str">
            <v>60 Paper Mart</v>
          </cell>
          <cell r="C33">
            <v>210</v>
          </cell>
          <cell r="D33">
            <v>29</v>
          </cell>
          <cell r="E33">
            <v>5</v>
          </cell>
          <cell r="F33">
            <v>244</v>
          </cell>
          <cell r="G33">
            <v>92053.396414159899</v>
          </cell>
          <cell r="H33">
            <v>11551.71175576</v>
          </cell>
          <cell r="I33">
            <v>22774.68446</v>
          </cell>
          <cell r="J33">
            <v>126379.7926299199</v>
          </cell>
          <cell r="K33">
            <v>9.8999999999999891E-4</v>
          </cell>
          <cell r="M33">
            <v>51384.87212654559</v>
          </cell>
          <cell r="N33">
            <v>12788.240812970142</v>
          </cell>
          <cell r="O33">
            <v>7205.0407176795643</v>
          </cell>
          <cell r="P33">
            <v>71378.153657195304</v>
          </cell>
          <cell r="Q33">
            <v>10.98216911602205</v>
          </cell>
        </row>
        <row r="34">
          <cell r="A34">
            <v>42</v>
          </cell>
          <cell r="B34" t="str">
            <v>42 Multan</v>
          </cell>
          <cell r="C34">
            <v>310</v>
          </cell>
          <cell r="D34">
            <v>134</v>
          </cell>
          <cell r="E34">
            <v>13</v>
          </cell>
          <cell r="F34">
            <v>457</v>
          </cell>
          <cell r="G34">
            <v>157859.03222999998</v>
          </cell>
          <cell r="H34">
            <v>50834.816781479902</v>
          </cell>
          <cell r="I34">
            <v>78857.423189119902</v>
          </cell>
          <cell r="J34">
            <v>287551.27220059978</v>
          </cell>
          <cell r="K34">
            <v>4.8999999999999901E-4</v>
          </cell>
          <cell r="M34">
            <v>86918.356191270446</v>
          </cell>
          <cell r="N34">
            <v>35221.933572431124</v>
          </cell>
          <cell r="O34">
            <v>37578.211326173667</v>
          </cell>
          <cell r="P34">
            <v>159718.50108987524</v>
          </cell>
          <cell r="Q34">
            <v>0.59795569060773435</v>
          </cell>
        </row>
        <row r="35">
          <cell r="A35">
            <v>64</v>
          </cell>
          <cell r="B35" t="str">
            <v xml:space="preserve">64 Defence Phase II </v>
          </cell>
          <cell r="C35">
            <v>276</v>
          </cell>
          <cell r="D35">
            <v>29</v>
          </cell>
          <cell r="E35">
            <v>4</v>
          </cell>
          <cell r="F35">
            <v>309</v>
          </cell>
          <cell r="G35">
            <v>81310.273231999905</v>
          </cell>
          <cell r="H35">
            <v>28216.438561379899</v>
          </cell>
          <cell r="I35">
            <v>21000</v>
          </cell>
          <cell r="J35">
            <v>130526.7117933798</v>
          </cell>
          <cell r="K35">
            <v>0</v>
          </cell>
          <cell r="M35">
            <v>35487.816457790053</v>
          </cell>
          <cell r="N35">
            <v>6799.9812213739142</v>
          </cell>
          <cell r="O35">
            <v>11430.897819502752</v>
          </cell>
          <cell r="P35">
            <v>53718.695498666719</v>
          </cell>
          <cell r="Q35">
            <v>0</v>
          </cell>
        </row>
        <row r="36">
          <cell r="A36">
            <v>69</v>
          </cell>
          <cell r="B36" t="str">
            <v>69 Faisalabad II</v>
          </cell>
          <cell r="C36">
            <v>426</v>
          </cell>
          <cell r="D36">
            <v>92</v>
          </cell>
          <cell r="E36">
            <v>5</v>
          </cell>
          <cell r="F36">
            <v>523</v>
          </cell>
          <cell r="G36">
            <v>76094.607780000006</v>
          </cell>
          <cell r="H36">
            <v>49724.257792119999</v>
          </cell>
          <cell r="I36">
            <v>39966.725399999901</v>
          </cell>
          <cell r="J36">
            <v>165785.59097211991</v>
          </cell>
          <cell r="K36">
            <v>0</v>
          </cell>
          <cell r="M36">
            <v>28700.674334198826</v>
          </cell>
          <cell r="N36">
            <v>14409.07468938097</v>
          </cell>
          <cell r="O36">
            <v>10615.817539226498</v>
          </cell>
          <cell r="P36">
            <v>53725.566562806292</v>
          </cell>
          <cell r="Q36">
            <v>0</v>
          </cell>
        </row>
        <row r="37">
          <cell r="A37">
            <v>61</v>
          </cell>
          <cell r="B37" t="str">
            <v>61 Circular Road</v>
          </cell>
          <cell r="C37">
            <v>493</v>
          </cell>
          <cell r="D37">
            <v>34</v>
          </cell>
          <cell r="E37">
            <v>7</v>
          </cell>
          <cell r="F37">
            <v>534</v>
          </cell>
          <cell r="G37">
            <v>150651.74411812</v>
          </cell>
          <cell r="H37">
            <v>21333.819090000001</v>
          </cell>
          <cell r="I37">
            <v>83460.630319999997</v>
          </cell>
          <cell r="J37">
            <v>255446.19352812</v>
          </cell>
          <cell r="K37">
            <v>4.3830000000000001E-2</v>
          </cell>
          <cell r="M37">
            <v>88370.319236224459</v>
          </cell>
          <cell r="N37">
            <v>11867.954309337005</v>
          </cell>
          <cell r="O37">
            <v>33122.800354475112</v>
          </cell>
          <cell r="P37">
            <v>133361.07390003657</v>
          </cell>
          <cell r="Q37">
            <v>0.52350154696132578</v>
          </cell>
        </row>
        <row r="38">
          <cell r="A38">
            <v>63</v>
          </cell>
          <cell r="B38" t="str">
            <v>63 Allam Iqbal Town</v>
          </cell>
          <cell r="C38">
            <v>257</v>
          </cell>
          <cell r="D38">
            <v>52</v>
          </cell>
          <cell r="E38">
            <v>6</v>
          </cell>
          <cell r="F38">
            <v>315</v>
          </cell>
          <cell r="G38">
            <v>128463.266991599</v>
          </cell>
          <cell r="H38">
            <v>30937.39635644</v>
          </cell>
          <cell r="I38">
            <v>22086.141210000002</v>
          </cell>
          <cell r="J38">
            <v>181486.804558039</v>
          </cell>
          <cell r="K38">
            <v>50003.579749999997</v>
          </cell>
          <cell r="M38">
            <v>39892.829761403744</v>
          </cell>
          <cell r="N38">
            <v>13380.554439839991</v>
          </cell>
          <cell r="O38">
            <v>19380.511433480653</v>
          </cell>
          <cell r="P38">
            <v>72653.895634724395</v>
          </cell>
          <cell r="Q38">
            <v>31497.259780331489</v>
          </cell>
        </row>
        <row r="39">
          <cell r="A39">
            <v>52</v>
          </cell>
          <cell r="B39" t="str">
            <v>52 PECO, Lahore</v>
          </cell>
          <cell r="C39">
            <v>275</v>
          </cell>
          <cell r="D39">
            <v>50</v>
          </cell>
          <cell r="E39">
            <v>9</v>
          </cell>
          <cell r="F39">
            <v>334</v>
          </cell>
          <cell r="G39">
            <v>56373.082963950001</v>
          </cell>
          <cell r="H39">
            <v>18082.846338000098</v>
          </cell>
          <cell r="I39">
            <v>-3600</v>
          </cell>
          <cell r="J39">
            <v>70855.929301950091</v>
          </cell>
          <cell r="K39">
            <v>-76048.027170000001</v>
          </cell>
          <cell r="M39">
            <v>14744.278739018628</v>
          </cell>
          <cell r="N39">
            <v>3331.4424947549887</v>
          </cell>
          <cell r="O39">
            <v>-17119.045779005522</v>
          </cell>
          <cell r="P39">
            <v>956.67545476809391</v>
          </cell>
          <cell r="Q39">
            <v>-69169.777366629874</v>
          </cell>
        </row>
        <row r="40">
          <cell r="A40">
            <v>53</v>
          </cell>
          <cell r="B40" t="str">
            <v>53 Johar Town</v>
          </cell>
          <cell r="C40">
            <v>338</v>
          </cell>
          <cell r="D40">
            <v>58</v>
          </cell>
          <cell r="E40">
            <v>5</v>
          </cell>
          <cell r="F40">
            <v>401</v>
          </cell>
          <cell r="G40">
            <v>231556.74339043</v>
          </cell>
          <cell r="H40">
            <v>50068.089892000004</v>
          </cell>
          <cell r="I40">
            <v>7600</v>
          </cell>
          <cell r="J40">
            <v>289224.83328243002</v>
          </cell>
          <cell r="K40">
            <v>29.019420000000082</v>
          </cell>
          <cell r="M40">
            <v>90769.972427460802</v>
          </cell>
          <cell r="N40">
            <v>10705.55412332595</v>
          </cell>
          <cell r="O40">
            <v>30202.210156408837</v>
          </cell>
          <cell r="P40">
            <v>131677.73670719558</v>
          </cell>
          <cell r="Q40">
            <v>-25.147594254142291</v>
          </cell>
        </row>
        <row r="41">
          <cell r="A41">
            <v>65</v>
          </cell>
          <cell r="B41" t="str">
            <v>65 Model Town</v>
          </cell>
          <cell r="C41">
            <v>317</v>
          </cell>
          <cell r="D41">
            <v>125</v>
          </cell>
          <cell r="E41">
            <v>14</v>
          </cell>
          <cell r="F41">
            <v>456</v>
          </cell>
          <cell r="G41">
            <v>170858.56838323909</v>
          </cell>
          <cell r="H41">
            <v>90159.4005588</v>
          </cell>
          <cell r="I41">
            <v>118757.88</v>
          </cell>
          <cell r="J41">
            <v>379775.84894203907</v>
          </cell>
          <cell r="K41">
            <v>37806.630779999898</v>
          </cell>
          <cell r="M41">
            <v>57123.007871596157</v>
          </cell>
          <cell r="N41">
            <v>34337.022064282828</v>
          </cell>
          <cell r="O41">
            <v>45671.31314917127</v>
          </cell>
          <cell r="P41">
            <v>137131.34308505026</v>
          </cell>
          <cell r="Q41">
            <v>3539.733904861871</v>
          </cell>
        </row>
        <row r="42">
          <cell r="A42">
            <v>82</v>
          </cell>
          <cell r="B42" t="str">
            <v>82 Gulberg Islamic</v>
          </cell>
          <cell r="C42">
            <v>378</v>
          </cell>
          <cell r="D42">
            <v>10</v>
          </cell>
          <cell r="E42">
            <v>0</v>
          </cell>
          <cell r="F42">
            <v>388</v>
          </cell>
          <cell r="G42">
            <v>72225.123259999033</v>
          </cell>
          <cell r="H42">
            <v>974.61034999999902</v>
          </cell>
          <cell r="I42">
            <v>2000</v>
          </cell>
          <cell r="J42">
            <v>75199.733609999035</v>
          </cell>
          <cell r="K42">
            <v>0.23799999999999999</v>
          </cell>
          <cell r="M42">
            <v>7510.8463213257201</v>
          </cell>
          <cell r="N42">
            <v>42.111750662983418</v>
          </cell>
          <cell r="O42">
            <v>842.75248618784531</v>
          </cell>
          <cell r="P42">
            <v>8395.7105581765481</v>
          </cell>
          <cell r="Q42">
            <v>0.27989060773480662</v>
          </cell>
        </row>
        <row r="43">
          <cell r="A43">
            <v>55</v>
          </cell>
          <cell r="B43" t="str">
            <v>55 Satellite Town</v>
          </cell>
          <cell r="C43">
            <v>430</v>
          </cell>
          <cell r="D43">
            <v>44</v>
          </cell>
          <cell r="E43">
            <v>9</v>
          </cell>
          <cell r="F43">
            <v>483</v>
          </cell>
          <cell r="G43">
            <v>144792.11007439994</v>
          </cell>
          <cell r="H43">
            <v>37186.779578720008</v>
          </cell>
          <cell r="I43">
            <v>18588.490635000009</v>
          </cell>
          <cell r="J43">
            <v>200567.38028811995</v>
          </cell>
          <cell r="K43">
            <v>1892.4635159198988</v>
          </cell>
          <cell r="M43">
            <v>20414.832406790752</v>
          </cell>
          <cell r="N43">
            <v>7652.6295719327827</v>
          </cell>
          <cell r="O43">
            <v>24185.879227458398</v>
          </cell>
          <cell r="P43">
            <v>52253.341206181933</v>
          </cell>
          <cell r="Q43">
            <v>-1260.6977297737794</v>
          </cell>
        </row>
        <row r="44">
          <cell r="A44">
            <v>68</v>
          </cell>
          <cell r="B44" t="str">
            <v xml:space="preserve">68 Chaklala </v>
          </cell>
          <cell r="C44">
            <v>430</v>
          </cell>
          <cell r="D44">
            <v>58</v>
          </cell>
          <cell r="E44">
            <v>15</v>
          </cell>
          <cell r="F44">
            <v>503</v>
          </cell>
          <cell r="G44">
            <v>151421.96393021999</v>
          </cell>
          <cell r="H44">
            <v>28779.014934880001</v>
          </cell>
          <cell r="I44">
            <v>70698.449760000003</v>
          </cell>
          <cell r="J44">
            <v>250899.4286251</v>
          </cell>
          <cell r="K44">
            <v>0</v>
          </cell>
          <cell r="M44">
            <v>74442.926687209547</v>
          </cell>
          <cell r="N44">
            <v>12544.800237764402</v>
          </cell>
          <cell r="O44">
            <v>25705.128227182271</v>
          </cell>
          <cell r="P44">
            <v>112692.85515215622</v>
          </cell>
          <cell r="Q44">
            <v>0.55885082872928171</v>
          </cell>
        </row>
        <row r="45">
          <cell r="A45">
            <v>67</v>
          </cell>
          <cell r="B45" t="str">
            <v>67 F-7</v>
          </cell>
          <cell r="C45">
            <v>1225</v>
          </cell>
          <cell r="D45">
            <v>252</v>
          </cell>
          <cell r="E45">
            <v>24</v>
          </cell>
          <cell r="F45">
            <v>1501</v>
          </cell>
          <cell r="G45">
            <v>118631.02143740011</v>
          </cell>
          <cell r="H45">
            <v>53205.482270989109</v>
          </cell>
          <cell r="I45">
            <v>89129.368019719986</v>
          </cell>
          <cell r="J45">
            <v>260965.8717281092</v>
          </cell>
          <cell r="K45">
            <v>227563.92722000001</v>
          </cell>
          <cell r="M45">
            <v>114050.76363864387</v>
          </cell>
          <cell r="N45">
            <v>52372.489350587202</v>
          </cell>
          <cell r="O45">
            <v>63702.750068986934</v>
          </cell>
          <cell r="P45">
            <v>230126.00305821802</v>
          </cell>
          <cell r="Q45">
            <v>103682.34541933665</v>
          </cell>
        </row>
        <row r="46">
          <cell r="A46">
            <v>54</v>
          </cell>
          <cell r="B46" t="str">
            <v>54 F-11</v>
          </cell>
          <cell r="C46">
            <v>314</v>
          </cell>
          <cell r="D46">
            <v>95</v>
          </cell>
          <cell r="E46">
            <v>21</v>
          </cell>
          <cell r="F46">
            <v>430</v>
          </cell>
          <cell r="G46">
            <v>83061.662834019953</v>
          </cell>
          <cell r="H46">
            <v>13267.052009159997</v>
          </cell>
          <cell r="I46">
            <v>131506.12522624002</v>
          </cell>
          <cell r="J46">
            <v>227834.84006941997</v>
          </cell>
          <cell r="K46">
            <v>9717.4292800000003</v>
          </cell>
          <cell r="M46">
            <v>31174.384215359139</v>
          </cell>
          <cell r="N46">
            <v>11873.585635378855</v>
          </cell>
          <cell r="O46">
            <v>41504.294340181499</v>
          </cell>
          <cell r="P46">
            <v>84552.264190919494</v>
          </cell>
          <cell r="Q46">
            <v>5195.6271102210776</v>
          </cell>
        </row>
        <row r="47">
          <cell r="A47">
            <v>66</v>
          </cell>
          <cell r="B47" t="str">
            <v>66 I-8</v>
          </cell>
          <cell r="C47">
            <v>619</v>
          </cell>
          <cell r="D47">
            <v>64</v>
          </cell>
          <cell r="E47">
            <v>16</v>
          </cell>
          <cell r="F47">
            <v>699</v>
          </cell>
          <cell r="G47">
            <v>190796.94645096001</v>
          </cell>
          <cell r="H47">
            <v>9880.3106852000092</v>
          </cell>
          <cell r="I47">
            <v>86911.158010399886</v>
          </cell>
          <cell r="J47">
            <v>287588.41514655988</v>
          </cell>
          <cell r="K47">
            <v>0.10027</v>
          </cell>
          <cell r="M47">
            <v>82542.851538324234</v>
          </cell>
          <cell r="N47">
            <v>11062.146562709378</v>
          </cell>
          <cell r="O47">
            <v>47394.743894260733</v>
          </cell>
          <cell r="P47">
            <v>140999.74199529435</v>
          </cell>
          <cell r="Q47">
            <v>0.2395245303867401</v>
          </cell>
        </row>
        <row r="49">
          <cell r="B49" t="str">
            <v>Regular</v>
          </cell>
          <cell r="C49">
            <v>13561</v>
          </cell>
          <cell r="D49">
            <v>3497</v>
          </cell>
          <cell r="E49">
            <v>370</v>
          </cell>
          <cell r="F49">
            <v>17428</v>
          </cell>
          <cell r="G49">
            <v>3269546.6307682777</v>
          </cell>
          <cell r="H49">
            <v>202283.65347024539</v>
          </cell>
          <cell r="I49">
            <v>3033435.2282702141</v>
          </cell>
          <cell r="J49">
            <v>6505265.5125087379</v>
          </cell>
          <cell r="K49">
            <v>-2654943.0009521563</v>
          </cell>
          <cell r="M49">
            <v>-775424.11308215233</v>
          </cell>
          <cell r="N49">
            <v>370002.67967972922</v>
          </cell>
          <cell r="O49">
            <v>1451518.8837417164</v>
          </cell>
          <cell r="P49">
            <v>1046097.4503392935</v>
          </cell>
          <cell r="Q49">
            <v>-1974574.8973300168</v>
          </cell>
        </row>
        <row r="50">
          <cell r="B50" t="str">
            <v>Smart</v>
          </cell>
          <cell r="C50">
            <v>9893</v>
          </cell>
          <cell r="D50">
            <v>1527</v>
          </cell>
          <cell r="E50">
            <v>254</v>
          </cell>
          <cell r="F50">
            <v>11674</v>
          </cell>
          <cell r="G50">
            <v>2952404.6636041324</v>
          </cell>
          <cell r="H50">
            <v>936771.13833508815</v>
          </cell>
          <cell r="I50">
            <v>1704626.3686254397</v>
          </cell>
          <cell r="J50">
            <v>5593802.1705646608</v>
          </cell>
          <cell r="K50">
            <v>249179.76967591982</v>
          </cell>
          <cell r="M50">
            <v>1220740.1614943207</v>
          </cell>
          <cell r="N50">
            <v>461276.74141806259</v>
          </cell>
          <cell r="O50">
            <v>712921.98520569806</v>
          </cell>
          <cell r="P50">
            <v>2394938.8881180817</v>
          </cell>
          <cell r="Q50">
            <v>132895.43852757395</v>
          </cell>
        </row>
        <row r="52">
          <cell r="B52" t="str">
            <v>Total</v>
          </cell>
          <cell r="C52">
            <v>23454</v>
          </cell>
          <cell r="D52">
            <v>5024</v>
          </cell>
          <cell r="E52">
            <v>624</v>
          </cell>
          <cell r="F52">
            <v>29102</v>
          </cell>
          <cell r="G52">
            <v>6221951.2943724096</v>
          </cell>
          <cell r="H52">
            <v>1139054.7918053335</v>
          </cell>
          <cell r="I52">
            <v>4738061.5968956538</v>
          </cell>
          <cell r="J52">
            <v>12099067.683073398</v>
          </cell>
          <cell r="K52">
            <v>-2405763.2312762365</v>
          </cell>
          <cell r="M52">
            <v>445316.0484121684</v>
          </cell>
          <cell r="N52">
            <v>831279.42109779175</v>
          </cell>
          <cell r="O52">
            <v>2164440.8689474147</v>
          </cell>
          <cell r="P52">
            <v>3441036.3384573753</v>
          </cell>
          <cell r="Q52">
            <v>-1841679.458802443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B1">
            <v>6</v>
          </cell>
        </row>
      </sheetData>
      <sheetData sheetId="27">
        <row r="2">
          <cell r="A2">
            <v>22</v>
          </cell>
        </row>
      </sheetData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 wise"/>
      <sheetName val="Area wise"/>
      <sheetName val="Branch wise"/>
      <sheetName val="Target"/>
      <sheetName val="MoM Targets"/>
      <sheetName val="2015 Final Working"/>
      <sheetName val="WorkingPivot"/>
      <sheetName val="ControlSheet"/>
      <sheetName val="Working2015"/>
      <sheetName val="Region_wise"/>
      <sheetName val="Area_wise"/>
      <sheetName val="Branch_wise"/>
      <sheetName val="MoM_Targets"/>
      <sheetName val="2015_Final_Working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T2" t="str">
            <v>Range_Region wise</v>
          </cell>
        </row>
        <row r="8">
          <cell r="U8" t="str">
            <v>Values</v>
          </cell>
        </row>
        <row r="9">
          <cell r="T9" t="str">
            <v>RegionName</v>
          </cell>
          <cell r="U9" t="str">
            <v>Sum of Jan '16</v>
          </cell>
          <cell r="V9" t="str">
            <v>Sum of Q4 '15</v>
          </cell>
          <cell r="W9" t="str">
            <v>Sum of YTD '15</v>
          </cell>
          <cell r="X9" t="str">
            <v>FTM 2016</v>
          </cell>
          <cell r="Y9" t="str">
            <v>QTR 2016</v>
          </cell>
          <cell r="Z9" t="str">
            <v>YTD 2016</v>
          </cell>
        </row>
        <row r="10">
          <cell r="T10" t="str">
            <v>BAHAWALPUR</v>
          </cell>
          <cell r="U10">
            <v>12780.305710649654</v>
          </cell>
          <cell r="V10">
            <v>11594.128510722934</v>
          </cell>
          <cell r="W10">
            <v>11094.080012084642</v>
          </cell>
          <cell r="X10">
            <v>13178.901339844133</v>
          </cell>
          <cell r="Y10">
            <v>13011.075722439007</v>
          </cell>
          <cell r="Z10">
            <v>13011.075722439007</v>
          </cell>
        </row>
        <row r="11">
          <cell r="T11" t="str">
            <v>FAISALABAD</v>
          </cell>
          <cell r="U11">
            <v>20068.590840840701</v>
          </cell>
          <cell r="V11">
            <v>19581.688815750811</v>
          </cell>
          <cell r="W11">
            <v>18595.29399406015</v>
          </cell>
          <cell r="X11">
            <v>20240.971935890695</v>
          </cell>
          <cell r="Y11">
            <v>20158.472790434509</v>
          </cell>
          <cell r="Z11">
            <v>20158.472790434509</v>
          </cell>
        </row>
        <row r="12">
          <cell r="T12" t="str">
            <v>GUJRANWALA</v>
          </cell>
          <cell r="U12">
            <v>16014.271102328967</v>
          </cell>
          <cell r="V12">
            <v>15318.93343309609</v>
          </cell>
          <cell r="W12">
            <v>15118.424402920004</v>
          </cell>
          <cell r="X12">
            <v>16061.382317581383</v>
          </cell>
          <cell r="Y12">
            <v>16035.306634687999</v>
          </cell>
          <cell r="Z12">
            <v>16035.306634687999</v>
          </cell>
        </row>
        <row r="13">
          <cell r="T13" t="str">
            <v>GUJRAT</v>
          </cell>
          <cell r="U13">
            <v>13253.526201336552</v>
          </cell>
          <cell r="V13">
            <v>12603.555261606536</v>
          </cell>
          <cell r="W13">
            <v>11412.688924442409</v>
          </cell>
          <cell r="X13">
            <v>13277.538207372763</v>
          </cell>
          <cell r="Y13">
            <v>13273.340504327831</v>
          </cell>
          <cell r="Z13">
            <v>13273.340504327831</v>
          </cell>
        </row>
        <row r="14">
          <cell r="T14" t="str">
            <v>HYDERABAD</v>
          </cell>
          <cell r="U14">
            <v>11076.141802620687</v>
          </cell>
          <cell r="V14">
            <v>10568.659508176846</v>
          </cell>
          <cell r="W14">
            <v>10165.626982849997</v>
          </cell>
          <cell r="X14">
            <v>10944.968016431032</v>
          </cell>
          <cell r="Y14">
            <v>11024.425325761666</v>
          </cell>
          <cell r="Z14">
            <v>11024.425325761666</v>
          </cell>
        </row>
        <row r="15">
          <cell r="T15" t="str">
            <v>ISLAMABAD</v>
          </cell>
          <cell r="U15">
            <v>55065.342844378589</v>
          </cell>
          <cell r="V15">
            <v>53989.784024952103</v>
          </cell>
          <cell r="W15">
            <v>50165.551101190569</v>
          </cell>
          <cell r="X15">
            <v>54794.834539831718</v>
          </cell>
          <cell r="Y15">
            <v>54978.362487609636</v>
          </cell>
          <cell r="Z15">
            <v>54978.362487609636</v>
          </cell>
        </row>
        <row r="16">
          <cell r="T16" t="str">
            <v>JHELUM</v>
          </cell>
          <cell r="U16">
            <v>8346.2628362255164</v>
          </cell>
          <cell r="V16">
            <v>7854.3734248297797</v>
          </cell>
          <cell r="W16">
            <v>7008.3526365200032</v>
          </cell>
          <cell r="X16">
            <v>8446.3688374551748</v>
          </cell>
          <cell r="Y16">
            <v>8400.7075783119999</v>
          </cell>
          <cell r="Z16">
            <v>8400.7075783119999</v>
          </cell>
        </row>
        <row r="17">
          <cell r="T17" t="str">
            <v>KARACHI</v>
          </cell>
          <cell r="U17">
            <v>70001.615570994865</v>
          </cell>
          <cell r="V17">
            <v>68080.041251829403</v>
          </cell>
          <cell r="W17">
            <v>66105.814183713301</v>
          </cell>
          <cell r="X17">
            <v>68030.893432659344</v>
          </cell>
          <cell r="Y17">
            <v>69048.579801158849</v>
          </cell>
          <cell r="Z17">
            <v>69048.579801158849</v>
          </cell>
        </row>
        <row r="18">
          <cell r="T18" t="str">
            <v>LAHORE</v>
          </cell>
          <cell r="U18">
            <v>51915.804374176216</v>
          </cell>
          <cell r="V18">
            <v>50158.066536519487</v>
          </cell>
          <cell r="W18">
            <v>47401.954713788</v>
          </cell>
          <cell r="X18">
            <v>52099.015780223119</v>
          </cell>
          <cell r="Y18">
            <v>52075.722766026658</v>
          </cell>
          <cell r="Z18">
            <v>52075.722766026658</v>
          </cell>
        </row>
        <row r="19">
          <cell r="T19" t="str">
            <v>MARDAN</v>
          </cell>
          <cell r="U19">
            <v>26198.701023497579</v>
          </cell>
          <cell r="V19">
            <v>25343.021598158139</v>
          </cell>
          <cell r="W19">
            <v>23305.517791079987</v>
          </cell>
          <cell r="X19">
            <v>26051.107735272068</v>
          </cell>
          <cell r="Y19">
            <v>26157.864958838985</v>
          </cell>
          <cell r="Z19">
            <v>26157.864958838985</v>
          </cell>
        </row>
        <row r="20">
          <cell r="T20" t="str">
            <v>MIRPUR</v>
          </cell>
          <cell r="U20">
            <v>8410.6746425593101</v>
          </cell>
          <cell r="V20">
            <v>7986.830925132208</v>
          </cell>
          <cell r="W20">
            <v>7149.5934978846208</v>
          </cell>
          <cell r="X20">
            <v>8609.5726842837921</v>
          </cell>
          <cell r="Y20">
            <v>8509.6539371581694</v>
          </cell>
          <cell r="Z20">
            <v>8509.6539371581694</v>
          </cell>
        </row>
        <row r="21">
          <cell r="T21" t="str">
            <v>MULTAN</v>
          </cell>
          <cell r="U21">
            <v>17915.333195002408</v>
          </cell>
          <cell r="V21">
            <v>17271.980951181926</v>
          </cell>
          <cell r="W21">
            <v>16763.033504031559</v>
          </cell>
          <cell r="X21">
            <v>17746.813820183805</v>
          </cell>
          <cell r="Y21">
            <v>17864.388714018329</v>
          </cell>
          <cell r="Z21">
            <v>17864.388714018329</v>
          </cell>
        </row>
        <row r="22">
          <cell r="T22" t="str">
            <v>MUZAFFARABAD</v>
          </cell>
          <cell r="U22">
            <v>4454.6233974758625</v>
          </cell>
          <cell r="V22">
            <v>4092.4681630882606</v>
          </cell>
          <cell r="W22">
            <v>3776.9493691400012</v>
          </cell>
          <cell r="X22">
            <v>4333.8479510855168</v>
          </cell>
          <cell r="Y22">
            <v>4394.506368956002</v>
          </cell>
          <cell r="Z22">
            <v>4394.506368956002</v>
          </cell>
        </row>
        <row r="23">
          <cell r="T23" t="str">
            <v>PESHAWAR</v>
          </cell>
          <cell r="U23">
            <v>22147.964741622414</v>
          </cell>
          <cell r="V23">
            <v>20396.731567944902</v>
          </cell>
          <cell r="W23">
            <v>19963.768491938816</v>
          </cell>
          <cell r="X23">
            <v>22686.764236894142</v>
          </cell>
          <cell r="Y23">
            <v>22431.484310915326</v>
          </cell>
          <cell r="Z23">
            <v>22431.484310915326</v>
          </cell>
        </row>
        <row r="24">
          <cell r="T24" t="str">
            <v>QUETTA</v>
          </cell>
          <cell r="U24">
            <v>9947.2724769379311</v>
          </cell>
          <cell r="V24">
            <v>9889.5651509616273</v>
          </cell>
          <cell r="W24">
            <v>9338.7803411900004</v>
          </cell>
          <cell r="X24">
            <v>9673.9595778999992</v>
          </cell>
          <cell r="Y24">
            <v>9828.2025866063341</v>
          </cell>
          <cell r="Z24">
            <v>9828.2025866063341</v>
          </cell>
        </row>
        <row r="25">
          <cell r="T25" t="str">
            <v>SAHIWAL</v>
          </cell>
          <cell r="U25">
            <v>13976.34626157379</v>
          </cell>
          <cell r="V25">
            <v>13779.394917443591</v>
          </cell>
          <cell r="W25">
            <v>13503.067006420004</v>
          </cell>
          <cell r="X25">
            <v>14018.790787293799</v>
          </cell>
          <cell r="Y25">
            <v>13994.103514844664</v>
          </cell>
          <cell r="Z25">
            <v>13994.103514844664</v>
          </cell>
        </row>
        <row r="26">
          <cell r="T26" t="str">
            <v>SARGODHA</v>
          </cell>
          <cell r="U26">
            <v>11327.413010000337</v>
          </cell>
          <cell r="V26">
            <v>10901.101322482389</v>
          </cell>
          <cell r="W26">
            <v>10711.314911299998</v>
          </cell>
          <cell r="X26">
            <v>11691.47562313966</v>
          </cell>
          <cell r="Y26">
            <v>11530.567340772335</v>
          </cell>
          <cell r="Z26">
            <v>11530.567340772335</v>
          </cell>
        </row>
        <row r="27">
          <cell r="T27" t="str">
            <v>SIALKOT</v>
          </cell>
          <cell r="U27">
            <v>12928.218313661728</v>
          </cell>
          <cell r="V27">
            <v>12218.195088030439</v>
          </cell>
          <cell r="W27">
            <v>11616.447272078765</v>
          </cell>
          <cell r="X27">
            <v>13061.290832114826</v>
          </cell>
          <cell r="Y27">
            <v>13003.480136668672</v>
          </cell>
          <cell r="Z27">
            <v>13003.480136668672</v>
          </cell>
        </row>
        <row r="28">
          <cell r="T28" t="str">
            <v>SUKKUR</v>
          </cell>
          <cell r="U28">
            <v>6823.4646377544796</v>
          </cell>
          <cell r="V28">
            <v>6420.0128670725007</v>
          </cell>
          <cell r="W28">
            <v>6377.0095917100007</v>
          </cell>
          <cell r="X28">
            <v>6768.8087876503459</v>
          </cell>
          <cell r="Y28">
            <v>6804.8960156429985</v>
          </cell>
          <cell r="Z28">
            <v>6804.8960156429985</v>
          </cell>
        </row>
        <row r="29">
          <cell r="T29" t="str">
            <v>Grand Total</v>
          </cell>
          <cell r="U29">
            <v>392651.87298363756</v>
          </cell>
          <cell r="V29">
            <v>378048.5333189799</v>
          </cell>
          <cell r="W29">
            <v>359573.2687283429</v>
          </cell>
          <cell r="X29">
            <v>391717.30644310737</v>
          </cell>
          <cell r="Y29">
            <v>392525.14149517997</v>
          </cell>
          <cell r="Z29">
            <v>392525.14149517997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WorkingPivots"/>
      <sheetName val="Dashboard"/>
      <sheetName val="Product Wise"/>
      <sheetName val="Region Wise"/>
      <sheetName val="Area Wise"/>
      <sheetName val="Branch Wise"/>
      <sheetName val="Branch Wise (Conv &amp; Islamic)"/>
      <sheetName val="Retail Lending"/>
      <sheetName val="Retail Lending New"/>
      <sheetName val="Agri"/>
      <sheetName val="Agri New"/>
      <sheetName val="Commercial"/>
      <sheetName val="PlayArea"/>
      <sheetName val="DebitCard"/>
      <sheetName val="CreditCard"/>
      <sheetName val="PIL"/>
      <sheetName val="CarLoan"/>
      <sheetName val="Banca"/>
      <sheetName val="No of Accounts"/>
      <sheetName val="Product_Wise"/>
      <sheetName val="Region_Wise"/>
      <sheetName val="Area_Wise"/>
      <sheetName val="Branch_Wise"/>
      <sheetName val="Branch_Wise_(Conv_&amp;_Islamic)"/>
      <sheetName val="Retail_Lending"/>
      <sheetName val="Retail_Lending_New"/>
      <sheetName val="Agri_New"/>
      <sheetName val="No_of_Accounts"/>
    </sheetNames>
    <sheetDataSet>
      <sheetData sheetId="0"/>
      <sheetData sheetId="1">
        <row r="1">
          <cell r="C1">
            <v>1000</v>
          </cell>
          <cell r="D1">
            <v>1000000</v>
          </cell>
          <cell r="E1">
            <v>1000000000</v>
          </cell>
        </row>
        <row r="4">
          <cell r="Q4">
            <v>1</v>
          </cell>
          <cell r="R4" t="str">
            <v>ODCBestRegions</v>
          </cell>
          <cell r="S4" t="str">
            <v>KARACHI</v>
          </cell>
          <cell r="T4">
            <v>74415871337.110001</v>
          </cell>
          <cell r="U4">
            <v>4429966236.21</v>
          </cell>
          <cell r="V4" t="str">
            <v>CA</v>
          </cell>
          <cell r="X4">
            <v>1</v>
          </cell>
          <cell r="Y4" t="str">
            <v>MTDBestRegions</v>
          </cell>
          <cell r="Z4" t="str">
            <v>KARACHI</v>
          </cell>
          <cell r="AA4">
            <v>74415871337.110001</v>
          </cell>
          <cell r="AB4">
            <v>4429966236.21</v>
          </cell>
          <cell r="AC4" t="str">
            <v>CA</v>
          </cell>
          <cell r="AE4">
            <v>1</v>
          </cell>
          <cell r="AF4" t="str">
            <v>YTDBestRegions</v>
          </cell>
          <cell r="AG4" t="str">
            <v>MIRPUR</v>
          </cell>
          <cell r="AH4">
            <v>8517962739.1099997</v>
          </cell>
          <cell r="AI4">
            <v>99562840.959999993</v>
          </cell>
          <cell r="AJ4" t="str">
            <v>CA</v>
          </cell>
          <cell r="AM4" t="str">
            <v>BranchCode</v>
          </cell>
          <cell r="AN4" t="str">
            <v>BranchName</v>
          </cell>
          <cell r="AO4" t="str">
            <v>AreaName</v>
          </cell>
          <cell r="AP4" t="str">
            <v>RegionName</v>
          </cell>
        </row>
        <row r="5">
          <cell r="A5" t="str">
            <v>BAHAWALPUR</v>
          </cell>
          <cell r="B5">
            <v>12533190844.88999</v>
          </cell>
          <cell r="C5">
            <v>12400312315.639999</v>
          </cell>
          <cell r="D5">
            <v>12685030501.93</v>
          </cell>
          <cell r="E5">
            <v>13626392277.439993</v>
          </cell>
          <cell r="F5">
            <v>13923769441.010019</v>
          </cell>
          <cell r="G5">
            <v>13923769441.010004</v>
          </cell>
          <cell r="H5">
            <v>13471474704.360001</v>
          </cell>
          <cell r="L5">
            <v>401987579574.98981</v>
          </cell>
          <cell r="M5">
            <v>402364089772.84009</v>
          </cell>
          <cell r="N5">
            <v>402364089772.84009</v>
          </cell>
          <cell r="O5">
            <v>436765284623.36011</v>
          </cell>
          <cell r="Q5">
            <v>2</v>
          </cell>
          <cell r="R5" t="str">
            <v>ODCBestRegions</v>
          </cell>
          <cell r="S5" t="str">
            <v>SAHIWAL</v>
          </cell>
          <cell r="T5">
            <v>14524849467.440001</v>
          </cell>
          <cell r="U5">
            <v>631421431.75999999</v>
          </cell>
          <cell r="V5" t="str">
            <v>CA</v>
          </cell>
          <cell r="X5">
            <v>2</v>
          </cell>
          <cell r="Y5" t="str">
            <v>MTDBestRegions</v>
          </cell>
          <cell r="Z5" t="str">
            <v>SAHIWAL</v>
          </cell>
          <cell r="AA5">
            <v>14524849467.440001</v>
          </cell>
          <cell r="AB5">
            <v>631421431.75999999</v>
          </cell>
          <cell r="AC5" t="str">
            <v>CA</v>
          </cell>
          <cell r="AE5">
            <v>2</v>
          </cell>
          <cell r="AF5" t="str">
            <v>YTDBestRegions</v>
          </cell>
          <cell r="AG5" t="str">
            <v>MUZAFFARABAD</v>
          </cell>
          <cell r="AH5">
            <v>4392772064.8900003</v>
          </cell>
          <cell r="AI5">
            <v>-208056642.75</v>
          </cell>
          <cell r="AJ5" t="str">
            <v>CA</v>
          </cell>
          <cell r="AM5">
            <v>1</v>
          </cell>
          <cell r="AN5" t="str">
            <v>KARACHI-BOHRA BAZAR</v>
          </cell>
          <cell r="AO5" t="str">
            <v>Saddar</v>
          </cell>
          <cell r="AP5" t="str">
            <v>KARACHI</v>
          </cell>
        </row>
        <row r="6">
          <cell r="A6" t="str">
            <v>FAISALABAD</v>
          </cell>
          <cell r="B6">
            <v>19891579293.860039</v>
          </cell>
          <cell r="C6">
            <v>19993678061.130001</v>
          </cell>
          <cell r="D6">
            <v>19995614685.980053</v>
          </cell>
          <cell r="E6">
            <v>20251826660.68</v>
          </cell>
          <cell r="F6">
            <v>20265523450.430008</v>
          </cell>
          <cell r="G6">
            <v>20265523450.430004</v>
          </cell>
          <cell r="H6">
            <v>20663203340.970024</v>
          </cell>
          <cell r="Q6">
            <v>3</v>
          </cell>
          <cell r="R6" t="str">
            <v>ODCBestRegions</v>
          </cell>
          <cell r="S6" t="str">
            <v>FAISALABAD</v>
          </cell>
          <cell r="T6">
            <v>20663203340.970001</v>
          </cell>
          <cell r="U6">
            <v>397702672.05000001</v>
          </cell>
          <cell r="V6" t="str">
            <v>CA</v>
          </cell>
          <cell r="X6">
            <v>3</v>
          </cell>
          <cell r="Y6" t="str">
            <v>MTDBestRegions</v>
          </cell>
          <cell r="Z6" t="str">
            <v>FAISALABAD</v>
          </cell>
          <cell r="AA6">
            <v>20663203340.970001</v>
          </cell>
          <cell r="AB6">
            <v>397702672.05000001</v>
          </cell>
          <cell r="AC6" t="str">
            <v>CA</v>
          </cell>
          <cell r="AE6">
            <v>3</v>
          </cell>
          <cell r="AF6" t="str">
            <v>YTDBestRegions</v>
          </cell>
          <cell r="AG6" t="str">
            <v>JHELUM</v>
          </cell>
          <cell r="AH6">
            <v>8559306913.6999998</v>
          </cell>
          <cell r="AI6">
            <v>-273961426.36000001</v>
          </cell>
          <cell r="AJ6" t="str">
            <v>CA</v>
          </cell>
          <cell r="AM6">
            <v>2</v>
          </cell>
          <cell r="AN6" t="str">
            <v>M.A. JINNAH ROAD, KARACHI</v>
          </cell>
          <cell r="AO6" t="str">
            <v>SAM West</v>
          </cell>
          <cell r="AP6" t="str">
            <v>KARACHI</v>
          </cell>
        </row>
        <row r="7">
          <cell r="A7" t="str">
            <v>GUJRANWALA</v>
          </cell>
          <cell r="B7">
            <v>15607212969.480005</v>
          </cell>
          <cell r="C7">
            <v>15659450593.459997</v>
          </cell>
          <cell r="D7">
            <v>15684199638.14999</v>
          </cell>
          <cell r="E7">
            <v>15579076647.449997</v>
          </cell>
          <cell r="F7">
            <v>15962224451.939999</v>
          </cell>
          <cell r="G7">
            <v>15962224451.940002</v>
          </cell>
          <cell r="H7">
            <v>16010195161.629999</v>
          </cell>
          <cell r="Q7">
            <v>4</v>
          </cell>
          <cell r="R7" t="str">
            <v>ODCBestRegions</v>
          </cell>
          <cell r="S7" t="str">
            <v>GUJRANWALA</v>
          </cell>
          <cell r="T7">
            <v>16010195161.629999</v>
          </cell>
          <cell r="U7">
            <v>47973309.979999997</v>
          </cell>
          <cell r="V7" t="str">
            <v>CA</v>
          </cell>
          <cell r="X7">
            <v>4</v>
          </cell>
          <cell r="Y7" t="str">
            <v>MTDBestRegions</v>
          </cell>
          <cell r="Z7" t="str">
            <v>GUJRANWALA</v>
          </cell>
          <cell r="AA7">
            <v>16010195161.629999</v>
          </cell>
          <cell r="AB7">
            <v>47973309.979999997</v>
          </cell>
          <cell r="AC7" t="str">
            <v>CA</v>
          </cell>
          <cell r="AE7">
            <v>4</v>
          </cell>
          <cell r="AF7" t="str">
            <v>YTDBestRegions</v>
          </cell>
          <cell r="AG7" t="str">
            <v>SIALKOT</v>
          </cell>
          <cell r="AH7">
            <v>13186651436.629999</v>
          </cell>
          <cell r="AI7">
            <v>-400600003.56</v>
          </cell>
          <cell r="AJ7" t="str">
            <v>CA</v>
          </cell>
          <cell r="AM7">
            <v>4</v>
          </cell>
          <cell r="AN7" t="str">
            <v>CLOTH MARKET, KARACHI</v>
          </cell>
          <cell r="AO7" t="str">
            <v>SAM West</v>
          </cell>
          <cell r="AP7" t="str">
            <v>KARACHI</v>
          </cell>
        </row>
        <row r="8">
          <cell r="A8" t="str">
            <v>GUJRAT</v>
          </cell>
          <cell r="B8">
            <v>13074239718.849987</v>
          </cell>
          <cell r="C8">
            <v>13037972219.300009</v>
          </cell>
          <cell r="D8">
            <v>13052284656.689999</v>
          </cell>
          <cell r="E8">
            <v>13420839485.580002</v>
          </cell>
          <cell r="F8">
            <v>13499781203.549971</v>
          </cell>
          <cell r="G8">
            <v>13499781203.549984</v>
          </cell>
          <cell r="H8">
            <v>13360470193.039997</v>
          </cell>
          <cell r="Q8">
            <v>5</v>
          </cell>
          <cell r="R8" t="str">
            <v>ODCBestRegions</v>
          </cell>
          <cell r="S8" t="str">
            <v>JHELUM</v>
          </cell>
          <cell r="T8">
            <v>8559306913.6999998</v>
          </cell>
          <cell r="U8">
            <v>31257425.010000002</v>
          </cell>
          <cell r="V8" t="str">
            <v>CA</v>
          </cell>
          <cell r="X8">
            <v>5</v>
          </cell>
          <cell r="Y8" t="str">
            <v>MTDBestRegions</v>
          </cell>
          <cell r="Z8" t="str">
            <v>JHELUM</v>
          </cell>
          <cell r="AA8">
            <v>8559306913.6999998</v>
          </cell>
          <cell r="AB8">
            <v>31257425.010000002</v>
          </cell>
          <cell r="AC8" t="str">
            <v>CA</v>
          </cell>
          <cell r="AE8">
            <v>5</v>
          </cell>
          <cell r="AF8" t="str">
            <v>YTDBestRegions</v>
          </cell>
          <cell r="AG8" t="str">
            <v>FAISALABAD</v>
          </cell>
          <cell r="AH8">
            <v>20663203340.970001</v>
          </cell>
          <cell r="AI8">
            <v>-428541754.91000003</v>
          </cell>
          <cell r="AJ8" t="str">
            <v>CA</v>
          </cell>
          <cell r="AM8">
            <v>8</v>
          </cell>
          <cell r="AN8" t="str">
            <v>IDDGAH BRANCH</v>
          </cell>
          <cell r="AO8" t="str">
            <v>SAM West</v>
          </cell>
          <cell r="AP8" t="str">
            <v>KARACHI</v>
          </cell>
        </row>
        <row r="9">
          <cell r="A9" t="str">
            <v>ISLAMABAD</v>
          </cell>
          <cell r="B9">
            <v>54057127735.389969</v>
          </cell>
          <cell r="C9">
            <v>54579109981.830055</v>
          </cell>
          <cell r="D9">
            <v>54904442887.209923</v>
          </cell>
          <cell r="E9">
            <v>56368629722.839966</v>
          </cell>
          <cell r="F9">
            <v>56353220604.240036</v>
          </cell>
          <cell r="G9">
            <v>56353220604.240067</v>
          </cell>
          <cell r="H9">
            <v>56226679546.519997</v>
          </cell>
          <cell r="Q9">
            <v>6</v>
          </cell>
          <cell r="R9" t="str">
            <v>ODCWorstRegions</v>
          </cell>
          <cell r="S9" t="str">
            <v>LAHORE</v>
          </cell>
          <cell r="T9">
            <v>52324598630.839996</v>
          </cell>
          <cell r="U9">
            <v>-1729339120.7</v>
          </cell>
          <cell r="V9" t="str">
            <v>CA</v>
          </cell>
          <cell r="X9">
            <v>6</v>
          </cell>
          <cell r="Y9" t="str">
            <v>MTDWorstRegions</v>
          </cell>
          <cell r="Z9" t="str">
            <v>LAHORE</v>
          </cell>
          <cell r="AA9">
            <v>52324598630.839996</v>
          </cell>
          <cell r="AB9">
            <v>-1729339120.7</v>
          </cell>
          <cell r="AC9" t="str">
            <v>CA</v>
          </cell>
          <cell r="AE9">
            <v>6</v>
          </cell>
          <cell r="AF9" t="str">
            <v>YTDWorstRegions</v>
          </cell>
          <cell r="AG9" t="str">
            <v>KARACHI</v>
          </cell>
          <cell r="AH9">
            <v>74415871337.110001</v>
          </cell>
          <cell r="AI9">
            <v>-7778800564.4300003</v>
          </cell>
          <cell r="AJ9" t="str">
            <v>CA</v>
          </cell>
          <cell r="AM9">
            <v>12</v>
          </cell>
          <cell r="AN9" t="str">
            <v>KARACHI-ZAMZAMA, BOU</v>
          </cell>
          <cell r="AO9" t="str">
            <v>Defence Housing Society (DHS)</v>
          </cell>
          <cell r="AP9" t="str">
            <v>KARACHI</v>
          </cell>
        </row>
        <row r="10">
          <cell r="A10" t="str">
            <v>KARACHI</v>
          </cell>
          <cell r="B10">
            <v>68731713439.480011</v>
          </cell>
          <cell r="C10">
            <v>68439260868.160049</v>
          </cell>
          <cell r="D10">
            <v>69291696070.099899</v>
          </cell>
          <cell r="E10">
            <v>72710986571.139908</v>
          </cell>
          <cell r="F10">
            <v>69986013481.779861</v>
          </cell>
          <cell r="G10">
            <v>69986013481.780075</v>
          </cell>
          <cell r="H10">
            <v>74415871337.10997</v>
          </cell>
          <cell r="Q10">
            <v>7</v>
          </cell>
          <cell r="R10" t="str">
            <v>ODCWorstRegions</v>
          </cell>
          <cell r="S10" t="str">
            <v>PESHAWAR</v>
          </cell>
          <cell r="T10">
            <v>21906309529.32</v>
          </cell>
          <cell r="U10">
            <v>-934547724.36000001</v>
          </cell>
          <cell r="V10" t="str">
            <v>CA</v>
          </cell>
          <cell r="X10">
            <v>7</v>
          </cell>
          <cell r="Y10" t="str">
            <v>MTDWorstRegions</v>
          </cell>
          <cell r="Z10" t="str">
            <v>PESHAWAR</v>
          </cell>
          <cell r="AA10">
            <v>21906309529.32</v>
          </cell>
          <cell r="AB10">
            <v>-934547724.36000001</v>
          </cell>
          <cell r="AC10" t="str">
            <v>CA</v>
          </cell>
          <cell r="AE10">
            <v>7</v>
          </cell>
          <cell r="AF10" t="str">
            <v>YTDWorstRegions</v>
          </cell>
          <cell r="AG10" t="str">
            <v>ISLAMABAD</v>
          </cell>
          <cell r="AH10">
            <v>56226679546.519997</v>
          </cell>
          <cell r="AI10">
            <v>-5160276232.5100002</v>
          </cell>
          <cell r="AJ10" t="str">
            <v>CA</v>
          </cell>
          <cell r="AM10">
            <v>13</v>
          </cell>
          <cell r="AN10" t="str">
            <v>KARACHI-KHARADAR</v>
          </cell>
          <cell r="AO10" t="str">
            <v>SAM West</v>
          </cell>
          <cell r="AP10" t="str">
            <v>KARACHI</v>
          </cell>
        </row>
        <row r="11">
          <cell r="A11" t="str">
            <v>LAHORE</v>
          </cell>
          <cell r="B11">
            <v>50913452304.080055</v>
          </cell>
          <cell r="C11">
            <v>51040272216.690018</v>
          </cell>
          <cell r="D11">
            <v>51746397413.280083</v>
          </cell>
          <cell r="E11">
            <v>51896228592.920029</v>
          </cell>
          <cell r="F11">
            <v>54056790742.009956</v>
          </cell>
          <cell r="G11">
            <v>54056790742.009926</v>
          </cell>
          <cell r="H11">
            <v>52324598630.839935</v>
          </cell>
          <cell r="Q11">
            <v>8</v>
          </cell>
          <cell r="R11" t="str">
            <v>ODCWorstRegions</v>
          </cell>
          <cell r="S11" t="str">
            <v>SARGODHA</v>
          </cell>
          <cell r="T11">
            <v>11567036433.309999</v>
          </cell>
          <cell r="U11">
            <v>-576038067.66999996</v>
          </cell>
          <cell r="V11" t="str">
            <v>CA</v>
          </cell>
          <cell r="X11">
            <v>8</v>
          </cell>
          <cell r="Y11" t="str">
            <v>MTDWorstRegions</v>
          </cell>
          <cell r="Z11" t="str">
            <v>SARGODHA</v>
          </cell>
          <cell r="AA11">
            <v>11567036433.309999</v>
          </cell>
          <cell r="AB11">
            <v>-576038067.66999996</v>
          </cell>
          <cell r="AC11" t="str">
            <v>CA</v>
          </cell>
          <cell r="AE11">
            <v>8</v>
          </cell>
          <cell r="AF11" t="str">
            <v>YTDWorstRegions</v>
          </cell>
          <cell r="AG11" t="str">
            <v>LAHORE</v>
          </cell>
          <cell r="AH11">
            <v>52324598630.839996</v>
          </cell>
          <cell r="AI11">
            <v>-4553936025.7600002</v>
          </cell>
          <cell r="AJ11" t="str">
            <v>CA</v>
          </cell>
          <cell r="AM11">
            <v>14</v>
          </cell>
          <cell r="AN11" t="str">
            <v>K.D.A. CIVIC CENT, KARACHI</v>
          </cell>
          <cell r="AO11" t="str">
            <v>SAM East</v>
          </cell>
          <cell r="AP11" t="str">
            <v>KARACHI</v>
          </cell>
        </row>
        <row r="12">
          <cell r="A12" t="str">
            <v>MIRPUR</v>
          </cell>
          <cell r="B12">
            <v>8357524974.0500021</v>
          </cell>
          <cell r="C12">
            <v>8381554689.0899954</v>
          </cell>
          <cell r="D12">
            <v>8428069779.880002</v>
          </cell>
          <cell r="E12">
            <v>8408904079.1399994</v>
          </cell>
          <cell r="F12">
            <v>8496031875.5200014</v>
          </cell>
          <cell r="G12">
            <v>8496031875.5199986</v>
          </cell>
          <cell r="H12">
            <v>8517962739.1099949</v>
          </cell>
          <cell r="Q12">
            <v>9</v>
          </cell>
          <cell r="R12" t="str">
            <v>ODCWorstRegions</v>
          </cell>
          <cell r="S12" t="str">
            <v>HYDERABAD</v>
          </cell>
          <cell r="T12">
            <v>10937650403.1</v>
          </cell>
          <cell r="U12">
            <v>-489016993.5</v>
          </cell>
          <cell r="V12" t="str">
            <v>CA</v>
          </cell>
          <cell r="X12">
            <v>9</v>
          </cell>
          <cell r="Y12" t="str">
            <v>MTDWorstRegions</v>
          </cell>
          <cell r="Z12" t="str">
            <v>HYDERABAD</v>
          </cell>
          <cell r="AA12">
            <v>10937650403.1</v>
          </cell>
          <cell r="AB12">
            <v>-489016993.5</v>
          </cell>
          <cell r="AC12" t="str">
            <v>CA</v>
          </cell>
          <cell r="AE12">
            <v>9</v>
          </cell>
          <cell r="AF12" t="str">
            <v>YTDWorstRegions</v>
          </cell>
          <cell r="AG12" t="str">
            <v>MULTAN</v>
          </cell>
          <cell r="AH12">
            <v>18523656608.709999</v>
          </cell>
          <cell r="AI12">
            <v>-3430917670.9200001</v>
          </cell>
          <cell r="AJ12" t="str">
            <v>CA</v>
          </cell>
          <cell r="AM12">
            <v>15</v>
          </cell>
          <cell r="AN12" t="str">
            <v>K.M.C, KARACHI</v>
          </cell>
          <cell r="AO12" t="str">
            <v>SAM West</v>
          </cell>
          <cell r="AP12" t="str">
            <v>KARACHI</v>
          </cell>
        </row>
        <row r="13">
          <cell r="A13" t="str">
            <v>MUZAFFARABAD</v>
          </cell>
          <cell r="B13">
            <v>4400848628.1299982</v>
          </cell>
          <cell r="C13">
            <v>4406444145.0200062</v>
          </cell>
          <cell r="D13">
            <v>4446833555.8500013</v>
          </cell>
          <cell r="E13">
            <v>4403195946.920001</v>
          </cell>
          <cell r="F13">
            <v>4402356514.5400009</v>
          </cell>
          <cell r="G13">
            <v>4402356514.5400009</v>
          </cell>
          <cell r="H13">
            <v>4392772064.8899975</v>
          </cell>
          <cell r="Q13">
            <v>10</v>
          </cell>
          <cell r="R13" t="str">
            <v>ODCWorstRegions</v>
          </cell>
          <cell r="S13" t="str">
            <v>MARDAN</v>
          </cell>
          <cell r="T13">
            <v>26655967496.27</v>
          </cell>
          <cell r="U13">
            <v>-457539519.75999999</v>
          </cell>
          <cell r="V13" t="str">
            <v>CA</v>
          </cell>
          <cell r="X13">
            <v>10</v>
          </cell>
          <cell r="Y13" t="str">
            <v>MTDWorstRegions</v>
          </cell>
          <cell r="Z13" t="str">
            <v>MARDAN</v>
          </cell>
          <cell r="AA13">
            <v>26655967496.27</v>
          </cell>
          <cell r="AB13">
            <v>-457539519.75999999</v>
          </cell>
          <cell r="AC13" t="str">
            <v>CA</v>
          </cell>
          <cell r="AE13">
            <v>10</v>
          </cell>
          <cell r="AF13" t="str">
            <v>YTDWorstRegions</v>
          </cell>
          <cell r="AG13" t="str">
            <v>HYDERABAD</v>
          </cell>
          <cell r="AH13">
            <v>10937650403.1</v>
          </cell>
          <cell r="AI13">
            <v>-2472279310.3000002</v>
          </cell>
          <cell r="AJ13" t="str">
            <v>CA</v>
          </cell>
          <cell r="AM13">
            <v>17</v>
          </cell>
          <cell r="AN13" t="str">
            <v>NEW TOWN, KARACHI</v>
          </cell>
          <cell r="AO13" t="str">
            <v>Garden</v>
          </cell>
          <cell r="AP13" t="str">
            <v>KARACHI</v>
          </cell>
        </row>
        <row r="14">
          <cell r="A14" t="str">
            <v>PESHAWAR</v>
          </cell>
          <cell r="B14">
            <v>21364424957.400024</v>
          </cell>
          <cell r="C14">
            <v>21062163629.180016</v>
          </cell>
          <cell r="D14">
            <v>21280750523.870014</v>
          </cell>
          <cell r="E14">
            <v>22628580433.970032</v>
          </cell>
          <cell r="F14">
            <v>22840959138.970005</v>
          </cell>
          <cell r="G14">
            <v>22840959138.970032</v>
          </cell>
          <cell r="H14">
            <v>21906309529.32</v>
          </cell>
          <cell r="Q14">
            <v>11</v>
          </cell>
          <cell r="R14" t="str">
            <v>ODCBestAreas</v>
          </cell>
          <cell r="S14" t="str">
            <v>Independent Branch</v>
          </cell>
          <cell r="T14">
            <v>5341864047.8199997</v>
          </cell>
          <cell r="U14">
            <v>3117206612.8000002</v>
          </cell>
          <cell r="V14" t="str">
            <v>CA</v>
          </cell>
          <cell r="X14">
            <v>11</v>
          </cell>
          <cell r="Y14" t="str">
            <v>MTDBestAreas</v>
          </cell>
          <cell r="Z14" t="str">
            <v>Independent Branch</v>
          </cell>
          <cell r="AA14">
            <v>5341864047.8199997</v>
          </cell>
          <cell r="AB14">
            <v>3117206612.8000002</v>
          </cell>
          <cell r="AC14" t="str">
            <v>CA</v>
          </cell>
          <cell r="AE14">
            <v>11</v>
          </cell>
          <cell r="AF14" t="str">
            <v>YTDBestAreas</v>
          </cell>
          <cell r="AG14" t="str">
            <v>Independent Branch</v>
          </cell>
          <cell r="AH14">
            <v>5341864047.8199997</v>
          </cell>
          <cell r="AI14">
            <v>595022045.91999996</v>
          </cell>
          <cell r="AJ14" t="str">
            <v>CA</v>
          </cell>
          <cell r="AM14">
            <v>18</v>
          </cell>
          <cell r="AN14" t="str">
            <v>KUTCHERY ROAD, KARACHI</v>
          </cell>
          <cell r="AO14" t="str">
            <v>SAM West</v>
          </cell>
          <cell r="AP14" t="str">
            <v>KARACHI</v>
          </cell>
        </row>
        <row r="15">
          <cell r="A15" t="str">
            <v>QUETTA</v>
          </cell>
          <cell r="B15">
            <v>9639756213.9499989</v>
          </cell>
          <cell r="C15">
            <v>9818788022.9099998</v>
          </cell>
          <cell r="D15">
            <v>9725114462.7300034</v>
          </cell>
          <cell r="E15">
            <v>10362192917.770004</v>
          </cell>
          <cell r="F15">
            <v>10338212803.039995</v>
          </cell>
          <cell r="G15">
            <v>10338212803.040007</v>
          </cell>
          <cell r="H15">
            <v>9987682351.7899952</v>
          </cell>
          <cell r="Q15">
            <v>12</v>
          </cell>
          <cell r="R15" t="str">
            <v>ODCBestAreas</v>
          </cell>
          <cell r="S15" t="str">
            <v>SAM South</v>
          </cell>
          <cell r="T15">
            <v>11894666712.860001</v>
          </cell>
          <cell r="U15">
            <v>1881131543.3900001</v>
          </cell>
          <cell r="V15" t="str">
            <v>CA</v>
          </cell>
          <cell r="X15">
            <v>12</v>
          </cell>
          <cell r="Y15" t="str">
            <v>MTDBestAreas</v>
          </cell>
          <cell r="Z15" t="str">
            <v>SAM South</v>
          </cell>
          <cell r="AA15">
            <v>11894666712.860001</v>
          </cell>
          <cell r="AB15">
            <v>1881131543.3900001</v>
          </cell>
          <cell r="AC15" t="str">
            <v>CA</v>
          </cell>
          <cell r="AE15">
            <v>12</v>
          </cell>
          <cell r="AF15" t="str">
            <v>YTDBestAreas</v>
          </cell>
          <cell r="AG15" t="str">
            <v>Shahi Road Ryk</v>
          </cell>
          <cell r="AH15">
            <v>4119150447.1300001</v>
          </cell>
          <cell r="AI15">
            <v>465667402.42000002</v>
          </cell>
          <cell r="AJ15" t="str">
            <v>CA</v>
          </cell>
          <cell r="AM15">
            <v>19</v>
          </cell>
          <cell r="AN15" t="str">
            <v>KARACHI-LANDHI INDUSTRIAL AREA</v>
          </cell>
          <cell r="AO15" t="str">
            <v>Korangi</v>
          </cell>
          <cell r="AP15" t="str">
            <v>KARACHI</v>
          </cell>
        </row>
        <row r="16">
          <cell r="A16" t="str">
            <v>SAHIWAL</v>
          </cell>
          <cell r="B16">
            <v>13791329059.270014</v>
          </cell>
          <cell r="C16">
            <v>13743962626.430012</v>
          </cell>
          <cell r="D16">
            <v>13762108955.670012</v>
          </cell>
          <cell r="E16">
            <v>13832466853.040003</v>
          </cell>
          <cell r="F16">
            <v>13893618236.760027</v>
          </cell>
          <cell r="G16">
            <v>13893618236.760012</v>
          </cell>
          <cell r="H16">
            <v>14524849467.439999</v>
          </cell>
          <cell r="Q16">
            <v>13</v>
          </cell>
          <cell r="R16" t="str">
            <v>ODCBestAreas</v>
          </cell>
          <cell r="S16" t="str">
            <v>Cantt Multan</v>
          </cell>
          <cell r="T16">
            <v>3908913718.5599999</v>
          </cell>
          <cell r="U16">
            <v>556710243.29999995</v>
          </cell>
          <cell r="V16" t="str">
            <v>CA</v>
          </cell>
          <cell r="X16">
            <v>13</v>
          </cell>
          <cell r="Y16" t="str">
            <v>MTDBestAreas</v>
          </cell>
          <cell r="Z16" t="str">
            <v>Cantt Multan</v>
          </cell>
          <cell r="AA16">
            <v>3908913718.5599999</v>
          </cell>
          <cell r="AB16">
            <v>556710243.29999995</v>
          </cell>
          <cell r="AC16" t="str">
            <v>CA</v>
          </cell>
          <cell r="AE16">
            <v>13</v>
          </cell>
          <cell r="AF16" t="str">
            <v>YTDBestAreas</v>
          </cell>
          <cell r="AG16" t="str">
            <v>D.I. Khan</v>
          </cell>
          <cell r="AH16">
            <v>3407416494.1799998</v>
          </cell>
          <cell r="AI16">
            <v>206933410.06999999</v>
          </cell>
          <cell r="AJ16" t="str">
            <v>CA</v>
          </cell>
          <cell r="AM16">
            <v>20</v>
          </cell>
          <cell r="AN16" t="str">
            <v>LIAQUATABAD, KARACHI</v>
          </cell>
          <cell r="AO16" t="str">
            <v>F.B. Area</v>
          </cell>
          <cell r="AP16" t="str">
            <v>KARACHI</v>
          </cell>
        </row>
        <row r="17">
          <cell r="A17" t="str">
            <v>SIALKOT</v>
          </cell>
          <cell r="B17">
            <v>12714121779.18</v>
          </cell>
          <cell r="C17">
            <v>12764722509.23</v>
          </cell>
          <cell r="D17">
            <v>12788802653.540007</v>
          </cell>
          <cell r="E17">
            <v>13134496638.640001</v>
          </cell>
          <cell r="F17">
            <v>13256521486.300016</v>
          </cell>
          <cell r="G17">
            <v>13256521486.300009</v>
          </cell>
          <cell r="H17">
            <v>13186651436.630016</v>
          </cell>
          <cell r="Q17">
            <v>14</v>
          </cell>
          <cell r="R17" t="str">
            <v>ODCBestAreas</v>
          </cell>
          <cell r="S17" t="str">
            <v>SAM II</v>
          </cell>
          <cell r="T17">
            <v>6425136554.71</v>
          </cell>
          <cell r="U17">
            <v>410103875.76999998</v>
          </cell>
          <cell r="V17" t="str">
            <v>CA</v>
          </cell>
          <cell r="X17">
            <v>14</v>
          </cell>
          <cell r="Y17" t="str">
            <v>MTDBestAreas</v>
          </cell>
          <cell r="Z17" t="str">
            <v>SAM II</v>
          </cell>
          <cell r="AA17">
            <v>6425136554.71</v>
          </cell>
          <cell r="AB17">
            <v>410103875.76999998</v>
          </cell>
          <cell r="AC17" t="str">
            <v>CA</v>
          </cell>
          <cell r="AE17">
            <v>14</v>
          </cell>
          <cell r="AF17" t="str">
            <v>YTDBestAreas</v>
          </cell>
          <cell r="AG17" t="str">
            <v>JOHAR TOWN</v>
          </cell>
          <cell r="AH17">
            <v>3480795413.6900001</v>
          </cell>
          <cell r="AI17">
            <v>197988946.93000001</v>
          </cell>
          <cell r="AJ17" t="str">
            <v>CA</v>
          </cell>
          <cell r="AM17">
            <v>22</v>
          </cell>
          <cell r="AN17" t="str">
            <v>MARRIOT ROAD, KARACHI</v>
          </cell>
          <cell r="AO17" t="str">
            <v>SAM West</v>
          </cell>
          <cell r="AP17" t="str">
            <v>KARACHI</v>
          </cell>
        </row>
        <row r="18">
          <cell r="A18" t="str">
            <v>HYDERABAD</v>
          </cell>
          <cell r="B18">
            <v>10780897646.450003</v>
          </cell>
          <cell r="C18">
            <v>10741385442.070005</v>
          </cell>
          <cell r="D18">
            <v>11164311566.950006</v>
          </cell>
          <cell r="E18">
            <v>11389010337.100012</v>
          </cell>
          <cell r="F18">
            <v>11426667396.600004</v>
          </cell>
          <cell r="G18">
            <v>11426667396.600002</v>
          </cell>
          <cell r="H18">
            <v>10937650403.100014</v>
          </cell>
          <cell r="Q18">
            <v>15</v>
          </cell>
          <cell r="R18" t="str">
            <v>ODCBestAreas</v>
          </cell>
          <cell r="S18" t="str">
            <v>Chaklala</v>
          </cell>
          <cell r="T18">
            <v>5630880953.6499996</v>
          </cell>
          <cell r="U18">
            <v>409837112.58999997</v>
          </cell>
          <cell r="V18" t="str">
            <v>CA</v>
          </cell>
          <cell r="X18">
            <v>15</v>
          </cell>
          <cell r="Y18" t="str">
            <v>MTDBestAreas</v>
          </cell>
          <cell r="Z18" t="str">
            <v>Chaklala</v>
          </cell>
          <cell r="AA18">
            <v>5630880953.6499996</v>
          </cell>
          <cell r="AB18">
            <v>409837112.58999997</v>
          </cell>
          <cell r="AC18" t="str">
            <v>CA</v>
          </cell>
          <cell r="AE18">
            <v>15</v>
          </cell>
          <cell r="AF18" t="str">
            <v>YTDBestAreas</v>
          </cell>
          <cell r="AG18" t="str">
            <v>Dadyal</v>
          </cell>
          <cell r="AH18">
            <v>1308579518.5</v>
          </cell>
          <cell r="AI18">
            <v>137287950.66999999</v>
          </cell>
          <cell r="AJ18" t="str">
            <v>CA</v>
          </cell>
          <cell r="AM18">
            <v>24</v>
          </cell>
          <cell r="AN18" t="str">
            <v>NAZIMABAD, KARACHI</v>
          </cell>
          <cell r="AO18" t="str">
            <v>SAM North</v>
          </cell>
          <cell r="AP18" t="str">
            <v>KARACHI</v>
          </cell>
        </row>
        <row r="19">
          <cell r="A19" t="str">
            <v>JHELUM</v>
          </cell>
          <cell r="B19">
            <v>8356165968.5900049</v>
          </cell>
          <cell r="C19">
            <v>8449226666.0700083</v>
          </cell>
          <cell r="D19">
            <v>8437660686.9900026</v>
          </cell>
          <cell r="E19">
            <v>8506386506.0800018</v>
          </cell>
          <cell r="F19">
            <v>8528068080.9900007</v>
          </cell>
          <cell r="G19">
            <v>8528068080.9900045</v>
          </cell>
          <cell r="H19">
            <v>8559306913.7000046</v>
          </cell>
          <cell r="Q19">
            <v>16</v>
          </cell>
          <cell r="R19" t="str">
            <v>ODCWorstArea</v>
          </cell>
          <cell r="S19" t="str">
            <v>Peshawar Cantonment</v>
          </cell>
          <cell r="T19">
            <v>4288844011.9099998</v>
          </cell>
          <cell r="U19">
            <v>-694179405.48000002</v>
          </cell>
          <cell r="V19" t="str">
            <v>CA</v>
          </cell>
          <cell r="X19">
            <v>16</v>
          </cell>
          <cell r="Y19" t="str">
            <v>MTDWorstArea</v>
          </cell>
          <cell r="Z19" t="str">
            <v>Peshawar Cantonment</v>
          </cell>
          <cell r="AA19">
            <v>4288844011.9099998</v>
          </cell>
          <cell r="AB19">
            <v>-694179405.48000002</v>
          </cell>
          <cell r="AC19" t="str">
            <v>CA</v>
          </cell>
          <cell r="AE19">
            <v>16</v>
          </cell>
          <cell r="AF19" t="str">
            <v>YTDWorstArea</v>
          </cell>
          <cell r="AG19" t="str">
            <v>SAM South</v>
          </cell>
          <cell r="AH19">
            <v>11894666712.860001</v>
          </cell>
          <cell r="AI19">
            <v>-5311626356.8800001</v>
          </cell>
          <cell r="AJ19" t="str">
            <v>CA</v>
          </cell>
          <cell r="AM19">
            <v>25</v>
          </cell>
          <cell r="AN19" t="str">
            <v>NEW CHALLI</v>
          </cell>
          <cell r="AO19" t="str">
            <v>SAM West</v>
          </cell>
          <cell r="AP19" t="str">
            <v>KARACHI</v>
          </cell>
        </row>
        <row r="20">
          <cell r="A20" t="str">
            <v>MARDAN</v>
          </cell>
          <cell r="B20">
            <v>25856141563.940014</v>
          </cell>
          <cell r="C20">
            <v>25888173525.899994</v>
          </cell>
          <cell r="D20">
            <v>25937828242.490002</v>
          </cell>
          <cell r="E20">
            <v>27017087528.09</v>
          </cell>
          <cell r="F20">
            <v>27113721763.010017</v>
          </cell>
          <cell r="G20">
            <v>27113721763.010002</v>
          </cell>
          <cell r="H20">
            <v>26655967496.270008</v>
          </cell>
          <cell r="Q20">
            <v>17</v>
          </cell>
          <cell r="R20" t="str">
            <v>ODCWorstArea</v>
          </cell>
          <cell r="S20" t="str">
            <v>CDA</v>
          </cell>
          <cell r="T20">
            <v>4831757339.7600002</v>
          </cell>
          <cell r="U20">
            <v>-626733814.09000003</v>
          </cell>
          <cell r="V20" t="str">
            <v>CA</v>
          </cell>
          <cell r="X20">
            <v>17</v>
          </cell>
          <cell r="Y20" t="str">
            <v>MTDWorstArea</v>
          </cell>
          <cell r="Z20" t="str">
            <v>CDA</v>
          </cell>
          <cell r="AA20">
            <v>4831757339.7600002</v>
          </cell>
          <cell r="AB20">
            <v>-626733814.09000003</v>
          </cell>
          <cell r="AC20" t="str">
            <v>CA</v>
          </cell>
          <cell r="AE20">
            <v>17</v>
          </cell>
          <cell r="AF20" t="str">
            <v>YTDWorstArea</v>
          </cell>
          <cell r="AG20" t="str">
            <v>CDA</v>
          </cell>
          <cell r="AH20">
            <v>4831757339.7600002</v>
          </cell>
          <cell r="AI20">
            <v>-2053520598.26</v>
          </cell>
          <cell r="AJ20" t="str">
            <v>CA</v>
          </cell>
          <cell r="AM20">
            <v>27</v>
          </cell>
          <cell r="AN20" t="str">
            <v>NURSERY, KARACHI</v>
          </cell>
          <cell r="AO20" t="str">
            <v>SAM East</v>
          </cell>
          <cell r="AP20" t="str">
            <v>KARACHI</v>
          </cell>
        </row>
        <row r="21">
          <cell r="A21" t="str">
            <v>MULTAN</v>
          </cell>
          <cell r="B21">
            <v>17434001930.770004</v>
          </cell>
          <cell r="C21">
            <v>17691770655.610004</v>
          </cell>
          <cell r="D21">
            <v>17607117415.359997</v>
          </cell>
          <cell r="E21">
            <v>18137617252.900005</v>
          </cell>
          <cell r="F21">
            <v>18830529700.349995</v>
          </cell>
          <cell r="G21">
            <v>18830529700.350006</v>
          </cell>
          <cell r="H21">
            <v>18523656608.710007</v>
          </cell>
          <cell r="Q21">
            <v>18</v>
          </cell>
          <cell r="R21" t="str">
            <v>ODCWorstArea</v>
          </cell>
          <cell r="S21" t="str">
            <v>SAM MALL</v>
          </cell>
          <cell r="T21">
            <v>5945572152.1800003</v>
          </cell>
          <cell r="U21">
            <v>-503932680.94</v>
          </cell>
          <cell r="V21" t="str">
            <v>CA</v>
          </cell>
          <cell r="X21">
            <v>18</v>
          </cell>
          <cell r="Y21" t="str">
            <v>MTDWorstArea</v>
          </cell>
          <cell r="Z21" t="str">
            <v>SAM MALL</v>
          </cell>
          <cell r="AA21">
            <v>5945572152.1800003</v>
          </cell>
          <cell r="AB21">
            <v>-503932680.94</v>
          </cell>
          <cell r="AC21" t="str">
            <v>CA</v>
          </cell>
          <cell r="AE21">
            <v>18</v>
          </cell>
          <cell r="AF21" t="str">
            <v>YTDWorstArea</v>
          </cell>
          <cell r="AG21" t="str">
            <v>SAM MALL</v>
          </cell>
          <cell r="AH21">
            <v>5945572152.1800003</v>
          </cell>
          <cell r="AI21">
            <v>-1653925378.01</v>
          </cell>
          <cell r="AJ21" t="str">
            <v>CA</v>
          </cell>
          <cell r="AM21">
            <v>28</v>
          </cell>
          <cell r="AN21" t="str">
            <v>P.A.F. SHAHRAH-E-FAISAL, KARACHI</v>
          </cell>
          <cell r="AO21" t="str">
            <v>SAM East</v>
          </cell>
          <cell r="AP21" t="str">
            <v>KARACHI</v>
          </cell>
        </row>
        <row r="22">
          <cell r="A22" t="str">
            <v>SARGODHA</v>
          </cell>
          <cell r="B22">
            <v>11247533820.350018</v>
          </cell>
          <cell r="C22">
            <v>11409423218.009983</v>
          </cell>
          <cell r="D22">
            <v>11431827249.219995</v>
          </cell>
          <cell r="E22">
            <v>11778323636.179987</v>
          </cell>
          <cell r="F22">
            <v>12143135042.640005</v>
          </cell>
          <cell r="G22">
            <v>12143135042.639997</v>
          </cell>
          <cell r="H22">
            <v>11567036433.309998</v>
          </cell>
          <cell r="Q22">
            <v>19</v>
          </cell>
          <cell r="R22" t="str">
            <v>ODCWorstArea</v>
          </cell>
          <cell r="S22" t="str">
            <v>Saddar</v>
          </cell>
          <cell r="T22">
            <v>3260762819.5700002</v>
          </cell>
          <cell r="U22">
            <v>-417591395.29000002</v>
          </cell>
          <cell r="V22" t="str">
            <v>CA</v>
          </cell>
          <cell r="X22">
            <v>19</v>
          </cell>
          <cell r="Y22" t="str">
            <v>MTDWorstArea</v>
          </cell>
          <cell r="Z22" t="str">
            <v>Saddar</v>
          </cell>
          <cell r="AA22">
            <v>3260762819.5700002</v>
          </cell>
          <cell r="AB22">
            <v>-417591395.29000002</v>
          </cell>
          <cell r="AC22" t="str">
            <v>CA</v>
          </cell>
          <cell r="AE22">
            <v>19</v>
          </cell>
          <cell r="AF22" t="str">
            <v>YTDWorstArea</v>
          </cell>
          <cell r="AG22" t="str">
            <v>SAM West</v>
          </cell>
          <cell r="AH22">
            <v>5640741780.4399996</v>
          </cell>
          <cell r="AI22">
            <v>-1459997647.5799999</v>
          </cell>
          <cell r="AJ22" t="str">
            <v>CA</v>
          </cell>
          <cell r="AM22">
            <v>29</v>
          </cell>
          <cell r="AN22" t="str">
            <v>KARACHI-P.I.B.  COLO</v>
          </cell>
          <cell r="AO22" t="str">
            <v>Johar</v>
          </cell>
          <cell r="AP22" t="str">
            <v>KARACHI</v>
          </cell>
        </row>
        <row r="23">
          <cell r="A23" t="str">
            <v>SUKKUR</v>
          </cell>
          <cell r="B23">
            <v>6531209617.3300056</v>
          </cell>
          <cell r="C23">
            <v>6511765454.2699986</v>
          </cell>
          <cell r="D23">
            <v>6848715615.6400023</v>
          </cell>
          <cell r="E23">
            <v>7057839451.829999</v>
          </cell>
          <cell r="F23">
            <v>7058915800.9200001</v>
          </cell>
          <cell r="G23">
            <v>7058915800.9199972</v>
          </cell>
          <cell r="H23">
            <v>6755241216.2499952</v>
          </cell>
          <cell r="Q23">
            <v>20</v>
          </cell>
          <cell r="R23" t="str">
            <v>ODCWorstArea</v>
          </cell>
          <cell r="S23" t="str">
            <v>Hussain Agahi Multan</v>
          </cell>
          <cell r="T23">
            <v>3848823992.8800001</v>
          </cell>
          <cell r="U23">
            <v>-310082590.70999998</v>
          </cell>
          <cell r="V23" t="str">
            <v>CA</v>
          </cell>
          <cell r="X23">
            <v>20</v>
          </cell>
          <cell r="Y23" t="str">
            <v>MTDWorstArea</v>
          </cell>
          <cell r="Z23" t="str">
            <v>Hussain Agahi Multan</v>
          </cell>
          <cell r="AA23">
            <v>3848823992.8800001</v>
          </cell>
          <cell r="AB23">
            <v>-310082590.70999998</v>
          </cell>
          <cell r="AC23" t="str">
            <v>CA</v>
          </cell>
          <cell r="AE23">
            <v>20</v>
          </cell>
          <cell r="AF23" t="str">
            <v>YTDWorstArea</v>
          </cell>
          <cell r="AG23" t="str">
            <v>SAM II</v>
          </cell>
          <cell r="AH23">
            <v>6425136554.71</v>
          </cell>
          <cell r="AI23">
            <v>-1252969894.6099999</v>
          </cell>
          <cell r="AJ23" t="str">
            <v>CA</v>
          </cell>
          <cell r="AM23">
            <v>31</v>
          </cell>
          <cell r="AN23" t="str">
            <v>RAMPART ROW, KARACHI</v>
          </cell>
          <cell r="AO23" t="str">
            <v>SAM West</v>
          </cell>
          <cell r="AP23" t="str">
            <v>KARACHI</v>
          </cell>
        </row>
        <row r="24">
          <cell r="A24" t="str">
            <v>Total Distribution</v>
          </cell>
          <cell r="B24">
            <v>385282472465.44019</v>
          </cell>
          <cell r="C24">
            <v>386019436840.00012</v>
          </cell>
          <cell r="D24">
            <v>389218806561.52991</v>
          </cell>
          <cell r="E24">
            <v>400510081539.71008</v>
          </cell>
          <cell r="F24">
            <v>402376061214.59979</v>
          </cell>
          <cell r="G24">
            <v>402376061214.60004</v>
          </cell>
          <cell r="H24">
            <v>401987579574.98999</v>
          </cell>
          <cell r="I24" t="b">
            <v>1</v>
          </cell>
          <cell r="Q24">
            <v>21</v>
          </cell>
          <cell r="R24" t="str">
            <v>ODCBestBranches</v>
          </cell>
          <cell r="S24" t="str">
            <v>STATE LIFE, KARACHI</v>
          </cell>
          <cell r="T24">
            <v>5341864047.8199997</v>
          </cell>
          <cell r="U24">
            <v>3117206612.8000002</v>
          </cell>
          <cell r="V24" t="str">
            <v>CA</v>
          </cell>
          <cell r="X24">
            <v>21</v>
          </cell>
          <cell r="Y24" t="str">
            <v>MTDBestBranches</v>
          </cell>
          <cell r="Z24" t="str">
            <v>STATE LIFE, KARACHI</v>
          </cell>
          <cell r="AA24">
            <v>5341864047.8199997</v>
          </cell>
          <cell r="AB24">
            <v>3117206612.8000002</v>
          </cell>
          <cell r="AC24" t="str">
            <v>CA</v>
          </cell>
          <cell r="AE24">
            <v>21</v>
          </cell>
          <cell r="AF24" t="str">
            <v>YTDBestBranches</v>
          </cell>
          <cell r="AG24" t="str">
            <v>CENTAURUS MALL BR</v>
          </cell>
          <cell r="AH24">
            <v>1335568168.4300001</v>
          </cell>
          <cell r="AI24">
            <v>945982963.84000003</v>
          </cell>
          <cell r="AJ24" t="str">
            <v>CA</v>
          </cell>
          <cell r="AM24">
            <v>34</v>
          </cell>
          <cell r="AN24" t="str">
            <v>S.D.V., KARACHI</v>
          </cell>
          <cell r="AO24" t="str">
            <v>SAM West</v>
          </cell>
          <cell r="AP24" t="str">
            <v>KARACHI</v>
          </cell>
        </row>
        <row r="25">
          <cell r="Q25">
            <v>22</v>
          </cell>
          <cell r="R25" t="str">
            <v>ODCBestBranches</v>
          </cell>
          <cell r="S25" t="str">
            <v>BAHRIA ICON KARACHI</v>
          </cell>
          <cell r="T25">
            <v>3115551417.4200001</v>
          </cell>
          <cell r="U25">
            <v>2967445189.3499999</v>
          </cell>
          <cell r="V25" t="str">
            <v>CA</v>
          </cell>
          <cell r="X25">
            <v>22</v>
          </cell>
          <cell r="Y25" t="str">
            <v>MTDBestBranches</v>
          </cell>
          <cell r="Z25" t="str">
            <v>BAHRIA ICON KARACHI</v>
          </cell>
          <cell r="AA25">
            <v>3115551417.4200001</v>
          </cell>
          <cell r="AB25">
            <v>2967445189.3499999</v>
          </cell>
          <cell r="AC25" t="str">
            <v>CA</v>
          </cell>
          <cell r="AE25">
            <v>22</v>
          </cell>
          <cell r="AF25" t="str">
            <v>YTDBestBranches</v>
          </cell>
          <cell r="AG25" t="str">
            <v>SHAHEED-E-MILLAT RD, KARACHI</v>
          </cell>
          <cell r="AH25">
            <v>1823650991.9400001</v>
          </cell>
          <cell r="AI25">
            <v>737296589.11000001</v>
          </cell>
          <cell r="AJ25" t="str">
            <v>CA</v>
          </cell>
          <cell r="AM25">
            <v>39</v>
          </cell>
          <cell r="AN25" t="str">
            <v>TIMBER MARKET, KARACHI</v>
          </cell>
          <cell r="AO25" t="str">
            <v>SAM West</v>
          </cell>
          <cell r="AP25" t="str">
            <v>KARACHI</v>
          </cell>
        </row>
        <row r="26">
          <cell r="Q26">
            <v>23</v>
          </cell>
          <cell r="R26" t="str">
            <v>ODCBestBranches</v>
          </cell>
          <cell r="S26" t="str">
            <v>CANTONMENT, MULTAN</v>
          </cell>
          <cell r="T26">
            <v>1407670011.9300001</v>
          </cell>
          <cell r="U26">
            <v>546175708.82000005</v>
          </cell>
          <cell r="V26" t="str">
            <v>CA</v>
          </cell>
          <cell r="X26">
            <v>23</v>
          </cell>
          <cell r="Y26" t="str">
            <v>MTDBestBranches</v>
          </cell>
          <cell r="Z26" t="str">
            <v>CANTONMENT, MULTAN</v>
          </cell>
          <cell r="AA26">
            <v>1407670011.9300001</v>
          </cell>
          <cell r="AB26">
            <v>546175708.82000005</v>
          </cell>
          <cell r="AC26" t="str">
            <v>CA</v>
          </cell>
          <cell r="AE26">
            <v>23</v>
          </cell>
          <cell r="AF26" t="str">
            <v>YTDBestBranches</v>
          </cell>
          <cell r="AG26" t="str">
            <v>STATE LIFE, KARACHI</v>
          </cell>
          <cell r="AH26">
            <v>5341864047.8199997</v>
          </cell>
          <cell r="AI26">
            <v>595022045.91999996</v>
          </cell>
          <cell r="AJ26" t="str">
            <v>CA</v>
          </cell>
          <cell r="AM26">
            <v>40</v>
          </cell>
          <cell r="AN26" t="str">
            <v>WEST WHARF, KARACHI</v>
          </cell>
          <cell r="AO26" t="str">
            <v>Plaza</v>
          </cell>
          <cell r="AP26" t="str">
            <v>KARACHI</v>
          </cell>
        </row>
        <row r="27">
          <cell r="Q27">
            <v>24</v>
          </cell>
          <cell r="R27" t="str">
            <v>ODCBestBranches</v>
          </cell>
          <cell r="S27" t="str">
            <v>Kutchery Chowk Branch</v>
          </cell>
          <cell r="T27">
            <v>1256492321.8299999</v>
          </cell>
          <cell r="U27">
            <v>446828579.12</v>
          </cell>
          <cell r="V27" t="str">
            <v>CA</v>
          </cell>
          <cell r="X27">
            <v>24</v>
          </cell>
          <cell r="Y27" t="str">
            <v>MTDBestBranches</v>
          </cell>
          <cell r="Z27" t="str">
            <v>Kutchery Chowk Branch</v>
          </cell>
          <cell r="AA27">
            <v>1256492321.8299999</v>
          </cell>
          <cell r="AB27">
            <v>446828579.12</v>
          </cell>
          <cell r="AC27" t="str">
            <v>CA</v>
          </cell>
          <cell r="AE27">
            <v>24</v>
          </cell>
          <cell r="AF27" t="str">
            <v>YTDBestBranches</v>
          </cell>
          <cell r="AG27" t="str">
            <v>QISSA KHAWANI BAZAR, PESHAWAR.</v>
          </cell>
          <cell r="AH27">
            <v>804987852.82000005</v>
          </cell>
          <cell r="AI27">
            <v>480520109.27999997</v>
          </cell>
          <cell r="AJ27" t="str">
            <v>CA</v>
          </cell>
          <cell r="AM27">
            <v>42</v>
          </cell>
          <cell r="AN27" t="str">
            <v>STATE LIFE, KARACHI</v>
          </cell>
          <cell r="AO27" t="str">
            <v>Independent Branch</v>
          </cell>
          <cell r="AP27" t="str">
            <v>KARACHI</v>
          </cell>
        </row>
        <row r="28">
          <cell r="Q28">
            <v>25</v>
          </cell>
          <cell r="R28" t="str">
            <v>ODCBestBranches</v>
          </cell>
          <cell r="S28" t="str">
            <v>JINNAH CHOWK, SAHIWAL</v>
          </cell>
          <cell r="T28">
            <v>720512876.78999996</v>
          </cell>
          <cell r="U28">
            <v>330558635.30000001</v>
          </cell>
          <cell r="V28" t="str">
            <v>CA</v>
          </cell>
          <cell r="X28">
            <v>25</v>
          </cell>
          <cell r="Y28" t="str">
            <v>MTDBestBranches</v>
          </cell>
          <cell r="Z28" t="str">
            <v>JINNAH CHOWK, SAHIWAL</v>
          </cell>
          <cell r="AA28">
            <v>720512876.78999996</v>
          </cell>
          <cell r="AB28">
            <v>330558635.30000001</v>
          </cell>
          <cell r="AC28" t="str">
            <v>CA</v>
          </cell>
          <cell r="AE28">
            <v>25</v>
          </cell>
          <cell r="AF28" t="str">
            <v>YTDBestBranches</v>
          </cell>
          <cell r="AG28" t="str">
            <v>ISLAMABAD-F-6   SUPE</v>
          </cell>
          <cell r="AH28">
            <v>1536365483.1300001</v>
          </cell>
          <cell r="AI28">
            <v>285278280.5</v>
          </cell>
          <cell r="AJ28" t="str">
            <v>CA</v>
          </cell>
          <cell r="AM28">
            <v>43</v>
          </cell>
          <cell r="AN28" t="str">
            <v>CLUB ROAD, KARACHI</v>
          </cell>
          <cell r="AO28" t="str">
            <v>Saddar</v>
          </cell>
          <cell r="AP28" t="str">
            <v>KARACHI</v>
          </cell>
        </row>
        <row r="29">
          <cell r="Q29">
            <v>26</v>
          </cell>
          <cell r="R29" t="str">
            <v>ODCWorstBranches</v>
          </cell>
          <cell r="S29" t="str">
            <v>SIND SECRETARIATE, KARACHI</v>
          </cell>
          <cell r="T29">
            <v>344793484.54000002</v>
          </cell>
          <cell r="U29">
            <v>-1113413571</v>
          </cell>
          <cell r="V29" t="str">
            <v>CA</v>
          </cell>
          <cell r="X29">
            <v>26</v>
          </cell>
          <cell r="Y29" t="str">
            <v>MTDWorstBranches</v>
          </cell>
          <cell r="Z29" t="str">
            <v>SIND SECRETARIATE, KARACHI</v>
          </cell>
          <cell r="AA29">
            <v>344793484.54000002</v>
          </cell>
          <cell r="AB29">
            <v>-1113413571</v>
          </cell>
          <cell r="AC29" t="str">
            <v>CA</v>
          </cell>
          <cell r="AE29">
            <v>26</v>
          </cell>
          <cell r="AF29" t="str">
            <v>YTDWorstBranches</v>
          </cell>
          <cell r="AG29" t="str">
            <v>HIGH COURT, KARACHI</v>
          </cell>
          <cell r="AH29">
            <v>1593228673.02</v>
          </cell>
          <cell r="AI29">
            <v>-2935738118.9099998</v>
          </cell>
          <cell r="AJ29" t="str">
            <v>CA</v>
          </cell>
          <cell r="AM29">
            <v>44</v>
          </cell>
          <cell r="AN29" t="str">
            <v>ELPHINSTONE STREET, KARACHI</v>
          </cell>
          <cell r="AO29" t="str">
            <v>Saddar</v>
          </cell>
          <cell r="AP29" t="str">
            <v>KARACHI</v>
          </cell>
        </row>
        <row r="30">
          <cell r="Q30">
            <v>27</v>
          </cell>
          <cell r="R30" t="str">
            <v>ODCWorstBranches</v>
          </cell>
          <cell r="S30" t="str">
            <v>PESHAWAR CANTT.</v>
          </cell>
          <cell r="T30">
            <v>735659241.51999998</v>
          </cell>
          <cell r="U30">
            <v>-798668389.65999997</v>
          </cell>
          <cell r="V30" t="str">
            <v>CA</v>
          </cell>
          <cell r="X30">
            <v>27</v>
          </cell>
          <cell r="Y30" t="str">
            <v>MTDWorstBranches</v>
          </cell>
          <cell r="Z30" t="str">
            <v>PESHAWAR CANTT.</v>
          </cell>
          <cell r="AA30">
            <v>735659241.51999998</v>
          </cell>
          <cell r="AB30">
            <v>-798668389.65999997</v>
          </cell>
          <cell r="AC30" t="str">
            <v>CA</v>
          </cell>
          <cell r="AE30">
            <v>27</v>
          </cell>
          <cell r="AF30" t="str">
            <v>YTDWorstBranches</v>
          </cell>
          <cell r="AG30" t="str">
            <v>ISLAMABAD-C.D.A. CIV</v>
          </cell>
          <cell r="AH30">
            <v>2230276790.79</v>
          </cell>
          <cell r="AI30">
            <v>-2093926828.8499999</v>
          </cell>
          <cell r="AJ30" t="str">
            <v>CA</v>
          </cell>
          <cell r="AM30">
            <v>45</v>
          </cell>
          <cell r="AN30" t="str">
            <v>PREEDY STREET, KARACHI</v>
          </cell>
          <cell r="AO30" t="str">
            <v>Saddar</v>
          </cell>
          <cell r="AP30" t="str">
            <v>KARACHI</v>
          </cell>
        </row>
        <row r="31">
          <cell r="Q31">
            <v>28</v>
          </cell>
          <cell r="R31" t="str">
            <v>ODCWorstBranches</v>
          </cell>
          <cell r="S31" t="str">
            <v>ISLAMABAD-C.D.A. CIV</v>
          </cell>
          <cell r="T31">
            <v>2230276790.79</v>
          </cell>
          <cell r="U31">
            <v>-507782703.70999998</v>
          </cell>
          <cell r="V31" t="str">
            <v>CA</v>
          </cell>
          <cell r="X31">
            <v>28</v>
          </cell>
          <cell r="Y31" t="str">
            <v>MTDWorstBranches</v>
          </cell>
          <cell r="Z31" t="str">
            <v>ISLAMABAD-C.D.A. CIV</v>
          </cell>
          <cell r="AA31">
            <v>2230276790.79</v>
          </cell>
          <cell r="AB31">
            <v>-507782703.70999998</v>
          </cell>
          <cell r="AC31" t="str">
            <v>CA</v>
          </cell>
          <cell r="AE31">
            <v>28</v>
          </cell>
          <cell r="AF31" t="str">
            <v>YTDWorstBranches</v>
          </cell>
          <cell r="AG31" t="str">
            <v>AAMIR PLAZA BR</v>
          </cell>
          <cell r="AH31">
            <v>1057541828.0700001</v>
          </cell>
          <cell r="AI31">
            <v>-2092509752.25</v>
          </cell>
          <cell r="AJ31" t="str">
            <v>CA</v>
          </cell>
          <cell r="AM31">
            <v>47</v>
          </cell>
          <cell r="AN31" t="str">
            <v>H. B. ANNEXE,</v>
          </cell>
          <cell r="AO31" t="str">
            <v>SAM South</v>
          </cell>
          <cell r="AP31" t="str">
            <v>KARACHI</v>
          </cell>
        </row>
        <row r="32">
          <cell r="Q32">
            <v>29</v>
          </cell>
          <cell r="R32" t="str">
            <v>ODCWorstBranches</v>
          </cell>
          <cell r="S32" t="str">
            <v>CLUB ROAD, KARACHI</v>
          </cell>
          <cell r="T32">
            <v>637371771</v>
          </cell>
          <cell r="U32">
            <v>-388713563.55000001</v>
          </cell>
          <cell r="V32" t="str">
            <v>CA</v>
          </cell>
          <cell r="X32">
            <v>29</v>
          </cell>
          <cell r="Y32" t="str">
            <v>MTDWorstBranches</v>
          </cell>
          <cell r="Z32" t="str">
            <v>CLUB ROAD, KARACHI</v>
          </cell>
          <cell r="AA32">
            <v>637371771</v>
          </cell>
          <cell r="AB32">
            <v>-388713563.55000001</v>
          </cell>
          <cell r="AC32" t="str">
            <v>CA</v>
          </cell>
          <cell r="AE32">
            <v>29</v>
          </cell>
          <cell r="AF32" t="str">
            <v>YTDWorstBranches</v>
          </cell>
          <cell r="AG32" t="str">
            <v>SIND SECRETARIATE, KARACHI</v>
          </cell>
          <cell r="AH32">
            <v>344793484.54000002</v>
          </cell>
          <cell r="AI32">
            <v>-1899084096.24</v>
          </cell>
          <cell r="AJ32" t="str">
            <v>CA</v>
          </cell>
          <cell r="AM32">
            <v>50</v>
          </cell>
          <cell r="AN32" t="str">
            <v>BARNESS STREET, KARACHI</v>
          </cell>
          <cell r="AO32" t="str">
            <v>Garden</v>
          </cell>
          <cell r="AP32" t="str">
            <v>KARACHI</v>
          </cell>
        </row>
        <row r="33">
          <cell r="Q33">
            <v>30</v>
          </cell>
          <cell r="R33" t="str">
            <v>ODCWorstBranches</v>
          </cell>
          <cell r="S33" t="str">
            <v>BAHAWALPUR-FARID GAT</v>
          </cell>
          <cell r="T33">
            <v>390945995.97000003</v>
          </cell>
          <cell r="U33">
            <v>-372615520.06999999</v>
          </cell>
          <cell r="V33" t="str">
            <v>CA</v>
          </cell>
          <cell r="X33">
            <v>30</v>
          </cell>
          <cell r="Y33" t="str">
            <v>MTDWorstBranches</v>
          </cell>
          <cell r="Z33" t="str">
            <v>BAHAWALPUR-FARID GAT</v>
          </cell>
          <cell r="AA33">
            <v>390945995.97000003</v>
          </cell>
          <cell r="AB33">
            <v>-372615520.06999999</v>
          </cell>
          <cell r="AC33" t="str">
            <v>CA</v>
          </cell>
          <cell r="AE33">
            <v>30</v>
          </cell>
          <cell r="AF33" t="str">
            <v>YTDWorstBranches</v>
          </cell>
          <cell r="AG33" t="str">
            <v>B.I.S.E.LAHORE</v>
          </cell>
          <cell r="AH33">
            <v>465906871.75999999</v>
          </cell>
          <cell r="AI33">
            <v>-1253954262.25</v>
          </cell>
          <cell r="AJ33" t="str">
            <v>CA</v>
          </cell>
          <cell r="AM33">
            <v>51</v>
          </cell>
          <cell r="AN33" t="str">
            <v>ARAM BAGH, KARACHI</v>
          </cell>
          <cell r="AO33" t="str">
            <v>SAM West</v>
          </cell>
          <cell r="AP33" t="str">
            <v>KARACHI</v>
          </cell>
        </row>
        <row r="34">
          <cell r="AM34">
            <v>53</v>
          </cell>
          <cell r="AN34" t="str">
            <v>PAPOSH NAGAR, KARACHI</v>
          </cell>
          <cell r="AO34" t="str">
            <v>SAM North</v>
          </cell>
          <cell r="AP34" t="str">
            <v>KARACHI</v>
          </cell>
        </row>
        <row r="35">
          <cell r="AM35">
            <v>56</v>
          </cell>
          <cell r="AN35" t="str">
            <v>CLIFTON, KARACHI</v>
          </cell>
          <cell r="AO35" t="str">
            <v>Saddar</v>
          </cell>
          <cell r="AP35" t="str">
            <v>KARACHI</v>
          </cell>
        </row>
        <row r="36">
          <cell r="AM36">
            <v>57</v>
          </cell>
          <cell r="AN36" t="str">
            <v>KEAMARI, KARACHI</v>
          </cell>
          <cell r="AO36" t="str">
            <v>SAM South</v>
          </cell>
          <cell r="AP36" t="str">
            <v>KARACHI</v>
          </cell>
        </row>
        <row r="37">
          <cell r="AM37">
            <v>58</v>
          </cell>
          <cell r="AN37" t="str">
            <v>PAF BASE MASROOR BR</v>
          </cell>
          <cell r="AO37" t="str">
            <v>Plaza</v>
          </cell>
          <cell r="AP37" t="str">
            <v>KARACHI</v>
          </cell>
        </row>
        <row r="38">
          <cell r="AM38">
            <v>59</v>
          </cell>
          <cell r="AN38" t="str">
            <v>SHER SHAH COLONY, KARACHI</v>
          </cell>
          <cell r="AO38" t="str">
            <v>SAM West</v>
          </cell>
          <cell r="AP38" t="str">
            <v>KARACHI</v>
          </cell>
        </row>
        <row r="39">
          <cell r="A39">
            <v>424242.13789999997</v>
          </cell>
          <cell r="B39">
            <v>337869</v>
          </cell>
          <cell r="AM39">
            <v>62</v>
          </cell>
          <cell r="AN39" t="str">
            <v>GARDEN, KARACHI</v>
          </cell>
          <cell r="AO39" t="str">
            <v>Garden</v>
          </cell>
          <cell r="AP39" t="str">
            <v>KARACHI</v>
          </cell>
        </row>
        <row r="40">
          <cell r="A40" t="str">
            <v>-22.3bln and -6% below</v>
          </cell>
          <cell r="B40" t="str">
            <v>64.1bln and 16% above</v>
          </cell>
          <cell r="AM40">
            <v>63</v>
          </cell>
          <cell r="AN40" t="str">
            <v>AZIZABAD, KARACHI</v>
          </cell>
          <cell r="AO40" t="str">
            <v>F.B. Area</v>
          </cell>
          <cell r="AP40" t="str">
            <v>KARACHI</v>
          </cell>
        </row>
        <row r="41">
          <cell r="AM41">
            <v>64</v>
          </cell>
          <cell r="AN41" t="str">
            <v>JINNAH TERMINAL, KARACHI</v>
          </cell>
          <cell r="AO41" t="str">
            <v>Malir</v>
          </cell>
          <cell r="AP41" t="str">
            <v>KARACHI</v>
          </cell>
        </row>
        <row r="42">
          <cell r="AM42">
            <v>65</v>
          </cell>
          <cell r="AN42" t="str">
            <v>J.P.M.C., KARACHI</v>
          </cell>
          <cell r="AO42" t="str">
            <v>Defence Housing Society (DHS)</v>
          </cell>
          <cell r="AP42" t="str">
            <v>KARACHI</v>
          </cell>
        </row>
        <row r="43">
          <cell r="AM43">
            <v>300</v>
          </cell>
          <cell r="AN43" t="str">
            <v>MEHRAN, MALIR HALT. KARACHI</v>
          </cell>
          <cell r="AO43" t="str">
            <v>Malir</v>
          </cell>
          <cell r="AP43" t="str">
            <v>KARACHI</v>
          </cell>
        </row>
        <row r="44">
          <cell r="AM44">
            <v>354</v>
          </cell>
          <cell r="AN44" t="str">
            <v>KARACHI-DEH MALH</v>
          </cell>
          <cell r="AO44" t="str">
            <v>SAM East</v>
          </cell>
          <cell r="AP44" t="str">
            <v>KARACHI</v>
          </cell>
        </row>
        <row r="45">
          <cell r="AM45">
            <v>369</v>
          </cell>
          <cell r="AN45" t="str">
            <v>KARACHI-ORANGI TOWN</v>
          </cell>
          <cell r="AO45" t="str">
            <v>SAM North</v>
          </cell>
          <cell r="AP45" t="str">
            <v>KARACHI</v>
          </cell>
        </row>
        <row r="46">
          <cell r="AM46">
            <v>400</v>
          </cell>
          <cell r="AN46" t="str">
            <v>MUSLIM TOWN, KARACHI</v>
          </cell>
          <cell r="AO46" t="str">
            <v>Gulshan</v>
          </cell>
          <cell r="AP46" t="str">
            <v>KARACHI</v>
          </cell>
        </row>
        <row r="47">
          <cell r="AM47">
            <v>481</v>
          </cell>
          <cell r="AN47" t="str">
            <v>KARACHI-MAURIPUR VIL</v>
          </cell>
          <cell r="AO47" t="str">
            <v>Plaza</v>
          </cell>
          <cell r="AP47" t="str">
            <v>KARACHI</v>
          </cell>
        </row>
        <row r="48">
          <cell r="AM48">
            <v>490</v>
          </cell>
          <cell r="AN48" t="str">
            <v>SIR SYED ROAD, KARACHI</v>
          </cell>
          <cell r="AO48" t="str">
            <v>SAM East</v>
          </cell>
          <cell r="AP48" t="str">
            <v>KARACHI</v>
          </cell>
        </row>
        <row r="49">
          <cell r="AM49">
            <v>502</v>
          </cell>
          <cell r="AN49" t="str">
            <v>BARKAT-E-HYDRI, KARACHI</v>
          </cell>
          <cell r="AO49" t="str">
            <v>SAM North</v>
          </cell>
          <cell r="AP49" t="str">
            <v>KARACHI</v>
          </cell>
        </row>
        <row r="50">
          <cell r="AM50">
            <v>517</v>
          </cell>
          <cell r="AN50" t="str">
            <v>KARACHI-DRIGH COLONY</v>
          </cell>
          <cell r="AO50" t="str">
            <v>SAM East</v>
          </cell>
          <cell r="AP50" t="str">
            <v>KARACHI</v>
          </cell>
        </row>
        <row r="51">
          <cell r="AM51">
            <v>526</v>
          </cell>
          <cell r="AN51" t="str">
            <v>BAHADURABAD, KARACHI</v>
          </cell>
          <cell r="AO51" t="str">
            <v>SAM East</v>
          </cell>
          <cell r="AP51" t="str">
            <v>KARACHI</v>
          </cell>
        </row>
        <row r="52">
          <cell r="AM52">
            <v>527</v>
          </cell>
          <cell r="AN52" t="str">
            <v>KARACHI-NANAKWARA</v>
          </cell>
          <cell r="AO52" t="str">
            <v>SAM South</v>
          </cell>
          <cell r="AP52" t="str">
            <v>KARACHI</v>
          </cell>
        </row>
        <row r="53">
          <cell r="AM53">
            <v>530</v>
          </cell>
          <cell r="AN53" t="str">
            <v>KARACHI-KUMHARWARA</v>
          </cell>
          <cell r="AO53" t="str">
            <v>SAM South</v>
          </cell>
          <cell r="AP53" t="str">
            <v>KARACHI</v>
          </cell>
        </row>
        <row r="54">
          <cell r="AM54">
            <v>541</v>
          </cell>
          <cell r="AN54" t="str">
            <v>DEFENCE HOUSING SOCI</v>
          </cell>
          <cell r="AO54" t="str">
            <v>Defence Housing Society (DHS)</v>
          </cell>
          <cell r="AP54" t="str">
            <v>KARACHI</v>
          </cell>
        </row>
        <row r="55">
          <cell r="AM55">
            <v>543</v>
          </cell>
          <cell r="AN55" t="str">
            <v>SOLDIER BAZAR, KARACHI</v>
          </cell>
          <cell r="AO55" t="str">
            <v>Garden</v>
          </cell>
          <cell r="AP55" t="str">
            <v>KARACHI</v>
          </cell>
        </row>
        <row r="56">
          <cell r="AM56">
            <v>550</v>
          </cell>
          <cell r="AN56" t="str">
            <v>KARACHI-KORANGI NO.5</v>
          </cell>
          <cell r="AO56" t="str">
            <v>Korangi</v>
          </cell>
          <cell r="AP56" t="str">
            <v>KARACHI</v>
          </cell>
        </row>
        <row r="57">
          <cell r="AM57">
            <v>565</v>
          </cell>
          <cell r="AN57" t="str">
            <v>KARACHI-IQBAL LIBRAR</v>
          </cell>
          <cell r="AO57" t="str">
            <v>Garden</v>
          </cell>
          <cell r="AP57" t="str">
            <v>KARACHI</v>
          </cell>
        </row>
        <row r="58">
          <cell r="AM58">
            <v>568</v>
          </cell>
          <cell r="AN58" t="str">
            <v>SINDHI MUSLIM COOP.HOUS.SOC, KARACH</v>
          </cell>
          <cell r="AO58" t="str">
            <v>SAM East</v>
          </cell>
          <cell r="AP58" t="str">
            <v>KARACHI</v>
          </cell>
        </row>
        <row r="59">
          <cell r="AM59">
            <v>570</v>
          </cell>
          <cell r="AN59" t="str">
            <v>KARACHI-LASBELLA MAR</v>
          </cell>
          <cell r="AO59" t="str">
            <v>Garden</v>
          </cell>
          <cell r="AP59" t="str">
            <v>KARACHI</v>
          </cell>
        </row>
        <row r="60">
          <cell r="AM60">
            <v>583</v>
          </cell>
          <cell r="AN60" t="str">
            <v>SAUDABAD MALIR Branch</v>
          </cell>
          <cell r="AO60" t="str">
            <v>Malir</v>
          </cell>
          <cell r="AP60" t="str">
            <v>KARACHI</v>
          </cell>
        </row>
        <row r="61">
          <cell r="AM61">
            <v>585</v>
          </cell>
          <cell r="AN61" t="str">
            <v>NAYABAD, KARACHI</v>
          </cell>
          <cell r="AO61" t="str">
            <v>SAM South</v>
          </cell>
          <cell r="AP61" t="str">
            <v>KARACHI</v>
          </cell>
        </row>
        <row r="62">
          <cell r="AM62">
            <v>599</v>
          </cell>
          <cell r="AN62" t="str">
            <v>SHAHEED-E-MILLAT RD, KARACHI</v>
          </cell>
          <cell r="AO62" t="str">
            <v>SAM East</v>
          </cell>
          <cell r="AP62" t="str">
            <v>KARACHI</v>
          </cell>
        </row>
        <row r="63">
          <cell r="AM63">
            <v>606</v>
          </cell>
          <cell r="AN63" t="str">
            <v>HIGH COURT, KARACHI</v>
          </cell>
          <cell r="AO63" t="str">
            <v>SAM South</v>
          </cell>
          <cell r="AP63" t="str">
            <v>KARACHI</v>
          </cell>
        </row>
        <row r="64">
          <cell r="AM64">
            <v>622</v>
          </cell>
          <cell r="AN64" t="str">
            <v>IBRAHIM HYDERI GOTH, KARACHI</v>
          </cell>
          <cell r="AO64" t="str">
            <v>Korangi</v>
          </cell>
          <cell r="AP64" t="str">
            <v>KARACHI</v>
          </cell>
        </row>
        <row r="65">
          <cell r="AM65">
            <v>631</v>
          </cell>
          <cell r="AN65" t="str">
            <v>KARACHI-KARIMABAD</v>
          </cell>
          <cell r="AO65" t="str">
            <v>F.B. Area</v>
          </cell>
          <cell r="AP65" t="str">
            <v>KARACHI</v>
          </cell>
        </row>
        <row r="66">
          <cell r="AM66">
            <v>634</v>
          </cell>
          <cell r="AN66" t="str">
            <v>TAIMURIA MARKET, KARACHI</v>
          </cell>
          <cell r="AO66" t="str">
            <v>SAM North</v>
          </cell>
          <cell r="AP66" t="str">
            <v>KARACHI</v>
          </cell>
        </row>
        <row r="67">
          <cell r="AM67">
            <v>674</v>
          </cell>
          <cell r="AN67" t="str">
            <v>DHABEJI</v>
          </cell>
          <cell r="AO67" t="str">
            <v>SAM East</v>
          </cell>
          <cell r="AP67" t="str">
            <v>KARACHI</v>
          </cell>
        </row>
        <row r="68">
          <cell r="AM68">
            <v>692</v>
          </cell>
          <cell r="AN68" t="str">
            <v>JODIA BAZAR, KARACHI</v>
          </cell>
          <cell r="AO68" t="str">
            <v>SAM West</v>
          </cell>
          <cell r="AP68" t="str">
            <v>KARACHI</v>
          </cell>
        </row>
        <row r="69">
          <cell r="AM69">
            <v>786</v>
          </cell>
          <cell r="AN69" t="str">
            <v>HBL PLAZA BR,KARACHI</v>
          </cell>
          <cell r="AO69" t="str">
            <v>Plaza</v>
          </cell>
          <cell r="AP69" t="str">
            <v>KARACHI</v>
          </cell>
        </row>
        <row r="70">
          <cell r="AM70">
            <v>804</v>
          </cell>
          <cell r="AN70" t="str">
            <v>MANSFIELD STREET, KARACHI</v>
          </cell>
          <cell r="AO70" t="str">
            <v>Saddar</v>
          </cell>
          <cell r="AP70" t="str">
            <v>KARACHI</v>
          </cell>
        </row>
        <row r="71">
          <cell r="AM71">
            <v>827</v>
          </cell>
          <cell r="AN71" t="str">
            <v>TIBET CENTRE, KARACHI</v>
          </cell>
          <cell r="AO71" t="str">
            <v>SAM West</v>
          </cell>
          <cell r="AP71" t="str">
            <v>KARACHI</v>
          </cell>
        </row>
        <row r="72">
          <cell r="AM72">
            <v>830</v>
          </cell>
          <cell r="AN72" t="str">
            <v>AL-AZAM SQUARE, KARACHI</v>
          </cell>
          <cell r="AO72" t="str">
            <v>F.B. Area</v>
          </cell>
          <cell r="AP72" t="str">
            <v>KARACHI</v>
          </cell>
        </row>
        <row r="73">
          <cell r="AM73">
            <v>849</v>
          </cell>
          <cell r="AN73" t="str">
            <v>COMMUNITY CENTRE P.E.C.H.S.KARACHI.</v>
          </cell>
          <cell r="AO73" t="str">
            <v>SAM East</v>
          </cell>
          <cell r="AP73" t="str">
            <v>KARACHI</v>
          </cell>
        </row>
        <row r="74">
          <cell r="AM74">
            <v>851</v>
          </cell>
          <cell r="AN74" t="str">
            <v>P.N.S.C. - KARACHI.</v>
          </cell>
          <cell r="AO74" t="str">
            <v>SAM South</v>
          </cell>
          <cell r="AP74" t="str">
            <v>KARACHI</v>
          </cell>
        </row>
        <row r="75">
          <cell r="AM75">
            <v>857</v>
          </cell>
          <cell r="AN75" t="str">
            <v>GULISTAN-E-JAUHAR, KARACHI</v>
          </cell>
          <cell r="AO75" t="str">
            <v>Johar</v>
          </cell>
          <cell r="AP75" t="str">
            <v>KARACHI</v>
          </cell>
        </row>
        <row r="76">
          <cell r="AM76">
            <v>861</v>
          </cell>
          <cell r="AN76" t="str">
            <v>KARACHI-LANDHI TOWN SHIP</v>
          </cell>
          <cell r="AO76" t="str">
            <v>Korangi</v>
          </cell>
          <cell r="AP76" t="str">
            <v>KARACHI</v>
          </cell>
        </row>
        <row r="77">
          <cell r="AM77">
            <v>877</v>
          </cell>
          <cell r="AN77" t="str">
            <v>ADAMJEE NAGAR, KARACHI</v>
          </cell>
          <cell r="AO77" t="str">
            <v>SAM East</v>
          </cell>
          <cell r="AP77" t="str">
            <v>KARACHI</v>
          </cell>
        </row>
        <row r="78">
          <cell r="AM78">
            <v>878</v>
          </cell>
          <cell r="AN78" t="str">
            <v>DASTAGIR COLONY, KARACHI</v>
          </cell>
          <cell r="AO78" t="str">
            <v>F.B. Area</v>
          </cell>
          <cell r="AP78" t="str">
            <v>KARACHI</v>
          </cell>
        </row>
        <row r="79">
          <cell r="AM79">
            <v>879</v>
          </cell>
          <cell r="AN79" t="str">
            <v>Safora Goth KARACHI</v>
          </cell>
          <cell r="AO79" t="str">
            <v>Gulshan</v>
          </cell>
          <cell r="AP79" t="str">
            <v>KARACHI</v>
          </cell>
        </row>
        <row r="80">
          <cell r="AM80">
            <v>889</v>
          </cell>
          <cell r="AN80" t="str">
            <v>MALIR CITY, KARACHI</v>
          </cell>
          <cell r="AO80" t="str">
            <v>Malir</v>
          </cell>
          <cell r="AP80" t="str">
            <v>KARACHI</v>
          </cell>
        </row>
        <row r="81">
          <cell r="AM81">
            <v>890</v>
          </cell>
          <cell r="AN81" t="str">
            <v>KARACHI-BABAR MARKET</v>
          </cell>
          <cell r="AO81" t="str">
            <v>Korangi</v>
          </cell>
          <cell r="AP81" t="str">
            <v>KARACHI</v>
          </cell>
        </row>
        <row r="82">
          <cell r="AM82">
            <v>891</v>
          </cell>
          <cell r="AN82" t="str">
            <v>KARACHI-MAHMOODABAD</v>
          </cell>
          <cell r="AO82" t="str">
            <v>Korangi</v>
          </cell>
          <cell r="AP82" t="str">
            <v>KARACHI</v>
          </cell>
        </row>
        <row r="83">
          <cell r="AM83">
            <v>893</v>
          </cell>
          <cell r="AN83" t="str">
            <v>KARACHI-PAK COLONY</v>
          </cell>
          <cell r="AO83" t="str">
            <v>Garden</v>
          </cell>
          <cell r="AP83" t="str">
            <v>KARACHI</v>
          </cell>
        </row>
        <row r="84">
          <cell r="AM84">
            <v>896</v>
          </cell>
          <cell r="AN84" t="str">
            <v>KARSAZ, KARACHI</v>
          </cell>
          <cell r="AO84" t="str">
            <v>Gulshan</v>
          </cell>
          <cell r="AP84" t="str">
            <v>KARACHI</v>
          </cell>
        </row>
        <row r="85">
          <cell r="AM85">
            <v>900</v>
          </cell>
          <cell r="AN85" t="str">
            <v>PATHAN COLONY, KARAC</v>
          </cell>
          <cell r="AO85" t="str">
            <v>SAM North</v>
          </cell>
          <cell r="AP85" t="str">
            <v>KARACHI</v>
          </cell>
        </row>
        <row r="86">
          <cell r="AM86">
            <v>911</v>
          </cell>
          <cell r="AN86" t="str">
            <v>KARACHI-BHUTTA VILLA</v>
          </cell>
          <cell r="AO86" t="str">
            <v>Plaza</v>
          </cell>
          <cell r="AP86" t="str">
            <v>KARACHI</v>
          </cell>
        </row>
        <row r="87">
          <cell r="AM87">
            <v>913</v>
          </cell>
          <cell r="AN87" t="str">
            <v>ATMARAM PREETAMDAS ROAD, KARACHI</v>
          </cell>
          <cell r="AO87" t="str">
            <v>SAM South</v>
          </cell>
          <cell r="AP87" t="str">
            <v>KARACHI</v>
          </cell>
        </row>
        <row r="88">
          <cell r="AM88">
            <v>914</v>
          </cell>
          <cell r="AN88" t="str">
            <v>RIZVIA SOCIETY, KARACHI</v>
          </cell>
          <cell r="AO88" t="str">
            <v>Johar</v>
          </cell>
          <cell r="AP88" t="str">
            <v>KARACHI</v>
          </cell>
        </row>
        <row r="89">
          <cell r="AM89">
            <v>916</v>
          </cell>
          <cell r="AN89" t="str">
            <v>SIND SECRETARIATE, KARACHI</v>
          </cell>
          <cell r="AO89" t="str">
            <v>SAM South</v>
          </cell>
          <cell r="AP89" t="str">
            <v>KARACHI</v>
          </cell>
        </row>
        <row r="90">
          <cell r="AM90">
            <v>923</v>
          </cell>
          <cell r="AN90" t="str">
            <v>KARACHI-QASIMABAD</v>
          </cell>
          <cell r="AO90" t="str">
            <v>F.B. Area</v>
          </cell>
          <cell r="AP90" t="str">
            <v>KARACHI</v>
          </cell>
        </row>
        <row r="91">
          <cell r="AM91">
            <v>994</v>
          </cell>
          <cell r="AN91" t="str">
            <v>SAEEDABAD BRANCH KAR</v>
          </cell>
          <cell r="AO91" t="str">
            <v>Plaza</v>
          </cell>
          <cell r="AP91" t="str">
            <v>KARACHI</v>
          </cell>
        </row>
        <row r="92">
          <cell r="AM92">
            <v>1075</v>
          </cell>
          <cell r="AN92" t="str">
            <v>SAMANABAD, KARACHI</v>
          </cell>
          <cell r="AO92" t="str">
            <v>Johar</v>
          </cell>
          <cell r="AP92" t="str">
            <v>KARACHI</v>
          </cell>
        </row>
        <row r="93">
          <cell r="AM93">
            <v>1089</v>
          </cell>
          <cell r="AN93" t="str">
            <v>JACOB LINES, KARACHI</v>
          </cell>
          <cell r="AO93" t="str">
            <v>Garden</v>
          </cell>
          <cell r="AP93" t="str">
            <v>KARACHI</v>
          </cell>
        </row>
        <row r="94">
          <cell r="AM94">
            <v>1092</v>
          </cell>
          <cell r="AN94" t="str">
            <v>KARACHI-KORANGI K. A</v>
          </cell>
          <cell r="AO94" t="str">
            <v>Korangi</v>
          </cell>
          <cell r="AP94" t="str">
            <v>KARACHI</v>
          </cell>
        </row>
        <row r="95">
          <cell r="AM95">
            <v>1101</v>
          </cell>
          <cell r="AN95" t="str">
            <v>AL-BADAR SQUARE, KARACHI</v>
          </cell>
          <cell r="AO95" t="str">
            <v>SAM North</v>
          </cell>
          <cell r="AP95" t="str">
            <v>KARACHI</v>
          </cell>
        </row>
        <row r="96">
          <cell r="AM96">
            <v>1102</v>
          </cell>
          <cell r="AN96" t="str">
            <v>KHADIJA MKT, N.NAZIMABAD, KARACHI</v>
          </cell>
          <cell r="AO96" t="str">
            <v>SAM North</v>
          </cell>
          <cell r="AP96" t="str">
            <v>KARACHI</v>
          </cell>
        </row>
        <row r="97">
          <cell r="AM97">
            <v>1103</v>
          </cell>
          <cell r="AN97" t="str">
            <v>DRIGH COLONY No 3</v>
          </cell>
          <cell r="AO97" t="str">
            <v>SAM East</v>
          </cell>
          <cell r="AP97" t="str">
            <v>KARACHI</v>
          </cell>
        </row>
        <row r="98">
          <cell r="AM98">
            <v>1115</v>
          </cell>
          <cell r="AN98" t="str">
            <v>YOUSUF PLAZA, KARACHI</v>
          </cell>
          <cell r="AO98" t="str">
            <v>Johar</v>
          </cell>
          <cell r="AP98" t="str">
            <v>KARACHI</v>
          </cell>
        </row>
        <row r="99">
          <cell r="AM99">
            <v>1116</v>
          </cell>
          <cell r="AN99" t="str">
            <v>SINDHI HOTEL, NEW KARACHI</v>
          </cell>
          <cell r="AO99" t="str">
            <v>SAM North</v>
          </cell>
          <cell r="AP99" t="str">
            <v>KARACHI</v>
          </cell>
        </row>
        <row r="100">
          <cell r="AM100">
            <v>1117</v>
          </cell>
          <cell r="AN100" t="str">
            <v>COMM. AREA, NAZIMABAD, KARACHI</v>
          </cell>
          <cell r="AO100" t="str">
            <v>SAM North</v>
          </cell>
          <cell r="AP100" t="str">
            <v>KARACHI</v>
          </cell>
        </row>
        <row r="101">
          <cell r="AM101">
            <v>1118</v>
          </cell>
          <cell r="AN101" t="str">
            <v>SHAHRAH-E-PAKISTAN, KARACHI</v>
          </cell>
          <cell r="AO101" t="str">
            <v>F.B. Area</v>
          </cell>
          <cell r="AP101" t="str">
            <v>KARACHI</v>
          </cell>
        </row>
        <row r="102">
          <cell r="AM102">
            <v>1119</v>
          </cell>
          <cell r="AN102" t="str">
            <v>SAKHI HASSAN DARBAR, KARACHI</v>
          </cell>
          <cell r="AO102" t="str">
            <v>SAM North</v>
          </cell>
          <cell r="AP102" t="str">
            <v>KARACHI</v>
          </cell>
        </row>
        <row r="103">
          <cell r="AM103">
            <v>1120</v>
          </cell>
          <cell r="AN103" t="str">
            <v>KARACHI-DELHI COLONY</v>
          </cell>
          <cell r="AO103" t="str">
            <v>Saddar</v>
          </cell>
          <cell r="AP103" t="str">
            <v>KARACHI</v>
          </cell>
        </row>
        <row r="104">
          <cell r="AM104">
            <v>1155</v>
          </cell>
          <cell r="AN104" t="str">
            <v>KARACHI-BADAR COM.AREA, 26TH ST.DHA</v>
          </cell>
          <cell r="AO104" t="str">
            <v>SAM South</v>
          </cell>
          <cell r="AP104" t="str">
            <v>KARACHI</v>
          </cell>
        </row>
        <row r="105">
          <cell r="AM105">
            <v>1156</v>
          </cell>
          <cell r="AN105" t="str">
            <v>PORT QASIM, KARACHI</v>
          </cell>
          <cell r="AO105" t="str">
            <v>SAM South</v>
          </cell>
          <cell r="AP105" t="str">
            <v>KARACHI</v>
          </cell>
        </row>
        <row r="106">
          <cell r="AM106">
            <v>1178</v>
          </cell>
          <cell r="AN106" t="str">
            <v>HASSAN SQUARE, KARACHI</v>
          </cell>
          <cell r="AO106" t="str">
            <v>Gulshan</v>
          </cell>
          <cell r="AP106" t="str">
            <v>KARACHI</v>
          </cell>
        </row>
        <row r="107">
          <cell r="AM107">
            <v>1212</v>
          </cell>
          <cell r="AN107" t="str">
            <v>KARACHI-HUSSAIN'D'SI</v>
          </cell>
          <cell r="AO107" t="str">
            <v>SAM North</v>
          </cell>
          <cell r="AP107" t="str">
            <v>KARACHI</v>
          </cell>
        </row>
        <row r="108">
          <cell r="AM108">
            <v>1213</v>
          </cell>
          <cell r="AN108" t="str">
            <v>KARACHI-VEGETABLE MA</v>
          </cell>
          <cell r="AO108" t="str">
            <v>SAM South</v>
          </cell>
          <cell r="AP108" t="str">
            <v>KARACHI</v>
          </cell>
        </row>
        <row r="109">
          <cell r="AM109">
            <v>1214</v>
          </cell>
          <cell r="AN109" t="str">
            <v>KARACHI-FISH HARBOUR</v>
          </cell>
          <cell r="AO109" t="str">
            <v>SAM South</v>
          </cell>
          <cell r="AP109" t="str">
            <v>KARACHI</v>
          </cell>
        </row>
        <row r="110">
          <cell r="AM110">
            <v>1215</v>
          </cell>
          <cell r="AN110" t="str">
            <v>KARACHI-MANORA</v>
          </cell>
          <cell r="AO110" t="str">
            <v>SAM South</v>
          </cell>
          <cell r="AP110" t="str">
            <v>KARACHI</v>
          </cell>
        </row>
        <row r="111">
          <cell r="AM111">
            <v>1217</v>
          </cell>
          <cell r="AN111" t="str">
            <v>MALIR CANTT, KARACHI</v>
          </cell>
          <cell r="AO111" t="str">
            <v>Malir</v>
          </cell>
          <cell r="AP111" t="str">
            <v>KARACHI</v>
          </cell>
        </row>
        <row r="112">
          <cell r="AM112">
            <v>1218</v>
          </cell>
          <cell r="AN112" t="str">
            <v>KARACHI-NASEERABAD</v>
          </cell>
          <cell r="AO112" t="str">
            <v>Johar</v>
          </cell>
          <cell r="AP112" t="str">
            <v>KARACHI</v>
          </cell>
        </row>
        <row r="113">
          <cell r="AM113">
            <v>1220</v>
          </cell>
          <cell r="AN113" t="str">
            <v>P.E.C.H.S.COMM. AREA, KARACHI</v>
          </cell>
          <cell r="AO113" t="str">
            <v>SAM East</v>
          </cell>
          <cell r="AP113" t="str">
            <v>KARACHI</v>
          </cell>
        </row>
        <row r="114">
          <cell r="AM114">
            <v>1403</v>
          </cell>
          <cell r="AN114" t="str">
            <v>ABDULLAH HAROON ROAD, KARACHI</v>
          </cell>
          <cell r="AO114" t="str">
            <v>Saddar</v>
          </cell>
          <cell r="AP114" t="str">
            <v>KARACHI</v>
          </cell>
        </row>
        <row r="115">
          <cell r="AM115">
            <v>1500</v>
          </cell>
          <cell r="AN115" t="str">
            <v>MUSLIM LEAGUE QTRS, KARACHI</v>
          </cell>
          <cell r="AO115" t="str">
            <v>SAM North</v>
          </cell>
          <cell r="AP115" t="str">
            <v>KARACHI</v>
          </cell>
        </row>
        <row r="116">
          <cell r="AM116">
            <v>1509</v>
          </cell>
          <cell r="AN116" t="str">
            <v>KARACHI-CANTT. STATI</v>
          </cell>
          <cell r="AO116" t="str">
            <v>Saddar</v>
          </cell>
          <cell r="AP116" t="str">
            <v>KARACHI</v>
          </cell>
        </row>
        <row r="117">
          <cell r="AM117">
            <v>1524</v>
          </cell>
          <cell r="AN117" t="str">
            <v>KARACHI-DRIGH ROAD C</v>
          </cell>
          <cell r="AO117" t="str">
            <v>SAM East</v>
          </cell>
          <cell r="AP117" t="str">
            <v>KARACHI</v>
          </cell>
        </row>
        <row r="118">
          <cell r="AM118">
            <v>1549</v>
          </cell>
          <cell r="AN118" t="str">
            <v>GULSHAN-E-IQBAL BLOCK NO.5, KARACHI</v>
          </cell>
          <cell r="AO118" t="str">
            <v>Gulshan</v>
          </cell>
          <cell r="AP118" t="str">
            <v>KARACHI</v>
          </cell>
        </row>
        <row r="119">
          <cell r="AM119">
            <v>1642</v>
          </cell>
          <cell r="AN119" t="str">
            <v>KARACHI-KORANGI NO.2</v>
          </cell>
          <cell r="AO119" t="str">
            <v>Korangi</v>
          </cell>
          <cell r="AP119" t="str">
            <v>KARACHI</v>
          </cell>
        </row>
        <row r="120">
          <cell r="AM120">
            <v>1678</v>
          </cell>
          <cell r="AN120" t="str">
            <v>ZIAUDDIN SHAHEED ROAD, KARACHI</v>
          </cell>
          <cell r="AO120" t="str">
            <v>F.B. Area</v>
          </cell>
          <cell r="AP120" t="str">
            <v>KARACHI</v>
          </cell>
        </row>
        <row r="121">
          <cell r="AM121">
            <v>1679</v>
          </cell>
          <cell r="AN121" t="str">
            <v>SHAHRAH-E-JAHANGIR, KARACHI</v>
          </cell>
          <cell r="AO121" t="str">
            <v>SAM North</v>
          </cell>
          <cell r="AP121" t="str">
            <v>KARACHI</v>
          </cell>
        </row>
        <row r="122">
          <cell r="AM122">
            <v>1757</v>
          </cell>
          <cell r="AN122" t="str">
            <v>STEEL TOWN SHIP KARACHI</v>
          </cell>
          <cell r="AO122" t="str">
            <v>Malir</v>
          </cell>
          <cell r="AP122" t="str">
            <v>KARACHI</v>
          </cell>
        </row>
        <row r="123">
          <cell r="AM123">
            <v>1783</v>
          </cell>
          <cell r="AN123" t="str">
            <v>KEHKASHAN, KARACHI</v>
          </cell>
          <cell r="AO123" t="str">
            <v>Plaza</v>
          </cell>
          <cell r="AP123" t="str">
            <v>KARACHI</v>
          </cell>
        </row>
        <row r="124">
          <cell r="AM124">
            <v>1795</v>
          </cell>
          <cell r="AN124" t="str">
            <v>KARACHI-K.A.E.C.H.S.</v>
          </cell>
          <cell r="AO124" t="str">
            <v>SAM East</v>
          </cell>
          <cell r="AP124" t="str">
            <v>KARACHI</v>
          </cell>
        </row>
        <row r="125">
          <cell r="AM125">
            <v>1815</v>
          </cell>
          <cell r="AN125" t="str">
            <v>HUB IND. TRADING EST</v>
          </cell>
          <cell r="AO125" t="str">
            <v>Plaza</v>
          </cell>
          <cell r="AP125" t="str">
            <v>KARACHI</v>
          </cell>
        </row>
        <row r="126">
          <cell r="AM126">
            <v>1848</v>
          </cell>
          <cell r="AN126" t="str">
            <v>BLOCK-2.GULS-E-IQBAL, KARACH</v>
          </cell>
          <cell r="AO126" t="str">
            <v>Gulshan</v>
          </cell>
          <cell r="AP126" t="str">
            <v>KARACHI</v>
          </cell>
        </row>
        <row r="127">
          <cell r="AM127">
            <v>1854</v>
          </cell>
          <cell r="AN127" t="str">
            <v>KARACHI-KORANGI NO.6</v>
          </cell>
          <cell r="AO127" t="str">
            <v>Korangi</v>
          </cell>
          <cell r="AP127" t="str">
            <v>KARACHI</v>
          </cell>
        </row>
        <row r="128">
          <cell r="AM128">
            <v>1910</v>
          </cell>
          <cell r="AN128" t="str">
            <v>KORANGI ROAD PHASE-2 (DHA), KARACHI</v>
          </cell>
          <cell r="AO128" t="str">
            <v>Korangi</v>
          </cell>
          <cell r="AP128" t="str">
            <v>KARACHI</v>
          </cell>
        </row>
        <row r="129">
          <cell r="AM129">
            <v>1973</v>
          </cell>
          <cell r="AN129" t="str">
            <v>PAKISTAN STEEL MILL,</v>
          </cell>
          <cell r="AO129" t="str">
            <v>Malir</v>
          </cell>
          <cell r="AP129" t="str">
            <v>KARACHI</v>
          </cell>
        </row>
        <row r="130">
          <cell r="AM130">
            <v>2214</v>
          </cell>
          <cell r="AN130" t="str">
            <v>ABUL HASAN ISPHANI RD. KARACHI</v>
          </cell>
          <cell r="AO130" t="str">
            <v>Gulshan</v>
          </cell>
          <cell r="AP130" t="str">
            <v>KARACHI</v>
          </cell>
        </row>
        <row r="131">
          <cell r="AM131">
            <v>2254</v>
          </cell>
          <cell r="AN131" t="str">
            <v>SHIREEN JINNAH COLONY, KARACHI</v>
          </cell>
          <cell r="AO131" t="str">
            <v>Plaza</v>
          </cell>
          <cell r="AP131" t="str">
            <v>KARACHI</v>
          </cell>
        </row>
        <row r="132">
          <cell r="AM132">
            <v>2255</v>
          </cell>
          <cell r="AN132" t="str">
            <v>KHAYABAN-E-SAADI, CLIFTON, KARACHI</v>
          </cell>
          <cell r="AO132" t="str">
            <v>Plaza</v>
          </cell>
          <cell r="AP132" t="str">
            <v>KARACHI</v>
          </cell>
        </row>
        <row r="133">
          <cell r="AM133">
            <v>2256</v>
          </cell>
          <cell r="AN133" t="str">
            <v>RASHID MINHAS RD BRANCH, KARACHI</v>
          </cell>
          <cell r="AO133" t="str">
            <v>Johar</v>
          </cell>
          <cell r="AP133" t="str">
            <v>KARACHI</v>
          </cell>
        </row>
        <row r="134">
          <cell r="AM134">
            <v>2265</v>
          </cell>
          <cell r="AN134" t="str">
            <v>KHAYABAN-E-HAFIZ BR</v>
          </cell>
          <cell r="AO134" t="str">
            <v>Defence Housing Society (DHS)</v>
          </cell>
          <cell r="AP134" t="str">
            <v>KARACHI</v>
          </cell>
        </row>
        <row r="135">
          <cell r="AM135">
            <v>2266</v>
          </cell>
          <cell r="AN135" t="str">
            <v>CONSUMER CENTER</v>
          </cell>
          <cell r="AO135" t="str">
            <v>Independent--Branch</v>
          </cell>
          <cell r="AP135" t="str">
            <v>KARACHI</v>
          </cell>
        </row>
        <row r="136">
          <cell r="AM136">
            <v>2272</v>
          </cell>
          <cell r="AN136" t="str">
            <v>BHITAI COLONY KARACH</v>
          </cell>
          <cell r="AO136" t="str">
            <v>Korangi</v>
          </cell>
          <cell r="AP136" t="str">
            <v>KARACHI</v>
          </cell>
        </row>
        <row r="137">
          <cell r="AM137">
            <v>2274</v>
          </cell>
          <cell r="AN137" t="str">
            <v>SEA VIEW BRANCH</v>
          </cell>
          <cell r="AO137" t="str">
            <v>Defence Housing Society (DHS)</v>
          </cell>
          <cell r="AP137" t="str">
            <v>KARACHI</v>
          </cell>
        </row>
        <row r="138">
          <cell r="AM138">
            <v>2282</v>
          </cell>
          <cell r="AN138" t="str">
            <v>KHAYABAN-E-BUKHARI</v>
          </cell>
          <cell r="AO138" t="str">
            <v>Defence Housing Society (DHS)</v>
          </cell>
          <cell r="AP138" t="str">
            <v>KARACHI</v>
          </cell>
        </row>
        <row r="139">
          <cell r="AM139">
            <v>2283</v>
          </cell>
          <cell r="AN139" t="str">
            <v>RAFA-E-AAM SOCITY BR</v>
          </cell>
          <cell r="AO139" t="str">
            <v>Malir</v>
          </cell>
          <cell r="AP139" t="str">
            <v>KARACHI</v>
          </cell>
        </row>
        <row r="140">
          <cell r="AM140">
            <v>2289</v>
          </cell>
          <cell r="AN140" t="str">
            <v>KARACHI-GUJAR CHOWK,</v>
          </cell>
          <cell r="AO140" t="str">
            <v>Korangi</v>
          </cell>
          <cell r="AP140" t="str">
            <v>KARACHI</v>
          </cell>
        </row>
        <row r="141">
          <cell r="AM141">
            <v>2298</v>
          </cell>
          <cell r="AN141" t="str">
            <v>OLD TRUCK STAND MAUR</v>
          </cell>
          <cell r="AO141" t="str">
            <v>Plaza</v>
          </cell>
          <cell r="AP141" t="str">
            <v>KARACHI</v>
          </cell>
        </row>
        <row r="142">
          <cell r="AM142">
            <v>2302</v>
          </cell>
          <cell r="AN142" t="str">
            <v>GARDEN EAST BRANCH</v>
          </cell>
          <cell r="AO142" t="str">
            <v>Garden</v>
          </cell>
          <cell r="AP142" t="str">
            <v>KARACHI</v>
          </cell>
        </row>
        <row r="143">
          <cell r="AM143">
            <v>2309</v>
          </cell>
          <cell r="AN143" t="str">
            <v>Haroon Baharia Branc</v>
          </cell>
          <cell r="AO143" t="str">
            <v>Plaza</v>
          </cell>
          <cell r="AP143" t="str">
            <v>KARACHI</v>
          </cell>
        </row>
        <row r="144">
          <cell r="AM144">
            <v>2312</v>
          </cell>
          <cell r="AN144" t="str">
            <v>CITY COURT BR</v>
          </cell>
          <cell r="AO144" t="str">
            <v>SAM South</v>
          </cell>
          <cell r="AP144" t="str">
            <v>KARACHI</v>
          </cell>
        </row>
        <row r="145">
          <cell r="AM145">
            <v>2313</v>
          </cell>
          <cell r="AN145" t="str">
            <v>DOLMEN MALL CLIFTON</v>
          </cell>
          <cell r="AO145" t="str">
            <v>SAM South</v>
          </cell>
          <cell r="AP145" t="str">
            <v>KARACHI</v>
          </cell>
        </row>
        <row r="146">
          <cell r="AM146">
            <v>2325</v>
          </cell>
          <cell r="AN146" t="str">
            <v>CATTLE COLONY BRANCH</v>
          </cell>
          <cell r="AO146" t="str">
            <v>Malir</v>
          </cell>
          <cell r="AP146" t="str">
            <v>KARACHI</v>
          </cell>
        </row>
        <row r="147">
          <cell r="AM147">
            <v>2338</v>
          </cell>
          <cell r="AN147" t="str">
            <v>HAWKS BAY ROAD</v>
          </cell>
          <cell r="AO147" t="str">
            <v>Plaza</v>
          </cell>
          <cell r="AP147" t="str">
            <v>KARACHI</v>
          </cell>
        </row>
        <row r="148">
          <cell r="AM148">
            <v>2341</v>
          </cell>
          <cell r="AN148" t="str">
            <v>WORLD TRADE CENTER B</v>
          </cell>
          <cell r="AO148" t="str">
            <v>Defence Housing Society (DHS)</v>
          </cell>
          <cell r="AP148" t="str">
            <v>KARACHI</v>
          </cell>
        </row>
        <row r="149">
          <cell r="AM149">
            <v>2342</v>
          </cell>
          <cell r="AN149" t="str">
            <v>PARK AVENUE BR</v>
          </cell>
          <cell r="AO149" t="str">
            <v>SAM East</v>
          </cell>
          <cell r="AP149" t="str">
            <v>KARACHI</v>
          </cell>
        </row>
        <row r="150">
          <cell r="AM150">
            <v>2355</v>
          </cell>
          <cell r="AN150" t="str">
            <v>GIZRI BRANCH</v>
          </cell>
          <cell r="AO150" t="str">
            <v>Defence Housing Society (DHS)</v>
          </cell>
          <cell r="AP150" t="str">
            <v>KARACHI</v>
          </cell>
        </row>
        <row r="151">
          <cell r="AM151">
            <v>2380</v>
          </cell>
          <cell r="AN151" t="str">
            <v>KDA MARKET BRANCH</v>
          </cell>
          <cell r="AO151" t="str">
            <v>Johar</v>
          </cell>
          <cell r="AP151" t="str">
            <v>KARACHI</v>
          </cell>
        </row>
        <row r="152">
          <cell r="AM152">
            <v>2381</v>
          </cell>
          <cell r="AN152" t="str">
            <v>KARACH UNIVERSITY CA</v>
          </cell>
          <cell r="AO152" t="str">
            <v>Gulshan</v>
          </cell>
          <cell r="AP152" t="str">
            <v>KARACHI</v>
          </cell>
        </row>
        <row r="153">
          <cell r="AM153">
            <v>2386</v>
          </cell>
          <cell r="AN153" t="str">
            <v>NEUPLEX  BRANCH</v>
          </cell>
          <cell r="AO153" t="str">
            <v>Defence Housing Society (DHS)</v>
          </cell>
          <cell r="AP153" t="str">
            <v>KARACHI</v>
          </cell>
        </row>
        <row r="154">
          <cell r="AM154">
            <v>2389</v>
          </cell>
          <cell r="AN154" t="str">
            <v>MODEL COLONY BRANCH</v>
          </cell>
          <cell r="AO154" t="str">
            <v>Malir</v>
          </cell>
          <cell r="AP154" t="str">
            <v>KARACHI</v>
          </cell>
        </row>
        <row r="155">
          <cell r="AM155">
            <v>2390</v>
          </cell>
          <cell r="AN155" t="str">
            <v>KORANGI IND AREA BRA</v>
          </cell>
          <cell r="AO155" t="str">
            <v>Korangi</v>
          </cell>
          <cell r="AP155" t="str">
            <v>KARACHI</v>
          </cell>
        </row>
        <row r="156">
          <cell r="AM156">
            <v>2404</v>
          </cell>
          <cell r="AN156" t="str">
            <v>BURHANI CIRCLE BRANC</v>
          </cell>
          <cell r="AO156" t="str">
            <v>SAM North</v>
          </cell>
          <cell r="AP156" t="str">
            <v>KARACHI</v>
          </cell>
        </row>
        <row r="157">
          <cell r="AM157">
            <v>2424</v>
          </cell>
          <cell r="AN157" t="str">
            <v>BLOCK 1 GULISTAN-E-J</v>
          </cell>
          <cell r="AO157" t="str">
            <v>Gulshan</v>
          </cell>
          <cell r="AP157" t="str">
            <v>KARACHI</v>
          </cell>
        </row>
        <row r="158">
          <cell r="AM158">
            <v>2430</v>
          </cell>
          <cell r="AN158" t="str">
            <v>PAKISTAN BAZAR ORANG</v>
          </cell>
          <cell r="AO158" t="str">
            <v>SAM North</v>
          </cell>
          <cell r="AP158" t="str">
            <v>KARACHI</v>
          </cell>
        </row>
        <row r="159">
          <cell r="AM159">
            <v>2432</v>
          </cell>
          <cell r="AN159" t="str">
            <v>BAHRIA ICON KARACHI</v>
          </cell>
          <cell r="AO159" t="str">
            <v>SAM South</v>
          </cell>
          <cell r="AP159" t="str">
            <v>KARACHI</v>
          </cell>
        </row>
        <row r="160">
          <cell r="AM160">
            <v>2439</v>
          </cell>
          <cell r="AN160" t="str">
            <v>FB Industrial Area Br</v>
          </cell>
          <cell r="AO160" t="str">
            <v>Johar</v>
          </cell>
          <cell r="AP160" t="str">
            <v>KARACHI</v>
          </cell>
        </row>
        <row r="161">
          <cell r="AM161">
            <v>2440</v>
          </cell>
          <cell r="AN161" t="str">
            <v>North Karachi Bara Market br</v>
          </cell>
          <cell r="AO161" t="str">
            <v>SAM North</v>
          </cell>
          <cell r="AP161" t="str">
            <v>KARACHI</v>
          </cell>
        </row>
        <row r="162">
          <cell r="AM162">
            <v>2441</v>
          </cell>
          <cell r="AN162" t="str">
            <v>Dawood Centre Branch</v>
          </cell>
          <cell r="AO162" t="str">
            <v>New Area</v>
          </cell>
          <cell r="AP162" t="str">
            <v>KARACHI</v>
          </cell>
        </row>
        <row r="163">
          <cell r="AM163">
            <v>2442</v>
          </cell>
          <cell r="AN163" t="str">
            <v>Khayaban-e-Shahbaz B</v>
          </cell>
          <cell r="AO163" t="str">
            <v>New Area</v>
          </cell>
          <cell r="AP163" t="str">
            <v>KARACHI</v>
          </cell>
        </row>
        <row r="164">
          <cell r="AM164">
            <v>2443</v>
          </cell>
          <cell r="AN164" t="str">
            <v>Shahrah-e-Faisal Bra</v>
          </cell>
          <cell r="AO164" t="str">
            <v>New Area</v>
          </cell>
          <cell r="AP164" t="str">
            <v>KARACHI</v>
          </cell>
        </row>
        <row r="165">
          <cell r="AM165">
            <v>2448</v>
          </cell>
          <cell r="AN165" t="str">
            <v>Khalid Bin Waleed Ro</v>
          </cell>
          <cell r="AO165" t="str">
            <v>SAM East</v>
          </cell>
          <cell r="AP165" t="str">
            <v>KARACHI</v>
          </cell>
        </row>
        <row r="166">
          <cell r="AM166">
            <v>2450</v>
          </cell>
          <cell r="AN166" t="str">
            <v>Gulberg Chowrangi</v>
          </cell>
          <cell r="AO166" t="str">
            <v>Johar</v>
          </cell>
          <cell r="AP166" t="str">
            <v>KARACHI</v>
          </cell>
        </row>
        <row r="167">
          <cell r="AM167">
            <v>2469</v>
          </cell>
          <cell r="AN167" t="str">
            <v>Khayaban-e-Ittehad</v>
          </cell>
          <cell r="AO167" t="str">
            <v>New Area</v>
          </cell>
          <cell r="AP167" t="str">
            <v>KARACHI</v>
          </cell>
        </row>
        <row r="168">
          <cell r="AM168">
            <v>2470</v>
          </cell>
          <cell r="AN168" t="str">
            <v>Sanitary Market Goli</v>
          </cell>
          <cell r="AO168" t="str">
            <v>Garden</v>
          </cell>
          <cell r="AP168" t="str">
            <v>KARACHI</v>
          </cell>
        </row>
        <row r="169">
          <cell r="AM169">
            <v>2486</v>
          </cell>
          <cell r="AN169" t="str">
            <v>saba avenue</v>
          </cell>
          <cell r="AO169" t="str">
            <v>DHA</v>
          </cell>
          <cell r="AP169" t="str">
            <v>KARACHI</v>
          </cell>
        </row>
        <row r="170">
          <cell r="AM170">
            <v>9001</v>
          </cell>
          <cell r="AN170" t="str">
            <v>BRANCHLESS BANKING HOK</v>
          </cell>
          <cell r="AO170" t="str">
            <v>Independent_Branch</v>
          </cell>
          <cell r="AP170" t="str">
            <v>KARACHI</v>
          </cell>
        </row>
        <row r="171">
          <cell r="AM171">
            <v>66</v>
          </cell>
          <cell r="AN171" t="str">
            <v>DHORO NARO</v>
          </cell>
          <cell r="AO171" t="str">
            <v>Mirpurkhas Area</v>
          </cell>
          <cell r="AP171" t="str">
            <v>HYDERABAD</v>
          </cell>
        </row>
        <row r="172">
          <cell r="AM172">
            <v>67</v>
          </cell>
          <cell r="AN172" t="str">
            <v>MARKET RD, HYDERABAD</v>
          </cell>
          <cell r="AO172" t="str">
            <v>Hyderabad City Area</v>
          </cell>
          <cell r="AP172" t="str">
            <v>HYDERABAD</v>
          </cell>
        </row>
        <row r="173">
          <cell r="AM173">
            <v>68</v>
          </cell>
          <cell r="AN173" t="str">
            <v>STATION RD, HYDERABAD</v>
          </cell>
          <cell r="AO173" t="str">
            <v>Hyderabad City Area</v>
          </cell>
          <cell r="AP173" t="str">
            <v>HYDERABAD</v>
          </cell>
        </row>
        <row r="174">
          <cell r="AM174">
            <v>69</v>
          </cell>
          <cell r="AN174" t="str">
            <v>SINDH UNI, OLD CAMPUS, HYDERABAD</v>
          </cell>
          <cell r="AO174" t="str">
            <v>Univeristirs Area</v>
          </cell>
          <cell r="AP174" t="str">
            <v>HYDERABAD</v>
          </cell>
        </row>
        <row r="175">
          <cell r="AM175">
            <v>70</v>
          </cell>
          <cell r="AN175" t="str">
            <v>SHAHI BAZAR, HYDERABAD</v>
          </cell>
          <cell r="AO175" t="str">
            <v>Hyderabad City Area</v>
          </cell>
          <cell r="AP175" t="str">
            <v>HYDERABAD</v>
          </cell>
        </row>
        <row r="176">
          <cell r="AM176">
            <v>72</v>
          </cell>
          <cell r="AN176" t="str">
            <v>SINDH UNI, NEW CAMPUS, JAMSHORO</v>
          </cell>
          <cell r="AO176" t="str">
            <v>Univeristirs Area</v>
          </cell>
          <cell r="AP176" t="str">
            <v>HYDERABAD</v>
          </cell>
        </row>
        <row r="177">
          <cell r="AM177">
            <v>76</v>
          </cell>
          <cell r="AN177" t="str">
            <v>Bank Road Branch, Mirpurkhas</v>
          </cell>
          <cell r="AO177" t="str">
            <v>Mirpurkhas Area</v>
          </cell>
          <cell r="AP177" t="str">
            <v>HYDERABAD</v>
          </cell>
        </row>
        <row r="178">
          <cell r="AM178">
            <v>78</v>
          </cell>
          <cell r="AN178" t="str">
            <v>MASJID RD, NAWABSHAH</v>
          </cell>
          <cell r="AO178" t="str">
            <v>Nawabshah Area</v>
          </cell>
          <cell r="AP178" t="str">
            <v>HYDERABAD</v>
          </cell>
        </row>
        <row r="179">
          <cell r="AM179">
            <v>80</v>
          </cell>
          <cell r="AN179" t="str">
            <v>SHAHDADPUR</v>
          </cell>
          <cell r="AO179" t="str">
            <v>Nawabshah Area</v>
          </cell>
          <cell r="AP179" t="str">
            <v>HYDERABAD</v>
          </cell>
        </row>
        <row r="180">
          <cell r="AM180">
            <v>84</v>
          </cell>
          <cell r="AN180" t="str">
            <v>SINDH AGRI UNI, TANDO JAM</v>
          </cell>
          <cell r="AO180" t="str">
            <v>Univeristirs Area</v>
          </cell>
          <cell r="AP180" t="str">
            <v>HYDERABAD</v>
          </cell>
        </row>
        <row r="181">
          <cell r="AM181">
            <v>85</v>
          </cell>
          <cell r="AN181" t="str">
            <v>TANDO MUHAMMAD KHAN</v>
          </cell>
          <cell r="AO181" t="str">
            <v>Badin / Thatta Area</v>
          </cell>
          <cell r="AP181" t="str">
            <v>HYDERABAD</v>
          </cell>
        </row>
        <row r="182">
          <cell r="AM182">
            <v>86</v>
          </cell>
          <cell r="AN182" t="str">
            <v>LATIFABAD, UNIT NO.7, HYDERABAD</v>
          </cell>
          <cell r="AO182" t="str">
            <v>Latifabad / Autobhan Area</v>
          </cell>
          <cell r="AP182" t="str">
            <v>HYDERABAD</v>
          </cell>
        </row>
        <row r="183">
          <cell r="AM183">
            <v>87</v>
          </cell>
          <cell r="AN183" t="str">
            <v>TANDO ALLAHYAR</v>
          </cell>
          <cell r="AO183" t="str">
            <v>Latifabad / Autobhan Area</v>
          </cell>
          <cell r="AP183" t="str">
            <v>HYDERABAD</v>
          </cell>
        </row>
        <row r="184">
          <cell r="AM184">
            <v>89</v>
          </cell>
          <cell r="AN184" t="str">
            <v>GARI KHATA, HYDERABAD</v>
          </cell>
          <cell r="AO184" t="str">
            <v>Hyderabad City Area</v>
          </cell>
          <cell r="AP184" t="str">
            <v>HYDERABAD</v>
          </cell>
        </row>
        <row r="185">
          <cell r="AM185">
            <v>92</v>
          </cell>
          <cell r="AN185" t="str">
            <v>SANGHAR</v>
          </cell>
          <cell r="AO185" t="str">
            <v>Nawabshah Area</v>
          </cell>
          <cell r="AP185" t="str">
            <v>HYDERABAD</v>
          </cell>
        </row>
        <row r="186">
          <cell r="AM186">
            <v>93</v>
          </cell>
          <cell r="AN186" t="str">
            <v>HALA</v>
          </cell>
          <cell r="AO186" t="str">
            <v>Latifabad / Autobhan Area</v>
          </cell>
          <cell r="AP186" t="str">
            <v>HYDERABAD</v>
          </cell>
        </row>
        <row r="187">
          <cell r="AM187">
            <v>94</v>
          </cell>
          <cell r="AN187" t="str">
            <v>S.I.T.E.HYDERABAD</v>
          </cell>
          <cell r="AO187" t="str">
            <v>Hyderabad City Area</v>
          </cell>
          <cell r="AP187" t="str">
            <v>HYDERABAD</v>
          </cell>
        </row>
        <row r="188">
          <cell r="AM188">
            <v>240</v>
          </cell>
          <cell r="AN188" t="str">
            <v>DISTRICT COUNCIL, HYDERABAD</v>
          </cell>
          <cell r="AO188" t="str">
            <v>Hyderabad City Area</v>
          </cell>
          <cell r="AP188" t="str">
            <v>HYDERABAD</v>
          </cell>
        </row>
        <row r="189">
          <cell r="AM189">
            <v>271</v>
          </cell>
          <cell r="AN189" t="str">
            <v>TANDO QAISER</v>
          </cell>
          <cell r="AO189" t="str">
            <v>Latifabad / Autobhan Area</v>
          </cell>
          <cell r="AP189" t="str">
            <v>HYDERABAD</v>
          </cell>
        </row>
        <row r="190">
          <cell r="AM190">
            <v>321</v>
          </cell>
          <cell r="AN190" t="str">
            <v>DEH KIHORE, SANGHAR</v>
          </cell>
          <cell r="AO190" t="str">
            <v>Mirpurkhas Area</v>
          </cell>
          <cell r="AP190" t="str">
            <v>HYDERABAD</v>
          </cell>
        </row>
        <row r="191">
          <cell r="AM191">
            <v>429</v>
          </cell>
          <cell r="AN191" t="str">
            <v>MOHNI BAZAR, NAWABSHAH</v>
          </cell>
          <cell r="AO191" t="str">
            <v>Nawabshah Area</v>
          </cell>
          <cell r="AP191" t="str">
            <v>HYDERABAD</v>
          </cell>
        </row>
        <row r="192">
          <cell r="AM192">
            <v>433</v>
          </cell>
          <cell r="AN192" t="str">
            <v>SHAHPUR CHAKAR</v>
          </cell>
          <cell r="AO192" t="str">
            <v>Nawabshah Area</v>
          </cell>
          <cell r="AP192" t="str">
            <v>HYDERABAD</v>
          </cell>
        </row>
        <row r="193">
          <cell r="AM193">
            <v>514</v>
          </cell>
          <cell r="AN193" t="str">
            <v>CADET COLLEGE, PETARO</v>
          </cell>
          <cell r="AO193" t="str">
            <v>Univeristirs Area</v>
          </cell>
          <cell r="AP193" t="str">
            <v>HYDERABAD</v>
          </cell>
        </row>
        <row r="194">
          <cell r="AM194">
            <v>538</v>
          </cell>
          <cell r="AN194" t="str">
            <v>KOT GHULAM MUHAMMAD</v>
          </cell>
          <cell r="AO194" t="str">
            <v>Mirpurkhas Area</v>
          </cell>
          <cell r="AP194" t="str">
            <v>HYDERABAD</v>
          </cell>
        </row>
        <row r="195">
          <cell r="AM195">
            <v>539</v>
          </cell>
          <cell r="AN195" t="str">
            <v>DEH-22 JAMRAO</v>
          </cell>
          <cell r="AO195" t="str">
            <v>Nawabshah Area</v>
          </cell>
          <cell r="AP195" t="str">
            <v>HYDERABAD</v>
          </cell>
        </row>
        <row r="196">
          <cell r="AM196">
            <v>562</v>
          </cell>
          <cell r="AN196" t="str">
            <v>DAULATPUR</v>
          </cell>
          <cell r="AO196" t="str">
            <v>Nawabshah Area</v>
          </cell>
          <cell r="AP196" t="str">
            <v>HYDERABAD</v>
          </cell>
        </row>
        <row r="197">
          <cell r="AM197">
            <v>653</v>
          </cell>
          <cell r="AN197" t="str">
            <v>THATTA</v>
          </cell>
          <cell r="AO197" t="str">
            <v>Badin / Thatta Area</v>
          </cell>
          <cell r="AP197" t="str">
            <v>HYDERABAD</v>
          </cell>
        </row>
        <row r="198">
          <cell r="AM198">
            <v>687</v>
          </cell>
          <cell r="AN198" t="str">
            <v>SAKRAND</v>
          </cell>
          <cell r="AO198" t="str">
            <v>Univeristirs Area</v>
          </cell>
          <cell r="AP198" t="str">
            <v>HYDERABAD</v>
          </cell>
        </row>
        <row r="199">
          <cell r="AM199">
            <v>697</v>
          </cell>
          <cell r="AN199" t="str">
            <v>BANDHI</v>
          </cell>
          <cell r="AO199" t="str">
            <v>Nawabshah Area</v>
          </cell>
          <cell r="AP199" t="str">
            <v>HYDERABAD</v>
          </cell>
        </row>
        <row r="200">
          <cell r="AM200">
            <v>829</v>
          </cell>
          <cell r="AN200" t="str">
            <v>SHAHEED FAZIL RAHU, GOLARCHI</v>
          </cell>
          <cell r="AO200" t="str">
            <v>Badin / Thatta Area</v>
          </cell>
          <cell r="AP200" t="str">
            <v>HYDERABAD</v>
          </cell>
        </row>
        <row r="201">
          <cell r="AM201">
            <v>875</v>
          </cell>
          <cell r="AN201" t="str">
            <v>TANDO ADAM</v>
          </cell>
          <cell r="AO201" t="str">
            <v>Nawabshah Area</v>
          </cell>
          <cell r="AP201" t="str">
            <v>HYDERABAD</v>
          </cell>
        </row>
        <row r="202">
          <cell r="AM202">
            <v>979</v>
          </cell>
          <cell r="AN202" t="str">
            <v>AHMED NAGAR TALHAR</v>
          </cell>
          <cell r="AO202" t="str">
            <v>Badin / Thatta Area</v>
          </cell>
          <cell r="AP202" t="str">
            <v>HYDERABAD</v>
          </cell>
        </row>
        <row r="203">
          <cell r="AM203">
            <v>1043</v>
          </cell>
          <cell r="AN203" t="str">
            <v>JAIL ROAD, HYDERABAD</v>
          </cell>
          <cell r="AO203" t="str">
            <v>Hyderabad City Area</v>
          </cell>
          <cell r="AP203" t="str">
            <v>HYDERABAD</v>
          </cell>
        </row>
        <row r="204">
          <cell r="AM204">
            <v>1123</v>
          </cell>
          <cell r="AN204" t="str">
            <v>GURU NAGAR, HYDERABAD</v>
          </cell>
          <cell r="AO204" t="str">
            <v>Hyderabad City Area</v>
          </cell>
          <cell r="AP204" t="str">
            <v>HYDERABAD</v>
          </cell>
        </row>
        <row r="205">
          <cell r="AM205">
            <v>1260</v>
          </cell>
          <cell r="AN205" t="str">
            <v>QASIMABAD, HYDERABAD</v>
          </cell>
          <cell r="AO205" t="str">
            <v>Latifabad / Autobhan Area</v>
          </cell>
          <cell r="AP205" t="str">
            <v>HYDERABAD</v>
          </cell>
        </row>
        <row r="206">
          <cell r="AM206">
            <v>1261</v>
          </cell>
          <cell r="AN206" t="str">
            <v>QUAID-I-AZAM RD, BADIN</v>
          </cell>
          <cell r="AO206" t="str">
            <v>Badin / Thatta Area</v>
          </cell>
          <cell r="AP206" t="str">
            <v>HYDERABAD</v>
          </cell>
        </row>
        <row r="207">
          <cell r="AM207">
            <v>1320</v>
          </cell>
          <cell r="AN207" t="str">
            <v>KHIPRO</v>
          </cell>
          <cell r="AO207" t="str">
            <v>Mirpurkhas Area</v>
          </cell>
          <cell r="AP207" t="str">
            <v>HYDERABAD</v>
          </cell>
        </row>
        <row r="208">
          <cell r="AM208">
            <v>1337</v>
          </cell>
          <cell r="AN208" t="str">
            <v>DIGRI</v>
          </cell>
          <cell r="AO208" t="str">
            <v>Mirpurkhas Area</v>
          </cell>
          <cell r="AP208" t="str">
            <v>HYDERABAD</v>
          </cell>
        </row>
        <row r="209">
          <cell r="AM209">
            <v>1343</v>
          </cell>
          <cell r="AN209" t="str">
            <v>KUNRI</v>
          </cell>
          <cell r="AO209" t="str">
            <v>Mirpurkhas Area</v>
          </cell>
          <cell r="AP209" t="str">
            <v>HYDERABAD</v>
          </cell>
        </row>
        <row r="210">
          <cell r="AM210">
            <v>1398</v>
          </cell>
          <cell r="AN210" t="str">
            <v>MARKET ROAD, NAWABSHAH</v>
          </cell>
          <cell r="AO210" t="str">
            <v>Nawabshah Area</v>
          </cell>
          <cell r="AP210" t="str">
            <v>HYDERABAD</v>
          </cell>
        </row>
        <row r="211">
          <cell r="AM211">
            <v>1411</v>
          </cell>
          <cell r="AN211" t="str">
            <v>DEH RAJORI (PANGRIO</v>
          </cell>
          <cell r="AO211" t="str">
            <v>Badin / Thatta Area</v>
          </cell>
          <cell r="AP211" t="str">
            <v>HYDERABAD</v>
          </cell>
        </row>
        <row r="212">
          <cell r="AM212">
            <v>1439</v>
          </cell>
          <cell r="AN212" t="str">
            <v>PEOPLES MEDICAL COLLEGE, NAWABSHAH</v>
          </cell>
          <cell r="AO212" t="str">
            <v>Univeristirs Area</v>
          </cell>
          <cell r="AP212" t="str">
            <v>HYDERABAD</v>
          </cell>
        </row>
        <row r="213">
          <cell r="AM213">
            <v>1491</v>
          </cell>
          <cell r="AN213" t="str">
            <v>CHORE</v>
          </cell>
          <cell r="AO213" t="str">
            <v>Mirpurkhas Area</v>
          </cell>
          <cell r="AP213" t="str">
            <v>HYDERABAD</v>
          </cell>
        </row>
        <row r="214">
          <cell r="AM214">
            <v>1517</v>
          </cell>
          <cell r="AN214" t="str">
            <v>LATIFABAD, UNIT NO.11, HYDERABAD</v>
          </cell>
          <cell r="AO214" t="str">
            <v>Latifabad / Autobhan Area</v>
          </cell>
          <cell r="AP214" t="str">
            <v>HYDERABAD</v>
          </cell>
        </row>
        <row r="215">
          <cell r="AM215">
            <v>1660</v>
          </cell>
          <cell r="AN215" t="str">
            <v>TANDO JAM-CITY</v>
          </cell>
          <cell r="AO215" t="str">
            <v>Latifabad / Autobhan Area</v>
          </cell>
          <cell r="AP215" t="str">
            <v>HYDERABAD</v>
          </cell>
        </row>
        <row r="216">
          <cell r="AM216">
            <v>1661</v>
          </cell>
          <cell r="AN216" t="str">
            <v>TANDO GHULAM ALI</v>
          </cell>
          <cell r="AO216" t="str">
            <v>Badin / Thatta Area</v>
          </cell>
          <cell r="AP216" t="str">
            <v>HYDERABAD</v>
          </cell>
        </row>
        <row r="217">
          <cell r="AM217">
            <v>1668</v>
          </cell>
          <cell r="AN217" t="str">
            <v>SATELLITE TOWN, MIRPURKHAS</v>
          </cell>
          <cell r="AO217" t="str">
            <v>Mirpurkhas Area</v>
          </cell>
          <cell r="AP217" t="str">
            <v>HYDERABAD</v>
          </cell>
        </row>
        <row r="218">
          <cell r="AM218">
            <v>1669</v>
          </cell>
          <cell r="AN218" t="str">
            <v>KOTRI CITY</v>
          </cell>
          <cell r="AO218" t="str">
            <v>Latifabad / Autobhan Area</v>
          </cell>
          <cell r="AP218" t="str">
            <v>HYDERABAD</v>
          </cell>
        </row>
        <row r="219">
          <cell r="AM219">
            <v>1712</v>
          </cell>
          <cell r="AN219" t="str">
            <v>DEH BANNU, MIRPUR BH</v>
          </cell>
          <cell r="AO219" t="str">
            <v>Badin / Thatta Area</v>
          </cell>
          <cell r="AP219" t="str">
            <v>HYDERABAD</v>
          </cell>
        </row>
        <row r="220">
          <cell r="AM220">
            <v>1779</v>
          </cell>
          <cell r="AN220" t="str">
            <v>SARHARI</v>
          </cell>
          <cell r="AO220" t="str">
            <v>Nawabshah Area</v>
          </cell>
          <cell r="AP220" t="str">
            <v>HYDERABAD</v>
          </cell>
        </row>
        <row r="221">
          <cell r="AM221">
            <v>1803</v>
          </cell>
          <cell r="AN221" t="str">
            <v>DEH PANO, MATIARI SU</v>
          </cell>
          <cell r="AO221" t="str">
            <v>Hyderabad City Area</v>
          </cell>
          <cell r="AP221" t="str">
            <v>HYDERABAD</v>
          </cell>
        </row>
        <row r="222">
          <cell r="AM222">
            <v>1811</v>
          </cell>
          <cell r="AN222" t="str">
            <v>DEWAN CITY, SAJAWAL</v>
          </cell>
          <cell r="AO222" t="str">
            <v>Badin / Thatta Area</v>
          </cell>
          <cell r="AP222" t="str">
            <v>HYDERABAD</v>
          </cell>
        </row>
        <row r="223">
          <cell r="AM223">
            <v>1816</v>
          </cell>
          <cell r="AN223" t="str">
            <v>HASSANPUR SECTOR</v>
          </cell>
          <cell r="AO223" t="str">
            <v>Badin / Thatta Area</v>
          </cell>
          <cell r="AP223" t="str">
            <v>HYDERABAD</v>
          </cell>
        </row>
        <row r="224">
          <cell r="AM224">
            <v>2314</v>
          </cell>
          <cell r="AN224" t="str">
            <v>Liaquat Colony Branc</v>
          </cell>
          <cell r="AO224" t="str">
            <v>Hyderabad City Area</v>
          </cell>
          <cell r="AP224" t="str">
            <v>HYDERABAD</v>
          </cell>
        </row>
        <row r="225">
          <cell r="AM225">
            <v>2321</v>
          </cell>
          <cell r="AN225" t="str">
            <v>AUTO BHAN ROAD</v>
          </cell>
          <cell r="AO225" t="str">
            <v>Latifabad / Autobhan Area</v>
          </cell>
          <cell r="AP225" t="str">
            <v>HYDERABAD</v>
          </cell>
        </row>
        <row r="226">
          <cell r="AM226">
            <v>2369</v>
          </cell>
          <cell r="AN226" t="str">
            <v>UMERKOT BRANCH</v>
          </cell>
          <cell r="AO226" t="str">
            <v>Mirpurkhas Area</v>
          </cell>
          <cell r="AP226" t="str">
            <v>HYDERABAD</v>
          </cell>
        </row>
        <row r="227">
          <cell r="AM227">
            <v>2387</v>
          </cell>
          <cell r="AN227" t="str">
            <v>MATLI BRANCH</v>
          </cell>
          <cell r="AO227" t="str">
            <v>Badin / Thatta Area</v>
          </cell>
          <cell r="AP227" t="str">
            <v>HYDERABAD</v>
          </cell>
        </row>
        <row r="228">
          <cell r="AM228">
            <v>2416</v>
          </cell>
          <cell r="AN228" t="str">
            <v>MITHI BRANCH</v>
          </cell>
          <cell r="AO228" t="str">
            <v>Mirpurkhas Area</v>
          </cell>
          <cell r="AP228" t="str">
            <v>HYDERABAD</v>
          </cell>
        </row>
        <row r="229">
          <cell r="AM229">
            <v>2457</v>
          </cell>
          <cell r="AN229" t="str">
            <v>Sujawal</v>
          </cell>
          <cell r="AO229" t="str">
            <v>Badin / Thatta Area</v>
          </cell>
          <cell r="AP229" t="str">
            <v>HYDERABAD</v>
          </cell>
        </row>
        <row r="230">
          <cell r="AM230">
            <v>2458</v>
          </cell>
          <cell r="AN230" t="str">
            <v>Thar Islamkot</v>
          </cell>
          <cell r="AO230" t="str">
            <v>Mirpurkhas Area</v>
          </cell>
          <cell r="AP230" t="str">
            <v>HYDERABAD</v>
          </cell>
        </row>
        <row r="231">
          <cell r="AM231">
            <v>71</v>
          </cell>
          <cell r="AN231" t="str">
            <v>JACOBABAD-QUAID-E-AZ</v>
          </cell>
          <cell r="AO231" t="str">
            <v>KASHMORE</v>
          </cell>
          <cell r="AP231" t="str">
            <v>SUKKUR</v>
          </cell>
        </row>
        <row r="232">
          <cell r="AM232">
            <v>73</v>
          </cell>
          <cell r="AN232" t="str">
            <v>MIR'S-MALL RD, KHAIRPUR</v>
          </cell>
          <cell r="AO232" t="str">
            <v>KHAIRPUR</v>
          </cell>
          <cell r="AP232" t="str">
            <v>SUKKUR</v>
          </cell>
        </row>
        <row r="233">
          <cell r="AM233">
            <v>74</v>
          </cell>
          <cell r="AN233" t="str">
            <v>KASHMORE-GUDDU BARRA</v>
          </cell>
          <cell r="AO233" t="str">
            <v>KASHMORE</v>
          </cell>
          <cell r="AP233" t="str">
            <v>SUKKUR</v>
          </cell>
        </row>
        <row r="234">
          <cell r="AM234">
            <v>75</v>
          </cell>
          <cell r="AN234" t="str">
            <v>BUNDER RD, LARKANA</v>
          </cell>
          <cell r="AO234" t="str">
            <v>LARKANA</v>
          </cell>
          <cell r="AP234" t="str">
            <v>SUKKUR</v>
          </cell>
        </row>
        <row r="235">
          <cell r="AM235">
            <v>77</v>
          </cell>
          <cell r="AN235" t="str">
            <v>MORO</v>
          </cell>
          <cell r="AO235" t="str">
            <v>DADU</v>
          </cell>
          <cell r="AP235" t="str">
            <v>SUKKUR</v>
          </cell>
        </row>
        <row r="236">
          <cell r="AM236">
            <v>79</v>
          </cell>
          <cell r="AN236" t="str">
            <v>SHAHDADKOT</v>
          </cell>
          <cell r="AO236" t="str">
            <v>LARKANA</v>
          </cell>
          <cell r="AP236" t="str">
            <v>SUKKUR</v>
          </cell>
        </row>
        <row r="237">
          <cell r="AM237">
            <v>81</v>
          </cell>
          <cell r="AN237" t="str">
            <v>GRAIN MARKET, SHIKARPUR</v>
          </cell>
          <cell r="AO237" t="str">
            <v>SUKKUR</v>
          </cell>
          <cell r="AP237" t="str">
            <v>SUKKUR</v>
          </cell>
        </row>
        <row r="238">
          <cell r="AM238">
            <v>82</v>
          </cell>
          <cell r="AN238" t="str">
            <v>FRERE RD, SUKKUR</v>
          </cell>
          <cell r="AO238" t="str">
            <v>SUKKUR</v>
          </cell>
          <cell r="AP238" t="str">
            <v>SUKKUR</v>
          </cell>
        </row>
        <row r="239">
          <cell r="AM239">
            <v>83</v>
          </cell>
          <cell r="AN239" t="str">
            <v>MIRCH BAZAR, SUKKUR</v>
          </cell>
          <cell r="AO239" t="str">
            <v>SUKKUR</v>
          </cell>
          <cell r="AP239" t="str">
            <v>SUKKUR</v>
          </cell>
        </row>
        <row r="240">
          <cell r="AM240">
            <v>91</v>
          </cell>
          <cell r="AN240" t="str">
            <v>DADU-STATION ROAD</v>
          </cell>
          <cell r="AO240" t="str">
            <v>DADU</v>
          </cell>
          <cell r="AP240" t="str">
            <v>SUKKUR</v>
          </cell>
        </row>
        <row r="241">
          <cell r="AM241">
            <v>95</v>
          </cell>
          <cell r="AN241" t="str">
            <v>THUL</v>
          </cell>
          <cell r="AO241" t="str">
            <v>KASHMORE</v>
          </cell>
          <cell r="AP241" t="str">
            <v>SUKKUR</v>
          </cell>
        </row>
        <row r="242">
          <cell r="AM242">
            <v>96</v>
          </cell>
          <cell r="AN242" t="str">
            <v>UBAURO</v>
          </cell>
          <cell r="AO242" t="str">
            <v>F.F.C. MIRPUR MATHELO</v>
          </cell>
          <cell r="AP242" t="str">
            <v>SUKKUR</v>
          </cell>
        </row>
        <row r="243">
          <cell r="AM243">
            <v>98</v>
          </cell>
          <cell r="AN243" t="str">
            <v>MIRPUR MATHELO</v>
          </cell>
          <cell r="AO243" t="str">
            <v>F.F.C. MIRPUR MATHELO</v>
          </cell>
          <cell r="AP243" t="str">
            <v>SUKKUR</v>
          </cell>
        </row>
        <row r="244">
          <cell r="AM244">
            <v>100</v>
          </cell>
          <cell r="AN244" t="str">
            <v>GHOTKI</v>
          </cell>
          <cell r="AO244" t="str">
            <v>F.F.C. MIRPUR MATHELO</v>
          </cell>
          <cell r="AP244" t="str">
            <v>SUKKUR</v>
          </cell>
        </row>
        <row r="245">
          <cell r="AM245">
            <v>236</v>
          </cell>
          <cell r="AN245" t="str">
            <v>WARAH</v>
          </cell>
          <cell r="AO245" t="str">
            <v>LARKANA</v>
          </cell>
          <cell r="AP245" t="str">
            <v>SUKKUR</v>
          </cell>
        </row>
        <row r="246">
          <cell r="AM246">
            <v>265</v>
          </cell>
          <cell r="AN246" t="str">
            <v>S. S. BHUTTO RD, LARKANA</v>
          </cell>
          <cell r="AO246" t="str">
            <v>LARKANA</v>
          </cell>
          <cell r="AP246" t="str">
            <v>SUKKUR</v>
          </cell>
        </row>
        <row r="247">
          <cell r="AM247">
            <v>293</v>
          </cell>
          <cell r="AN247" t="str">
            <v>GERELO</v>
          </cell>
          <cell r="AO247" t="str">
            <v>LARKANA</v>
          </cell>
          <cell r="AP247" t="str">
            <v>SUKKUR</v>
          </cell>
        </row>
        <row r="248">
          <cell r="AM248">
            <v>305</v>
          </cell>
          <cell r="AN248" t="str">
            <v>SUKKUR-GHARIBABAD</v>
          </cell>
          <cell r="AO248" t="str">
            <v>SUKKUR</v>
          </cell>
          <cell r="AP248" t="str">
            <v>SUKKUR</v>
          </cell>
        </row>
        <row r="249">
          <cell r="AM249">
            <v>313</v>
          </cell>
          <cell r="AN249" t="str">
            <v>SULTANKOT</v>
          </cell>
          <cell r="AO249" t="str">
            <v>SUKKUR</v>
          </cell>
          <cell r="AP249" t="str">
            <v>SUKKUR</v>
          </cell>
        </row>
        <row r="250">
          <cell r="AM250">
            <v>387</v>
          </cell>
          <cell r="AN250" t="str">
            <v>ROHRI</v>
          </cell>
          <cell r="AO250" t="str">
            <v>F.F.C. MIRPUR MATHELO</v>
          </cell>
          <cell r="AP250" t="str">
            <v>SUKKUR</v>
          </cell>
        </row>
        <row r="251">
          <cell r="AM251">
            <v>392</v>
          </cell>
          <cell r="AN251" t="str">
            <v>PADDIDAN SHAHAR</v>
          </cell>
          <cell r="AO251" t="str">
            <v>KHAIRPUR</v>
          </cell>
          <cell r="AP251" t="str">
            <v>SUKKUR</v>
          </cell>
        </row>
        <row r="252">
          <cell r="AM252">
            <v>438</v>
          </cell>
          <cell r="AN252" t="str">
            <v>KASHMORE CITY</v>
          </cell>
          <cell r="AO252" t="str">
            <v>KASHMORE</v>
          </cell>
          <cell r="AP252" t="str">
            <v>SUKKUR</v>
          </cell>
        </row>
        <row r="253">
          <cell r="AM253">
            <v>482</v>
          </cell>
          <cell r="AN253" t="str">
            <v>DAHARKI</v>
          </cell>
          <cell r="AO253" t="str">
            <v>F.F.C. MIRPUR MATHELO</v>
          </cell>
          <cell r="AP253" t="str">
            <v>SUKKUR</v>
          </cell>
        </row>
        <row r="254">
          <cell r="AM254">
            <v>496</v>
          </cell>
          <cell r="AN254" t="str">
            <v>THARU SHAH</v>
          </cell>
          <cell r="AO254" t="str">
            <v>KHAIRPUR</v>
          </cell>
          <cell r="AP254" t="str">
            <v>SUKKUR</v>
          </cell>
        </row>
        <row r="255">
          <cell r="AM255">
            <v>509</v>
          </cell>
          <cell r="AN255" t="str">
            <v>MEHAR</v>
          </cell>
          <cell r="AO255" t="str">
            <v>DADU</v>
          </cell>
          <cell r="AP255" t="str">
            <v>SUKKUR</v>
          </cell>
        </row>
        <row r="256">
          <cell r="AM256">
            <v>516</v>
          </cell>
          <cell r="AN256" t="str">
            <v>SUI</v>
          </cell>
          <cell r="AO256" t="str">
            <v>KASHMORE</v>
          </cell>
          <cell r="AP256" t="str">
            <v>SUKKUR</v>
          </cell>
        </row>
        <row r="257">
          <cell r="AM257">
            <v>577</v>
          </cell>
          <cell r="AN257" t="str">
            <v>RADHAN</v>
          </cell>
          <cell r="AO257" t="str">
            <v>DADU</v>
          </cell>
          <cell r="AP257" t="str">
            <v>SUKKUR</v>
          </cell>
        </row>
        <row r="258">
          <cell r="AM258">
            <v>656</v>
          </cell>
          <cell r="AN258" t="str">
            <v>NAUSHERO FEROZE</v>
          </cell>
          <cell r="AO258" t="str">
            <v>KHAIRPUR</v>
          </cell>
          <cell r="AP258" t="str">
            <v>SUKKUR</v>
          </cell>
        </row>
        <row r="259">
          <cell r="AM259">
            <v>846</v>
          </cell>
          <cell r="AN259" t="str">
            <v>MEHRABPUR</v>
          </cell>
          <cell r="AO259" t="str">
            <v>KHAIRPUR</v>
          </cell>
          <cell r="AP259" t="str">
            <v>SUKKUR</v>
          </cell>
        </row>
        <row r="260">
          <cell r="AM260">
            <v>882</v>
          </cell>
          <cell r="AN260" t="str">
            <v>DARBELLO</v>
          </cell>
          <cell r="AO260" t="str">
            <v>KHAIRPUR</v>
          </cell>
          <cell r="AP260" t="str">
            <v>SUKKUR</v>
          </cell>
        </row>
        <row r="261">
          <cell r="AM261">
            <v>884</v>
          </cell>
          <cell r="AN261" t="str">
            <v>KANDHKOT</v>
          </cell>
          <cell r="AO261" t="str">
            <v>KASHMORE</v>
          </cell>
          <cell r="AP261" t="str">
            <v>SUKKUR</v>
          </cell>
        </row>
        <row r="262">
          <cell r="AM262">
            <v>943</v>
          </cell>
          <cell r="AN262" t="str">
            <v>NEW JATOI</v>
          </cell>
          <cell r="AO262" t="str">
            <v>DADU</v>
          </cell>
          <cell r="AP262" t="str">
            <v>SUKKUR</v>
          </cell>
        </row>
        <row r="263">
          <cell r="AM263">
            <v>954</v>
          </cell>
          <cell r="AN263" t="str">
            <v>KAKAR BRANCH</v>
          </cell>
          <cell r="AO263" t="str">
            <v>DADU</v>
          </cell>
          <cell r="AP263" t="str">
            <v>SUKKUR</v>
          </cell>
        </row>
        <row r="264">
          <cell r="AM264">
            <v>1051</v>
          </cell>
          <cell r="AN264" t="str">
            <v>RATO DERO</v>
          </cell>
          <cell r="AO264" t="str">
            <v>LARKANA</v>
          </cell>
          <cell r="AP264" t="str">
            <v>SUKKUR</v>
          </cell>
        </row>
        <row r="265">
          <cell r="AM265">
            <v>1133</v>
          </cell>
          <cell r="AN265" t="str">
            <v>BHIRYA ROAD</v>
          </cell>
          <cell r="AO265" t="str">
            <v>KHAIRPUR</v>
          </cell>
          <cell r="AP265" t="str">
            <v>SUKKUR</v>
          </cell>
        </row>
        <row r="266">
          <cell r="AM266">
            <v>1208</v>
          </cell>
          <cell r="AN266" t="str">
            <v>SHAH ABDUL LATIF UNIV.KHAIPUR</v>
          </cell>
          <cell r="AO266" t="str">
            <v>KHAIRPUR</v>
          </cell>
          <cell r="AP266" t="str">
            <v>SUKKUR</v>
          </cell>
        </row>
        <row r="267">
          <cell r="AM267">
            <v>1262</v>
          </cell>
          <cell r="AN267" t="str">
            <v>KANDIARO - CHAMAN BA</v>
          </cell>
          <cell r="AO267" t="str">
            <v>KHAIRPUR</v>
          </cell>
          <cell r="AP267" t="str">
            <v>SUKKUR</v>
          </cell>
        </row>
        <row r="268">
          <cell r="AM268">
            <v>1304</v>
          </cell>
          <cell r="AN268" t="str">
            <v>RANIPUR  RIYASAT</v>
          </cell>
          <cell r="AO268" t="str">
            <v>SUKKUR</v>
          </cell>
          <cell r="AP268" t="str">
            <v>SUKKUR</v>
          </cell>
        </row>
        <row r="269">
          <cell r="AM269">
            <v>1388</v>
          </cell>
          <cell r="AN269" t="str">
            <v>BHAN SAEEDABAD</v>
          </cell>
          <cell r="AO269" t="str">
            <v>DADU</v>
          </cell>
          <cell r="AP269" t="str">
            <v>SUKKUR</v>
          </cell>
        </row>
        <row r="270">
          <cell r="AM270">
            <v>1393</v>
          </cell>
          <cell r="AN270" t="str">
            <v>PANO AQIL</v>
          </cell>
          <cell r="AO270" t="str">
            <v>F.F.C. MIRPUR MATHELO</v>
          </cell>
          <cell r="AP270" t="str">
            <v>SUKKUR</v>
          </cell>
        </row>
        <row r="271">
          <cell r="AM271">
            <v>1404</v>
          </cell>
          <cell r="AN271" t="str">
            <v>BADAH</v>
          </cell>
          <cell r="AO271" t="str">
            <v>LARKANA</v>
          </cell>
          <cell r="AP271" t="str">
            <v>SUKKUR</v>
          </cell>
        </row>
        <row r="272">
          <cell r="AM272">
            <v>1415</v>
          </cell>
          <cell r="AN272" t="str">
            <v>NASIRABAD</v>
          </cell>
          <cell r="AO272" t="str">
            <v>LARKANA</v>
          </cell>
          <cell r="AP272" t="str">
            <v>SUKKUR</v>
          </cell>
        </row>
        <row r="273">
          <cell r="AM273">
            <v>1484</v>
          </cell>
          <cell r="AN273" t="str">
            <v>MIRPUR MATHELO-F.F.C., TOWNSHIP</v>
          </cell>
          <cell r="AO273" t="str">
            <v>F.F.C. MIRPUR MATHELO</v>
          </cell>
          <cell r="AP273" t="str">
            <v>SUKKUR</v>
          </cell>
        </row>
        <row r="274">
          <cell r="AM274">
            <v>1495</v>
          </cell>
          <cell r="AN274" t="str">
            <v>MILITARY ROAD, SUKKUR</v>
          </cell>
          <cell r="AO274" t="str">
            <v>SUKKUR</v>
          </cell>
          <cell r="AP274" t="str">
            <v>SUKKUR</v>
          </cell>
        </row>
        <row r="275">
          <cell r="AM275">
            <v>1585</v>
          </cell>
          <cell r="AN275" t="str">
            <v>SITA ROAD</v>
          </cell>
          <cell r="AO275" t="str">
            <v>DADU</v>
          </cell>
          <cell r="AP275" t="str">
            <v>SUKKUR</v>
          </cell>
        </row>
        <row r="276">
          <cell r="AM276">
            <v>1587</v>
          </cell>
          <cell r="AN276" t="str">
            <v>USTA MUHAMMAD</v>
          </cell>
          <cell r="AO276" t="str">
            <v>KASHMORE</v>
          </cell>
          <cell r="AP276" t="str">
            <v>SUKKUR</v>
          </cell>
        </row>
        <row r="277">
          <cell r="AM277">
            <v>1648</v>
          </cell>
          <cell r="AN277" t="str">
            <v>DERA MURAD JAMALI</v>
          </cell>
          <cell r="AO277" t="str">
            <v>KASHMORE</v>
          </cell>
          <cell r="AP277" t="str">
            <v>SUKKUR</v>
          </cell>
        </row>
        <row r="278">
          <cell r="AM278">
            <v>1931</v>
          </cell>
          <cell r="AN278" t="str">
            <v>DEH BAWAN KHAIRPUR NATHAN SHAH</v>
          </cell>
          <cell r="AO278" t="str">
            <v>DADU</v>
          </cell>
          <cell r="AP278" t="str">
            <v>SUKKUR</v>
          </cell>
        </row>
        <row r="279">
          <cell r="AM279">
            <v>2377</v>
          </cell>
          <cell r="AN279" t="str">
            <v>MINARA ROAD BRANCH</v>
          </cell>
          <cell r="AO279" t="str">
            <v>SUKKUR</v>
          </cell>
          <cell r="AP279" t="str">
            <v>SUKKUR</v>
          </cell>
        </row>
        <row r="280">
          <cell r="AM280">
            <v>2391</v>
          </cell>
          <cell r="AN280" t="str">
            <v>KHAJOOR MANDI BRANCH</v>
          </cell>
          <cell r="AO280" t="str">
            <v>SUKKUR</v>
          </cell>
          <cell r="AP280" t="str">
            <v>SUKKUR</v>
          </cell>
        </row>
        <row r="281">
          <cell r="AM281">
            <v>2472</v>
          </cell>
          <cell r="AN281" t="str">
            <v>Kamber, Shahdadkot</v>
          </cell>
          <cell r="AO281" t="str">
            <v>LARKANA</v>
          </cell>
          <cell r="AP281" t="str">
            <v>SUKKUR</v>
          </cell>
        </row>
        <row r="282">
          <cell r="AM282">
            <v>99</v>
          </cell>
          <cell r="AN282" t="str">
            <v>ZHOB</v>
          </cell>
          <cell r="AO282" t="str">
            <v>Satellite Town - Quetta</v>
          </cell>
          <cell r="AP282" t="str">
            <v>QUETTA</v>
          </cell>
        </row>
        <row r="283">
          <cell r="AM283">
            <v>186</v>
          </cell>
          <cell r="AN283" t="str">
            <v>SHAHRAH-E-IQBAL, QUE</v>
          </cell>
          <cell r="AO283" t="str">
            <v>Complex</v>
          </cell>
          <cell r="AP283" t="str">
            <v>QUETTA</v>
          </cell>
        </row>
        <row r="284">
          <cell r="AM284">
            <v>228</v>
          </cell>
          <cell r="AN284" t="str">
            <v>PISHIN</v>
          </cell>
          <cell r="AO284" t="str">
            <v>Complex</v>
          </cell>
          <cell r="AP284" t="str">
            <v>QUETTA</v>
          </cell>
        </row>
        <row r="285">
          <cell r="AM285">
            <v>229</v>
          </cell>
          <cell r="AN285" t="str">
            <v>QUETTA-JINNAH ROAD</v>
          </cell>
          <cell r="AO285" t="str">
            <v>Satellite Town - Quetta</v>
          </cell>
          <cell r="AP285" t="str">
            <v>QUETTA</v>
          </cell>
        </row>
        <row r="286">
          <cell r="AM286">
            <v>230</v>
          </cell>
          <cell r="AN286" t="str">
            <v>LIAQUAT BAZAR, QUETT</v>
          </cell>
          <cell r="AO286" t="str">
            <v>Complex</v>
          </cell>
          <cell r="AP286" t="str">
            <v>QUETTA</v>
          </cell>
        </row>
        <row r="287">
          <cell r="AM287">
            <v>302</v>
          </cell>
          <cell r="AN287" t="str">
            <v>KUCHLAK-MAIN BAZAR</v>
          </cell>
          <cell r="AO287" t="str">
            <v>Satellite Town - Quetta</v>
          </cell>
          <cell r="AP287" t="str">
            <v>QUETTA</v>
          </cell>
        </row>
        <row r="288">
          <cell r="AM288">
            <v>436</v>
          </cell>
          <cell r="AN288" t="str">
            <v>SHARIGH, SIBI</v>
          </cell>
          <cell r="AO288" t="str">
            <v>University</v>
          </cell>
          <cell r="AP288" t="str">
            <v>QUETTA</v>
          </cell>
        </row>
        <row r="289">
          <cell r="AM289">
            <v>486</v>
          </cell>
          <cell r="AN289" t="str">
            <v>GAWADAR</v>
          </cell>
          <cell r="AO289" t="str">
            <v>Makran</v>
          </cell>
          <cell r="AP289" t="str">
            <v>QUETTA</v>
          </cell>
        </row>
        <row r="290">
          <cell r="AM290">
            <v>873</v>
          </cell>
          <cell r="AN290" t="str">
            <v>QUETTA-BALUCHISTAN U</v>
          </cell>
          <cell r="AO290" t="str">
            <v>University</v>
          </cell>
          <cell r="AP290" t="str">
            <v>QUETTA</v>
          </cell>
        </row>
        <row r="291">
          <cell r="AM291">
            <v>899</v>
          </cell>
          <cell r="AN291" t="str">
            <v>QUETTA-CHOWK ALAM KH</v>
          </cell>
          <cell r="AO291" t="str">
            <v>Complex</v>
          </cell>
          <cell r="AP291" t="str">
            <v>QUETTA</v>
          </cell>
        </row>
        <row r="292">
          <cell r="AM292">
            <v>942</v>
          </cell>
          <cell r="AN292" t="str">
            <v>KILLI SHAHOZAI MAIN</v>
          </cell>
          <cell r="AO292" t="str">
            <v>University</v>
          </cell>
          <cell r="AP292" t="str">
            <v>QUETTA</v>
          </cell>
        </row>
        <row r="293">
          <cell r="AM293">
            <v>973</v>
          </cell>
          <cell r="AN293" t="str">
            <v>MASTUNG</v>
          </cell>
          <cell r="AO293" t="str">
            <v>University</v>
          </cell>
          <cell r="AP293" t="str">
            <v>QUETTA</v>
          </cell>
        </row>
        <row r="294">
          <cell r="AM294">
            <v>974</v>
          </cell>
          <cell r="AN294" t="str">
            <v>MISSION ROAD, QUETTA</v>
          </cell>
          <cell r="AO294" t="str">
            <v>Complex</v>
          </cell>
          <cell r="AP294" t="str">
            <v>QUETTA</v>
          </cell>
        </row>
        <row r="295">
          <cell r="AM295">
            <v>984</v>
          </cell>
          <cell r="AN295" t="str">
            <v>SIBI</v>
          </cell>
          <cell r="AO295" t="str">
            <v>University</v>
          </cell>
          <cell r="AP295" t="str">
            <v>QUETTA</v>
          </cell>
        </row>
        <row r="296">
          <cell r="AM296">
            <v>1040</v>
          </cell>
          <cell r="AN296" t="str">
            <v>TURBAT</v>
          </cell>
          <cell r="AO296" t="str">
            <v>Makran</v>
          </cell>
          <cell r="AP296" t="str">
            <v>QUETTA</v>
          </cell>
        </row>
        <row r="297">
          <cell r="AM297">
            <v>1106</v>
          </cell>
          <cell r="AN297" t="str">
            <v>SURAJ GANJ BAZAR, QU</v>
          </cell>
          <cell r="AO297" t="str">
            <v>Satellite Town - Quetta</v>
          </cell>
          <cell r="AP297" t="str">
            <v>QUETTA</v>
          </cell>
        </row>
        <row r="298">
          <cell r="AM298">
            <v>1149</v>
          </cell>
          <cell r="AN298" t="str">
            <v>PANJGUR</v>
          </cell>
          <cell r="AO298" t="str">
            <v>Makran</v>
          </cell>
          <cell r="AP298" t="str">
            <v>QUETTA</v>
          </cell>
        </row>
        <row r="299">
          <cell r="AM299">
            <v>1151</v>
          </cell>
          <cell r="AN299" t="str">
            <v>PASNI</v>
          </cell>
          <cell r="AO299" t="str">
            <v>Makran</v>
          </cell>
          <cell r="AP299" t="str">
            <v>QUETTA</v>
          </cell>
        </row>
        <row r="300">
          <cell r="AM300">
            <v>1194</v>
          </cell>
          <cell r="AN300" t="str">
            <v>DASHT KUDDAN, TURBAT</v>
          </cell>
          <cell r="AO300" t="str">
            <v>Makran</v>
          </cell>
          <cell r="AP300" t="str">
            <v>QUETTA</v>
          </cell>
        </row>
        <row r="301">
          <cell r="AM301">
            <v>1263</v>
          </cell>
          <cell r="AN301" t="str">
            <v>QUETTA-CANTT</v>
          </cell>
          <cell r="AO301" t="str">
            <v>Complex</v>
          </cell>
          <cell r="AP301" t="str">
            <v>QUETTA</v>
          </cell>
        </row>
        <row r="302">
          <cell r="AM302">
            <v>1264</v>
          </cell>
          <cell r="AN302" t="str">
            <v>KHUZDAR</v>
          </cell>
          <cell r="AO302" t="str">
            <v>University</v>
          </cell>
          <cell r="AP302" t="str">
            <v>QUETTA</v>
          </cell>
        </row>
        <row r="303">
          <cell r="AM303">
            <v>1297</v>
          </cell>
          <cell r="AN303" t="str">
            <v>BULLOO (MAND)</v>
          </cell>
          <cell r="AO303" t="str">
            <v>Makran</v>
          </cell>
          <cell r="AP303" t="str">
            <v>QUETTA</v>
          </cell>
        </row>
        <row r="304">
          <cell r="AM304">
            <v>1312</v>
          </cell>
          <cell r="AN304" t="str">
            <v>KALATUK, TURBAT</v>
          </cell>
          <cell r="AO304" t="str">
            <v>Makran</v>
          </cell>
          <cell r="AP304" t="str">
            <v>QUETTA</v>
          </cell>
        </row>
        <row r="305">
          <cell r="AM305">
            <v>1426</v>
          </cell>
          <cell r="AN305" t="str">
            <v>MARRIABAD, QUETTA</v>
          </cell>
          <cell r="AO305" t="str">
            <v>Satellite Town - Quetta</v>
          </cell>
          <cell r="AP305" t="str">
            <v>QUETTA</v>
          </cell>
        </row>
        <row r="306">
          <cell r="AM306">
            <v>1456</v>
          </cell>
          <cell r="AN306" t="str">
            <v>LORALAI</v>
          </cell>
          <cell r="AO306" t="str">
            <v>Satellite Town - Quetta</v>
          </cell>
          <cell r="AP306" t="str">
            <v>QUETTA</v>
          </cell>
        </row>
        <row r="307">
          <cell r="AM307">
            <v>1457</v>
          </cell>
          <cell r="AN307" t="str">
            <v>CHAMAN</v>
          </cell>
          <cell r="AO307" t="str">
            <v>Satellite Town - Quetta</v>
          </cell>
          <cell r="AP307" t="str">
            <v>QUETTA</v>
          </cell>
        </row>
        <row r="308">
          <cell r="AM308">
            <v>1515</v>
          </cell>
          <cell r="AN308" t="str">
            <v>QUETTA-HAZAR GANJI</v>
          </cell>
          <cell r="AO308" t="str">
            <v>University</v>
          </cell>
          <cell r="AP308" t="str">
            <v>QUETTA</v>
          </cell>
        </row>
        <row r="309">
          <cell r="AM309">
            <v>1649</v>
          </cell>
          <cell r="AN309" t="str">
            <v>QUETTA-COMPLEX</v>
          </cell>
          <cell r="AO309" t="str">
            <v>Complex</v>
          </cell>
          <cell r="AP309" t="str">
            <v>QUETTA</v>
          </cell>
        </row>
        <row r="310">
          <cell r="AM310">
            <v>1650</v>
          </cell>
          <cell r="AN310" t="str">
            <v>QUETTA-MASJID ROAD</v>
          </cell>
          <cell r="AO310" t="str">
            <v>Complex</v>
          </cell>
          <cell r="AP310" t="str">
            <v>QUETTA</v>
          </cell>
        </row>
        <row r="311">
          <cell r="AM311">
            <v>1706</v>
          </cell>
          <cell r="AN311" t="str">
            <v>NOSHKI</v>
          </cell>
          <cell r="AO311" t="str">
            <v>University</v>
          </cell>
          <cell r="AP311" t="str">
            <v>QUETTA</v>
          </cell>
        </row>
        <row r="312">
          <cell r="AM312">
            <v>1726</v>
          </cell>
          <cell r="AN312" t="str">
            <v>QUETTA-SATELLITE TOW</v>
          </cell>
          <cell r="AO312" t="str">
            <v>Satellite Town - Quetta</v>
          </cell>
          <cell r="AP312" t="str">
            <v>QUETTA</v>
          </cell>
        </row>
        <row r="313">
          <cell r="AM313">
            <v>1733</v>
          </cell>
          <cell r="AN313" t="str">
            <v>QUETTA-HIGH COURT</v>
          </cell>
          <cell r="AO313" t="str">
            <v>Satellite Town - Quetta</v>
          </cell>
          <cell r="AP313" t="str">
            <v>QUETTA</v>
          </cell>
        </row>
        <row r="314">
          <cell r="AM314">
            <v>1814</v>
          </cell>
          <cell r="AN314" t="str">
            <v>KHARAN-MAIN BAZAR</v>
          </cell>
          <cell r="AO314" t="str">
            <v>University</v>
          </cell>
          <cell r="AP314" t="str">
            <v>QUETTA</v>
          </cell>
        </row>
        <row r="315">
          <cell r="AM315">
            <v>1972</v>
          </cell>
          <cell r="AN315" t="str">
            <v>TASP, PANJGUR</v>
          </cell>
          <cell r="AO315" t="str">
            <v>Makran</v>
          </cell>
          <cell r="AP315" t="str">
            <v>QUETTA</v>
          </cell>
        </row>
        <row r="316">
          <cell r="AM316">
            <v>1977</v>
          </cell>
          <cell r="AN316" t="str">
            <v>SULO, TURBAT</v>
          </cell>
          <cell r="AO316" t="str">
            <v>Makran</v>
          </cell>
          <cell r="AP316" t="str">
            <v>QUETTA</v>
          </cell>
        </row>
        <row r="317">
          <cell r="AM317">
            <v>2303</v>
          </cell>
          <cell r="AN317" t="str">
            <v>Main Bazar Branch,HA</v>
          </cell>
          <cell r="AO317" t="str">
            <v>University</v>
          </cell>
          <cell r="AP317" t="str">
            <v>QUETTA</v>
          </cell>
        </row>
        <row r="318">
          <cell r="AM318">
            <v>2322</v>
          </cell>
          <cell r="AN318" t="str">
            <v>MUSLIM BAGH BRANCH</v>
          </cell>
          <cell r="AO318" t="str">
            <v>Satellite Town - Quetta</v>
          </cell>
          <cell r="AP318" t="str">
            <v>QUETTA</v>
          </cell>
        </row>
        <row r="319">
          <cell r="AM319">
            <v>2358</v>
          </cell>
          <cell r="AN319" t="str">
            <v>BUITMS</v>
          </cell>
          <cell r="AO319" t="str">
            <v>Complex</v>
          </cell>
          <cell r="AP319" t="str">
            <v>QUETTA</v>
          </cell>
        </row>
        <row r="320">
          <cell r="AM320">
            <v>2412</v>
          </cell>
          <cell r="AN320" t="str">
            <v>PAF BASE SAMUNGLI</v>
          </cell>
          <cell r="AO320" t="str">
            <v>Satellite Town - Quetta</v>
          </cell>
          <cell r="AP320" t="str">
            <v>QUETTA</v>
          </cell>
        </row>
        <row r="321">
          <cell r="AM321">
            <v>2482</v>
          </cell>
          <cell r="AN321" t="str">
            <v>Uthal University, La</v>
          </cell>
          <cell r="AO321" t="str">
            <v>University</v>
          </cell>
          <cell r="AP321" t="str">
            <v>QUETTA</v>
          </cell>
        </row>
        <row r="322">
          <cell r="AM322">
            <v>102</v>
          </cell>
          <cell r="AN322" t="str">
            <v>BAHAWALPUR-FARID GAT</v>
          </cell>
          <cell r="AO322" t="str">
            <v>Farid Gate</v>
          </cell>
          <cell r="AP322" t="str">
            <v>BAHAWALPUR</v>
          </cell>
        </row>
        <row r="323">
          <cell r="AM323">
            <v>105</v>
          </cell>
          <cell r="AN323" t="str">
            <v>CHISHTIAN-GHALLA MAN</v>
          </cell>
          <cell r="AO323" t="str">
            <v>Gm Chishtian</v>
          </cell>
          <cell r="AP323" t="str">
            <v>BAHAWALPUR</v>
          </cell>
        </row>
        <row r="324">
          <cell r="AM324">
            <v>160</v>
          </cell>
          <cell r="AN324" t="str">
            <v>RAHIM YAR KHAN-SHAHI</v>
          </cell>
          <cell r="AO324" t="str">
            <v>Shahi Road Ryk</v>
          </cell>
          <cell r="AP324" t="str">
            <v>BAHAWALPUR</v>
          </cell>
        </row>
        <row r="325">
          <cell r="AM325">
            <v>171</v>
          </cell>
          <cell r="AN325" t="str">
            <v>KHANPUR-GHALLA MANDI</v>
          </cell>
          <cell r="AO325" t="str">
            <v>Khanpur Gm</v>
          </cell>
          <cell r="AP325" t="str">
            <v>BAHAWALPUR</v>
          </cell>
        </row>
        <row r="326">
          <cell r="AM326">
            <v>244</v>
          </cell>
          <cell r="AN326" t="str">
            <v>BAHAWAL NAGAR-GHALLA</v>
          </cell>
          <cell r="AO326" t="str">
            <v>Gm Chishtian</v>
          </cell>
          <cell r="AP326" t="str">
            <v>BAHAWALPUR</v>
          </cell>
        </row>
        <row r="327">
          <cell r="AM327">
            <v>259</v>
          </cell>
          <cell r="AN327" t="str">
            <v>MIANWALI QURESHIAN</v>
          </cell>
          <cell r="AO327" t="str">
            <v>Khanpur Gm</v>
          </cell>
          <cell r="AP327" t="str">
            <v>BAHAWALPUR</v>
          </cell>
        </row>
        <row r="328">
          <cell r="AM328">
            <v>279</v>
          </cell>
          <cell r="AN328" t="str">
            <v>TARINDA SAWAY KHAN</v>
          </cell>
          <cell r="AO328" t="str">
            <v>Khanpur Gm</v>
          </cell>
          <cell r="AP328" t="str">
            <v>BAHAWALPUR</v>
          </cell>
        </row>
        <row r="329">
          <cell r="AM329">
            <v>285</v>
          </cell>
          <cell r="AN329" t="str">
            <v>TATAR CHACHAR</v>
          </cell>
          <cell r="AO329" t="str">
            <v>Khanpur Gm</v>
          </cell>
          <cell r="AP329" t="str">
            <v>BAHAWALPUR</v>
          </cell>
        </row>
        <row r="330">
          <cell r="AM330">
            <v>334</v>
          </cell>
          <cell r="AN330" t="str">
            <v>SADIQABAD-GOTH JURRA</v>
          </cell>
          <cell r="AO330" t="str">
            <v>Shahi Road Ryk</v>
          </cell>
          <cell r="AP330" t="str">
            <v>BAHAWALPUR</v>
          </cell>
        </row>
        <row r="331">
          <cell r="AM331">
            <v>350</v>
          </cell>
          <cell r="AN331" t="str">
            <v>BAHAWALPUR-QUAID-E-A</v>
          </cell>
          <cell r="AO331" t="str">
            <v>Qamc Bahawalpur</v>
          </cell>
          <cell r="AP331" t="str">
            <v>BAHAWALPUR</v>
          </cell>
        </row>
        <row r="332">
          <cell r="AM332">
            <v>446</v>
          </cell>
          <cell r="AN332" t="str">
            <v>SADIQABAD-GHALLA MAN</v>
          </cell>
          <cell r="AO332" t="str">
            <v>Shahi Road Ryk</v>
          </cell>
          <cell r="AP332" t="str">
            <v>BAHAWALPUR</v>
          </cell>
        </row>
        <row r="333">
          <cell r="AM333">
            <v>468</v>
          </cell>
          <cell r="AN333" t="str">
            <v>YAZMAN-MAIN BRANCH</v>
          </cell>
          <cell r="AO333" t="str">
            <v>Farid Gate</v>
          </cell>
          <cell r="AP333" t="str">
            <v>BAHAWALPUR</v>
          </cell>
        </row>
        <row r="334">
          <cell r="AM334">
            <v>469</v>
          </cell>
          <cell r="AN334" t="str">
            <v>HAROONABAD-GHALLA MA</v>
          </cell>
          <cell r="AO334" t="str">
            <v>Hasilpur</v>
          </cell>
          <cell r="AP334" t="str">
            <v>BAHAWALPUR</v>
          </cell>
        </row>
        <row r="335">
          <cell r="AM335">
            <v>498</v>
          </cell>
          <cell r="AN335" t="str">
            <v>HASILPUR-BALDIA ROAD</v>
          </cell>
          <cell r="AO335" t="str">
            <v>Hasilpur</v>
          </cell>
          <cell r="AP335" t="str">
            <v>BAHAWALPUR</v>
          </cell>
        </row>
        <row r="336">
          <cell r="AM336">
            <v>677</v>
          </cell>
          <cell r="AN336" t="str">
            <v>BAHAWAL NAGAR-TEHSIL</v>
          </cell>
          <cell r="AO336" t="str">
            <v>Gm Chishtian</v>
          </cell>
          <cell r="AP336" t="str">
            <v>BAHAWALPUR</v>
          </cell>
        </row>
        <row r="337">
          <cell r="AM337">
            <v>684</v>
          </cell>
          <cell r="AN337" t="str">
            <v>MUHAR SHARIF, (ADAM</v>
          </cell>
          <cell r="AO337" t="str">
            <v>Gm Chishtian</v>
          </cell>
          <cell r="AP337" t="str">
            <v>BAHAWALPUR</v>
          </cell>
        </row>
        <row r="338">
          <cell r="AM338">
            <v>806</v>
          </cell>
          <cell r="AN338" t="str">
            <v>AHMEDPUR LAMMA</v>
          </cell>
          <cell r="AO338" t="str">
            <v>Shahi Road Ryk</v>
          </cell>
          <cell r="AP338" t="str">
            <v>BAHAWALPUR</v>
          </cell>
        </row>
        <row r="339">
          <cell r="AM339">
            <v>826</v>
          </cell>
          <cell r="AN339" t="str">
            <v>AHMEDPUR EAST-KUTCHE</v>
          </cell>
          <cell r="AO339" t="str">
            <v>Farid Gate</v>
          </cell>
          <cell r="AP339" t="str">
            <v>BAHAWALPUR</v>
          </cell>
        </row>
        <row r="340">
          <cell r="AM340">
            <v>835</v>
          </cell>
          <cell r="AN340" t="str">
            <v>BHUNG</v>
          </cell>
          <cell r="AO340" t="str">
            <v>Shahi Road Ryk</v>
          </cell>
          <cell r="AP340" t="str">
            <v>BAHAWALPUR</v>
          </cell>
        </row>
        <row r="341">
          <cell r="AM341">
            <v>840</v>
          </cell>
          <cell r="AN341" t="str">
            <v>JAMALDINWALI</v>
          </cell>
          <cell r="AO341" t="str">
            <v>Shahi Road Ryk</v>
          </cell>
          <cell r="AP341" t="str">
            <v>BAHAWALPUR</v>
          </cell>
        </row>
        <row r="342">
          <cell r="AM342">
            <v>842</v>
          </cell>
          <cell r="AN342" t="str">
            <v>KHANQAH SHARIF</v>
          </cell>
          <cell r="AO342" t="str">
            <v>Farid Gate</v>
          </cell>
          <cell r="AP342" t="str">
            <v>BAHAWALPUR</v>
          </cell>
        </row>
        <row r="343">
          <cell r="AM343">
            <v>844</v>
          </cell>
          <cell r="AN343" t="str">
            <v>DERA BAKHA</v>
          </cell>
          <cell r="AO343" t="str">
            <v>Qamc Bahawalpur</v>
          </cell>
          <cell r="AP343" t="str">
            <v>BAHAWALPUR</v>
          </cell>
        </row>
        <row r="344">
          <cell r="AM344">
            <v>870</v>
          </cell>
          <cell r="AN344" t="str">
            <v>BAHAWALPUR-GHALLA MA</v>
          </cell>
          <cell r="AO344" t="str">
            <v>Farid Gate</v>
          </cell>
          <cell r="AP344" t="str">
            <v>BAHAWALPUR</v>
          </cell>
        </row>
        <row r="345">
          <cell r="AM345">
            <v>905</v>
          </cell>
          <cell r="AN345" t="str">
            <v>KOT SAMABA-MAIN BAZA</v>
          </cell>
          <cell r="AO345" t="str">
            <v>Khanpur Gm</v>
          </cell>
          <cell r="AP345" t="str">
            <v>BAHAWALPUR</v>
          </cell>
        </row>
        <row r="346">
          <cell r="AM346">
            <v>987</v>
          </cell>
          <cell r="AN346" t="str">
            <v>UCH SHARIF</v>
          </cell>
          <cell r="AO346" t="str">
            <v>Farid Gate</v>
          </cell>
          <cell r="AP346" t="str">
            <v>BAHAWALPUR</v>
          </cell>
        </row>
        <row r="347">
          <cell r="AM347">
            <v>1039</v>
          </cell>
          <cell r="AN347" t="str">
            <v>GHALLA MANDI  BR</v>
          </cell>
          <cell r="AO347" t="str">
            <v>Shahi Road Ryk</v>
          </cell>
          <cell r="AP347" t="str">
            <v>BAHAWALPUR</v>
          </cell>
        </row>
        <row r="348">
          <cell r="AM348">
            <v>1053</v>
          </cell>
          <cell r="AN348" t="str">
            <v>LIAQUATPUR</v>
          </cell>
          <cell r="AO348" t="str">
            <v>Khanpur Gm</v>
          </cell>
          <cell r="AP348" t="str">
            <v>BAHAWALPUR</v>
          </cell>
        </row>
        <row r="349">
          <cell r="AM349">
            <v>1172</v>
          </cell>
          <cell r="AN349" t="str">
            <v>BAHAWALPUR-SATELLITE</v>
          </cell>
          <cell r="AO349" t="str">
            <v>Qamc Bahawalpur</v>
          </cell>
          <cell r="AP349" t="str">
            <v>BAHAWALPUR</v>
          </cell>
        </row>
        <row r="350">
          <cell r="AM350">
            <v>1188</v>
          </cell>
          <cell r="AN350" t="str">
            <v>MINCHINABAD</v>
          </cell>
          <cell r="AO350" t="str">
            <v>Gm Chishtian</v>
          </cell>
          <cell r="AP350" t="str">
            <v>BAHAWALPUR</v>
          </cell>
        </row>
        <row r="351">
          <cell r="AM351">
            <v>1379</v>
          </cell>
          <cell r="AN351" t="str">
            <v>KHAIRPUR TAMEWALI</v>
          </cell>
          <cell r="AO351" t="str">
            <v>Hasilpur</v>
          </cell>
          <cell r="AP351" t="str">
            <v>BAHAWALPUR</v>
          </cell>
        </row>
        <row r="352">
          <cell r="AM352">
            <v>1408</v>
          </cell>
          <cell r="AN352" t="str">
            <v>BANGLA DHARANWALA</v>
          </cell>
          <cell r="AO352" t="str">
            <v>Gm Chishtian</v>
          </cell>
          <cell r="AP352" t="str">
            <v>BAHAWALPUR</v>
          </cell>
        </row>
        <row r="353">
          <cell r="AM353">
            <v>1422</v>
          </cell>
          <cell r="AN353" t="str">
            <v>ADDA 13-SOLING BRANC</v>
          </cell>
          <cell r="AO353" t="str">
            <v>Qamc Bahawalpur</v>
          </cell>
          <cell r="AP353" t="str">
            <v>BAHAWALPUR</v>
          </cell>
        </row>
        <row r="354">
          <cell r="AM354">
            <v>1424</v>
          </cell>
          <cell r="AN354" t="str">
            <v>FORT ABBAS</v>
          </cell>
          <cell r="AO354" t="str">
            <v>Hasilpur</v>
          </cell>
          <cell r="AP354" t="str">
            <v>BAHAWALPUR</v>
          </cell>
        </row>
        <row r="355">
          <cell r="AM355">
            <v>1473</v>
          </cell>
          <cell r="AN355" t="str">
            <v>BAHAWALPUR-ISLAMIA U</v>
          </cell>
          <cell r="AO355" t="str">
            <v>Qamc Bahawalpur</v>
          </cell>
          <cell r="AP355" t="str">
            <v>BAHAWALPUR</v>
          </cell>
        </row>
        <row r="356">
          <cell r="AM356">
            <v>1490</v>
          </cell>
          <cell r="AN356" t="str">
            <v>MACHI GOTH-FAUJI FER</v>
          </cell>
          <cell r="AO356" t="str">
            <v>Shahi Road Ryk</v>
          </cell>
          <cell r="AP356" t="str">
            <v>BAHAWALPUR</v>
          </cell>
        </row>
        <row r="357">
          <cell r="AM357">
            <v>1574</v>
          </cell>
          <cell r="AN357" t="str">
            <v>GRAIN MARKET FAQIRWALA</v>
          </cell>
          <cell r="AO357" t="str">
            <v>Hasilpur</v>
          </cell>
          <cell r="AP357" t="str">
            <v>BAHAWALPUR</v>
          </cell>
        </row>
        <row r="358">
          <cell r="AM358">
            <v>1588</v>
          </cell>
          <cell r="AN358" t="str">
            <v>BANGLA KUDWALA</v>
          </cell>
          <cell r="AO358" t="str">
            <v>Farid Gate</v>
          </cell>
          <cell r="AP358" t="str">
            <v>BAHAWALPUR</v>
          </cell>
        </row>
        <row r="359">
          <cell r="AM359">
            <v>1603</v>
          </cell>
          <cell r="AN359" t="str">
            <v>CHAK NO.103/1-L</v>
          </cell>
          <cell r="AO359" t="str">
            <v>Khanpur Gm</v>
          </cell>
          <cell r="AP359" t="str">
            <v>BAHAWALPUR</v>
          </cell>
        </row>
        <row r="360">
          <cell r="AM360">
            <v>1626</v>
          </cell>
          <cell r="AN360" t="str">
            <v>DONGA BONGA</v>
          </cell>
          <cell r="AO360" t="str">
            <v>Hasilpur</v>
          </cell>
          <cell r="AP360" t="str">
            <v>BAHAWALPUR</v>
          </cell>
        </row>
        <row r="361">
          <cell r="AM361">
            <v>1631</v>
          </cell>
          <cell r="AN361" t="str">
            <v>IQBAL ABAD</v>
          </cell>
          <cell r="AO361" t="str">
            <v>Khanpur Gm</v>
          </cell>
          <cell r="AP361" t="str">
            <v>BAHAWALPUR</v>
          </cell>
        </row>
        <row r="362">
          <cell r="AM362">
            <v>1655</v>
          </cell>
          <cell r="AN362" t="str">
            <v>BAHAWALPUR-MODEL TOW</v>
          </cell>
          <cell r="AO362" t="str">
            <v>Farid Gate</v>
          </cell>
          <cell r="AP362" t="str">
            <v>BAHAWALPUR</v>
          </cell>
        </row>
        <row r="363">
          <cell r="AM363">
            <v>1674</v>
          </cell>
          <cell r="AN363" t="str">
            <v>RAHIM YAR KHAN-ADDA</v>
          </cell>
          <cell r="AO363" t="str">
            <v>Shahi Road Ryk</v>
          </cell>
          <cell r="AP363" t="str">
            <v>BAHAWALPUR</v>
          </cell>
        </row>
        <row r="364">
          <cell r="AM364">
            <v>1687</v>
          </cell>
          <cell r="AN364" t="str">
            <v>KHANPUR-MODEL TOWN</v>
          </cell>
          <cell r="AO364" t="str">
            <v>Khanpur Gm</v>
          </cell>
          <cell r="AP364" t="str">
            <v>BAHAWALPUR</v>
          </cell>
        </row>
        <row r="365">
          <cell r="AM365">
            <v>1692</v>
          </cell>
          <cell r="AN365" t="str">
            <v>BAHAWALPUR-CANTT.</v>
          </cell>
          <cell r="AO365" t="str">
            <v>Qamc Bahawalpur</v>
          </cell>
          <cell r="AP365" t="str">
            <v>BAHAWALPUR</v>
          </cell>
        </row>
        <row r="366">
          <cell r="AM366">
            <v>1752</v>
          </cell>
          <cell r="AN366" t="str">
            <v>Dubai chwok branch</v>
          </cell>
          <cell r="AO366" t="str">
            <v>Farid Gate</v>
          </cell>
          <cell r="AP366" t="str">
            <v>BAHAWALPUR</v>
          </cell>
        </row>
        <row r="367">
          <cell r="AM367">
            <v>1764</v>
          </cell>
          <cell r="AN367" t="str">
            <v>ADDA PULL MURAD</v>
          </cell>
          <cell r="AO367" t="str">
            <v>Gm Chishtian</v>
          </cell>
          <cell r="AP367" t="str">
            <v>BAHAWALPUR</v>
          </cell>
        </row>
        <row r="368">
          <cell r="AM368">
            <v>1905</v>
          </cell>
          <cell r="AN368" t="str">
            <v>JAMALDINWALI SUGAR M</v>
          </cell>
          <cell r="AO368" t="str">
            <v>Shahi Road Ryk</v>
          </cell>
          <cell r="AP368" t="str">
            <v>BAHAWALPUR</v>
          </cell>
        </row>
        <row r="369">
          <cell r="AM369">
            <v>1916</v>
          </cell>
          <cell r="AN369" t="str">
            <v>CHAK NO.117/DB</v>
          </cell>
          <cell r="AO369" t="str">
            <v>Farid Gate</v>
          </cell>
          <cell r="AP369" t="str">
            <v>BAHAWALPUR</v>
          </cell>
        </row>
        <row r="370">
          <cell r="AM370">
            <v>1925</v>
          </cell>
          <cell r="AN370" t="str">
            <v>CHAK NO.125/P</v>
          </cell>
          <cell r="AO370" t="str">
            <v>Shahi Road Ryk</v>
          </cell>
          <cell r="AP370" t="str">
            <v>BAHAWALPUR</v>
          </cell>
        </row>
        <row r="371">
          <cell r="AM371">
            <v>1936</v>
          </cell>
          <cell r="AN371" t="str">
            <v>ISLAMIA UNIV BAGHDAD</v>
          </cell>
          <cell r="AO371" t="str">
            <v>Qamc Bahawalpur</v>
          </cell>
          <cell r="AP371" t="str">
            <v>BAHAWALPUR</v>
          </cell>
        </row>
        <row r="372">
          <cell r="AM372">
            <v>1955</v>
          </cell>
          <cell r="AN372" t="str">
            <v>JAJJAH ABBASIAN</v>
          </cell>
          <cell r="AO372" t="str">
            <v>Khanpur Gm</v>
          </cell>
          <cell r="AP372" t="str">
            <v>BAHAWALPUR</v>
          </cell>
        </row>
        <row r="373">
          <cell r="AM373">
            <v>2262</v>
          </cell>
          <cell r="AN373" t="str">
            <v>BAHAWALPUR-MULTAN RO</v>
          </cell>
          <cell r="AO373" t="str">
            <v>Qamc Bahawalpur</v>
          </cell>
          <cell r="AP373" t="str">
            <v>BAHAWALPUR</v>
          </cell>
        </row>
        <row r="374">
          <cell r="AM374">
            <v>2326</v>
          </cell>
          <cell r="AN374" t="str">
            <v>MADRASSA BRANCH</v>
          </cell>
          <cell r="AO374" t="str">
            <v>Gm Chishtian</v>
          </cell>
          <cell r="AP374" t="str">
            <v>BAHAWALPUR</v>
          </cell>
        </row>
        <row r="375">
          <cell r="AM375">
            <v>2334</v>
          </cell>
          <cell r="AN375" t="str">
            <v>Sh.Zayed Medical Col</v>
          </cell>
          <cell r="AO375" t="str">
            <v>Shahi Road Ryk</v>
          </cell>
          <cell r="AP375" t="str">
            <v>BAHAWALPUR</v>
          </cell>
        </row>
        <row r="376">
          <cell r="AM376">
            <v>2357</v>
          </cell>
          <cell r="AN376" t="str">
            <v>CLUB ROAD BRANCH SAD</v>
          </cell>
          <cell r="AO376" t="str">
            <v>Shahi Road Ryk</v>
          </cell>
          <cell r="AP376" t="str">
            <v>BAHAWALPUR</v>
          </cell>
        </row>
        <row r="377">
          <cell r="AM377">
            <v>2374</v>
          </cell>
          <cell r="AN377" t="str">
            <v>MCLEOD GUNJ BRANCH</v>
          </cell>
          <cell r="AO377" t="str">
            <v>Gm Chishtian</v>
          </cell>
          <cell r="AP377" t="str">
            <v>BAHAWALPUR</v>
          </cell>
        </row>
        <row r="378">
          <cell r="AM378">
            <v>2375</v>
          </cell>
          <cell r="AN378" t="str">
            <v>MAROT BRANCH</v>
          </cell>
          <cell r="AO378" t="str">
            <v>Hasilpur</v>
          </cell>
          <cell r="AP378" t="str">
            <v>BAHAWALPUR</v>
          </cell>
        </row>
        <row r="379">
          <cell r="AM379">
            <v>2405</v>
          </cell>
          <cell r="AN379" t="str">
            <v>FACTORY AREA BRANCH</v>
          </cell>
          <cell r="AO379" t="str">
            <v>Shahi Road Ryk</v>
          </cell>
          <cell r="AP379" t="str">
            <v>BAHAWALPUR</v>
          </cell>
        </row>
        <row r="380">
          <cell r="AM380">
            <v>2407</v>
          </cell>
          <cell r="AN380" t="str">
            <v>CHOWK FOWARA BRANCH</v>
          </cell>
          <cell r="AO380" t="str">
            <v>Hasilpur</v>
          </cell>
          <cell r="AP380" t="str">
            <v>BAHAWALPUR</v>
          </cell>
        </row>
        <row r="381">
          <cell r="AM381">
            <v>2408</v>
          </cell>
          <cell r="AN381" t="str">
            <v>QAIMPUR BRANCH</v>
          </cell>
          <cell r="AO381" t="str">
            <v>Hasilpur</v>
          </cell>
          <cell r="AP381" t="str">
            <v>BAHAWALPUR</v>
          </cell>
        </row>
        <row r="382">
          <cell r="AM382">
            <v>2420</v>
          </cell>
          <cell r="AN382" t="str">
            <v>Qazi Wala Road Br Chishtian</v>
          </cell>
          <cell r="AO382" t="str">
            <v>Gm Chishtian</v>
          </cell>
          <cell r="AP382" t="str">
            <v>BAHAWALPUR</v>
          </cell>
        </row>
        <row r="383">
          <cell r="AM383">
            <v>101</v>
          </cell>
          <cell r="AN383" t="str">
            <v>IQBAL CHOWK, ALIPUR, MUZAFFARGARH</v>
          </cell>
          <cell r="AO383" t="str">
            <v>Muzaffar Garh</v>
          </cell>
          <cell r="AP383" t="str">
            <v>MULTAN</v>
          </cell>
        </row>
        <row r="384">
          <cell r="AM384">
            <v>106</v>
          </cell>
          <cell r="AN384" t="str">
            <v>MAIN BRANCH, D.G.KHAN</v>
          </cell>
          <cell r="AO384" t="str">
            <v>Main Dg Khan</v>
          </cell>
          <cell r="AP384" t="str">
            <v>MULTAN</v>
          </cell>
        </row>
        <row r="385">
          <cell r="AM385">
            <v>118</v>
          </cell>
          <cell r="AN385" t="str">
            <v>MAIN BRANCH, KHANEWAL</v>
          </cell>
          <cell r="AO385" t="str">
            <v>Khanewal</v>
          </cell>
          <cell r="AP385" t="str">
            <v>MULTAN</v>
          </cell>
        </row>
        <row r="386">
          <cell r="AM386">
            <v>139</v>
          </cell>
          <cell r="AN386" t="str">
            <v>LAYYAH-CHOWBARA ROAD</v>
          </cell>
          <cell r="AO386" t="str">
            <v>Layyah</v>
          </cell>
          <cell r="AP386" t="str">
            <v>MULTAN</v>
          </cell>
        </row>
        <row r="387">
          <cell r="AM387">
            <v>141</v>
          </cell>
          <cell r="AN387" t="str">
            <v>LODHRAN</v>
          </cell>
          <cell r="AO387" t="str">
            <v>Lodhran</v>
          </cell>
          <cell r="AP387" t="str">
            <v>MULTAN</v>
          </cell>
        </row>
        <row r="388">
          <cell r="AM388">
            <v>146</v>
          </cell>
          <cell r="AN388" t="str">
            <v>MAILSI, VEHARI</v>
          </cell>
          <cell r="AO388" t="str">
            <v>Mailsi--Vehari</v>
          </cell>
          <cell r="AP388" t="str">
            <v>MULTAN</v>
          </cell>
        </row>
        <row r="389">
          <cell r="AM389">
            <v>148</v>
          </cell>
          <cell r="AN389" t="str">
            <v>AKBAR RD, MULTAN</v>
          </cell>
          <cell r="AO389" t="str">
            <v>Hussain Agahi Multan</v>
          </cell>
          <cell r="AP389" t="str">
            <v>MULTAN</v>
          </cell>
        </row>
        <row r="390">
          <cell r="AM390">
            <v>150</v>
          </cell>
          <cell r="AN390" t="str">
            <v>HUSSAIN AGAHI, MULTAN</v>
          </cell>
          <cell r="AO390" t="str">
            <v>Hussain Agahi Multan</v>
          </cell>
          <cell r="AP390" t="str">
            <v>MULTAN</v>
          </cell>
        </row>
        <row r="391">
          <cell r="AM391">
            <v>165</v>
          </cell>
          <cell r="AN391" t="str">
            <v>SHUJABAD</v>
          </cell>
          <cell r="AO391" t="str">
            <v>Lodhran</v>
          </cell>
          <cell r="AP391" t="str">
            <v>MULTAN</v>
          </cell>
        </row>
        <row r="392">
          <cell r="AM392">
            <v>211</v>
          </cell>
          <cell r="AN392" t="str">
            <v>CANTONMENT, MULTAN</v>
          </cell>
          <cell r="AO392" t="str">
            <v>Cantt Multan</v>
          </cell>
          <cell r="AP392" t="str">
            <v>MULTAN</v>
          </cell>
        </row>
        <row r="393">
          <cell r="AM393">
            <v>212</v>
          </cell>
          <cell r="AN393" t="str">
            <v>GHALLA MANDI, VEHARI</v>
          </cell>
          <cell r="AO393" t="str">
            <v>Mailsi--Vehari</v>
          </cell>
          <cell r="AP393" t="str">
            <v>MULTAN</v>
          </cell>
        </row>
        <row r="394">
          <cell r="AM394">
            <v>238</v>
          </cell>
          <cell r="AN394" t="str">
            <v>KAHROR PACCA</v>
          </cell>
          <cell r="AO394" t="str">
            <v>Lodhran</v>
          </cell>
          <cell r="AP394" t="str">
            <v>MULTAN</v>
          </cell>
        </row>
        <row r="395">
          <cell r="AM395">
            <v>255</v>
          </cell>
          <cell r="AN395" t="str">
            <v>KHAIRPUR SADAT</v>
          </cell>
          <cell r="AO395" t="str">
            <v>Muzaffar Garh</v>
          </cell>
          <cell r="AP395" t="str">
            <v>MULTAN</v>
          </cell>
        </row>
        <row r="396">
          <cell r="AM396">
            <v>268</v>
          </cell>
          <cell r="AN396" t="str">
            <v>MAHNI SIAL, KABIRWAL</v>
          </cell>
          <cell r="AO396" t="str">
            <v>Khanewal</v>
          </cell>
          <cell r="AP396" t="str">
            <v>MULTAN</v>
          </cell>
        </row>
        <row r="397">
          <cell r="AM397">
            <v>269</v>
          </cell>
          <cell r="AN397" t="str">
            <v>KUIWALA</v>
          </cell>
          <cell r="AO397" t="str">
            <v>Khanewal</v>
          </cell>
          <cell r="AP397" t="str">
            <v>MULTAN</v>
          </cell>
        </row>
        <row r="398">
          <cell r="AM398">
            <v>276</v>
          </cell>
          <cell r="AN398" t="str">
            <v>KOT SULTAN</v>
          </cell>
          <cell r="AO398" t="str">
            <v>Layyah</v>
          </cell>
          <cell r="AP398" t="str">
            <v>MULTAN</v>
          </cell>
        </row>
        <row r="399">
          <cell r="AM399">
            <v>286</v>
          </cell>
          <cell r="AN399" t="str">
            <v>DAIRA DIN PANNAH</v>
          </cell>
          <cell r="AO399" t="str">
            <v>Layyah</v>
          </cell>
          <cell r="AP399" t="str">
            <v>MULTAN</v>
          </cell>
        </row>
        <row r="400">
          <cell r="AM400">
            <v>310</v>
          </cell>
          <cell r="AN400" t="str">
            <v>SAKHI SARWAR</v>
          </cell>
          <cell r="AO400" t="str">
            <v>Main Dg Khan</v>
          </cell>
          <cell r="AP400" t="str">
            <v>MULTAN</v>
          </cell>
        </row>
        <row r="401">
          <cell r="AM401">
            <v>353</v>
          </cell>
          <cell r="AN401" t="str">
            <v>ADDA DHORI WALA (MIR</v>
          </cell>
          <cell r="AO401" t="str">
            <v>Layyah</v>
          </cell>
          <cell r="AP401" t="str">
            <v>MULTAN</v>
          </cell>
        </row>
        <row r="402">
          <cell r="AM402">
            <v>374</v>
          </cell>
          <cell r="AN402" t="str">
            <v>CHAKRALA</v>
          </cell>
          <cell r="AO402" t="str">
            <v>Mailsi--Vehari</v>
          </cell>
          <cell r="AP402" t="str">
            <v>MULTAN</v>
          </cell>
        </row>
        <row r="403">
          <cell r="AM403">
            <v>376</v>
          </cell>
          <cell r="AN403" t="str">
            <v>ADDA GHULAM HUSSAIN</v>
          </cell>
          <cell r="AO403" t="str">
            <v>Mailsi--Vehari</v>
          </cell>
          <cell r="AP403" t="str">
            <v>MULTAN</v>
          </cell>
        </row>
        <row r="404">
          <cell r="AM404">
            <v>403</v>
          </cell>
          <cell r="AN404" t="str">
            <v>MULTAN NISHTER MED. COLLEGE</v>
          </cell>
          <cell r="AO404" t="str">
            <v>Hussain Agahi Multan</v>
          </cell>
          <cell r="AP404" t="str">
            <v>MULTAN</v>
          </cell>
        </row>
        <row r="405">
          <cell r="AM405">
            <v>408</v>
          </cell>
          <cell r="AN405" t="str">
            <v>TAUNSA SHARIF</v>
          </cell>
          <cell r="AO405" t="str">
            <v>Kutchery Dg Khan</v>
          </cell>
          <cell r="AP405" t="str">
            <v>MULTAN</v>
          </cell>
        </row>
        <row r="406">
          <cell r="AM406">
            <v>415</v>
          </cell>
          <cell r="AN406" t="str">
            <v>KOT ADDU</v>
          </cell>
          <cell r="AO406" t="str">
            <v>Kutchery Dg Khan</v>
          </cell>
          <cell r="AP406" t="str">
            <v>MULTAN</v>
          </cell>
        </row>
        <row r="407">
          <cell r="AM407">
            <v>418</v>
          </cell>
          <cell r="AN407" t="str">
            <v>FATEHPUR DISTT. LAYY</v>
          </cell>
          <cell r="AO407" t="str">
            <v>Layyah</v>
          </cell>
          <cell r="AP407" t="str">
            <v>MULTAN</v>
          </cell>
        </row>
        <row r="408">
          <cell r="AM408">
            <v>419</v>
          </cell>
          <cell r="AN408" t="str">
            <v>MULTAN-BOHAR GATE</v>
          </cell>
          <cell r="AO408" t="str">
            <v>Cantt Multan</v>
          </cell>
          <cell r="AP408" t="str">
            <v>MULTAN</v>
          </cell>
        </row>
        <row r="409">
          <cell r="AM409">
            <v>430</v>
          </cell>
          <cell r="AN409" t="str">
            <v>PAK GATE, MULTAN</v>
          </cell>
          <cell r="AO409" t="str">
            <v>Cantt Multan</v>
          </cell>
          <cell r="AP409" t="str">
            <v>MULTAN</v>
          </cell>
        </row>
        <row r="410">
          <cell r="AM410">
            <v>432</v>
          </cell>
          <cell r="AN410" t="str">
            <v>RAILWAY RD, MUZAFFAR GARH</v>
          </cell>
          <cell r="AO410" t="str">
            <v>Muzaffar Garh</v>
          </cell>
          <cell r="AP410" t="str">
            <v>MULTAN</v>
          </cell>
        </row>
        <row r="411">
          <cell r="AM411">
            <v>447</v>
          </cell>
          <cell r="AN411" t="str">
            <v>MULTAN-SAMIJABAD</v>
          </cell>
          <cell r="AO411" t="str">
            <v>Hussain Agahi Multan</v>
          </cell>
          <cell r="AP411" t="str">
            <v>MULTAN</v>
          </cell>
        </row>
        <row r="412">
          <cell r="AM412">
            <v>448</v>
          </cell>
          <cell r="AN412" t="str">
            <v>MULTAN-FACTORY AREA</v>
          </cell>
          <cell r="AO412" t="str">
            <v>Cantt Multan</v>
          </cell>
          <cell r="AP412" t="str">
            <v>MULTAN</v>
          </cell>
        </row>
        <row r="413">
          <cell r="AM413">
            <v>475</v>
          </cell>
          <cell r="AN413" t="str">
            <v>JAHANIA</v>
          </cell>
          <cell r="AO413" t="str">
            <v>Khanewal</v>
          </cell>
          <cell r="AP413" t="str">
            <v>MULTAN</v>
          </cell>
        </row>
        <row r="414">
          <cell r="AM414">
            <v>477</v>
          </cell>
          <cell r="AN414" t="str">
            <v>KAPCO MOUZA HALA, KO</v>
          </cell>
          <cell r="AO414" t="str">
            <v>Kutchery Dg Khan</v>
          </cell>
          <cell r="AP414" t="str">
            <v>MULTAN</v>
          </cell>
        </row>
        <row r="415">
          <cell r="AM415">
            <v>641</v>
          </cell>
          <cell r="AN415" t="str">
            <v>TIBBA SULTANPUR</v>
          </cell>
          <cell r="AO415" t="str">
            <v>Mailsi--Vehari</v>
          </cell>
          <cell r="AP415" t="str">
            <v>MULTAN</v>
          </cell>
        </row>
        <row r="416">
          <cell r="AM416">
            <v>664</v>
          </cell>
          <cell r="AN416" t="str">
            <v>KHANGARH</v>
          </cell>
          <cell r="AO416" t="str">
            <v>Muzaffar Garh</v>
          </cell>
          <cell r="AP416" t="str">
            <v>MULTAN</v>
          </cell>
        </row>
        <row r="417">
          <cell r="AM417">
            <v>669</v>
          </cell>
          <cell r="AN417" t="str">
            <v>QASBA MARHAL</v>
          </cell>
          <cell r="AO417" t="str">
            <v>Lodhran</v>
          </cell>
          <cell r="AP417" t="str">
            <v>MULTAN</v>
          </cell>
        </row>
        <row r="418">
          <cell r="AM418">
            <v>670</v>
          </cell>
          <cell r="AN418" t="str">
            <v>LAL EISAN KEHROR</v>
          </cell>
          <cell r="AO418" t="str">
            <v>Layyah</v>
          </cell>
          <cell r="AP418" t="str">
            <v>MULTAN</v>
          </cell>
        </row>
        <row r="419">
          <cell r="AM419">
            <v>802</v>
          </cell>
          <cell r="AN419" t="str">
            <v>JATOI</v>
          </cell>
          <cell r="AO419" t="str">
            <v>Muzaffar Garh</v>
          </cell>
          <cell r="AP419" t="str">
            <v>MULTAN</v>
          </cell>
        </row>
        <row r="420">
          <cell r="AM420">
            <v>803</v>
          </cell>
          <cell r="AN420" t="str">
            <v>KABIRWALA</v>
          </cell>
          <cell r="AO420" t="str">
            <v>Khanewal</v>
          </cell>
          <cell r="AP420" t="str">
            <v>MULTAN</v>
          </cell>
        </row>
        <row r="421">
          <cell r="AM421">
            <v>810</v>
          </cell>
          <cell r="AN421" t="str">
            <v>MAKHDOOM RASHID</v>
          </cell>
          <cell r="AO421" t="str">
            <v>Khanewal</v>
          </cell>
          <cell r="AP421" t="str">
            <v>MULTAN</v>
          </cell>
        </row>
        <row r="422">
          <cell r="AM422">
            <v>815</v>
          </cell>
          <cell r="AN422" t="str">
            <v>SHAHER SULTAN</v>
          </cell>
          <cell r="AO422" t="str">
            <v>Muzaffar Garh</v>
          </cell>
          <cell r="AP422" t="str">
            <v>MULTAN</v>
          </cell>
        </row>
        <row r="423">
          <cell r="AM423">
            <v>824</v>
          </cell>
          <cell r="AN423" t="str">
            <v>DUNYAPUR</v>
          </cell>
          <cell r="AO423" t="str">
            <v>Lodhran</v>
          </cell>
          <cell r="AP423" t="str">
            <v>MULTAN</v>
          </cell>
        </row>
        <row r="424">
          <cell r="AM424">
            <v>828</v>
          </cell>
          <cell r="AN424" t="str">
            <v>DAKOTA</v>
          </cell>
          <cell r="AO424" t="str">
            <v>Mailsi--Vehari</v>
          </cell>
          <cell r="AP424" t="str">
            <v>MULTAN</v>
          </cell>
        </row>
        <row r="425">
          <cell r="AM425">
            <v>833</v>
          </cell>
          <cell r="AN425" t="str">
            <v>KHANPUR SHUMALI</v>
          </cell>
          <cell r="AO425" t="str">
            <v>Muzaffar Garh</v>
          </cell>
          <cell r="AP425" t="str">
            <v>MULTAN</v>
          </cell>
        </row>
        <row r="426">
          <cell r="AM426">
            <v>847</v>
          </cell>
          <cell r="AN426" t="str">
            <v>CHOWK AZAM, LAYYAH</v>
          </cell>
          <cell r="AO426" t="str">
            <v>Layyah</v>
          </cell>
          <cell r="AP426" t="str">
            <v>MULTAN</v>
          </cell>
        </row>
        <row r="427">
          <cell r="AM427">
            <v>862</v>
          </cell>
          <cell r="AN427" t="str">
            <v>RAJANPUR</v>
          </cell>
          <cell r="AO427" t="str">
            <v>Main Dg Khan</v>
          </cell>
          <cell r="AP427" t="str">
            <v>MULTAN</v>
          </cell>
        </row>
        <row r="428">
          <cell r="AM428">
            <v>928</v>
          </cell>
          <cell r="AN428" t="str">
            <v>ROHILLANWALI</v>
          </cell>
          <cell r="AO428" t="str">
            <v>Muzaffar Garh</v>
          </cell>
          <cell r="AP428" t="str">
            <v>MULTAN</v>
          </cell>
        </row>
        <row r="429">
          <cell r="AM429">
            <v>929</v>
          </cell>
          <cell r="AN429" t="str">
            <v>THATTA SADIQABAD, JA</v>
          </cell>
          <cell r="AO429" t="str">
            <v>Khanewal</v>
          </cell>
          <cell r="AP429" t="str">
            <v>MULTAN</v>
          </cell>
        </row>
        <row r="430">
          <cell r="AM430">
            <v>937</v>
          </cell>
          <cell r="AN430" t="str">
            <v>OPP. MEPCO COMPLEX, MULTAN</v>
          </cell>
          <cell r="AO430" t="str">
            <v>Hussain Agahi Multan</v>
          </cell>
          <cell r="AP430" t="str">
            <v>MULTAN</v>
          </cell>
        </row>
        <row r="431">
          <cell r="AM431">
            <v>939</v>
          </cell>
          <cell r="AN431" t="str">
            <v>GULGASHT COLONY, MULTAN</v>
          </cell>
          <cell r="AO431" t="str">
            <v>Hussain Agahi Multan</v>
          </cell>
          <cell r="AP431" t="str">
            <v>MULTAN</v>
          </cell>
        </row>
        <row r="432">
          <cell r="AM432">
            <v>944</v>
          </cell>
          <cell r="AN432" t="str">
            <v>SHEIKH UMER</v>
          </cell>
          <cell r="AO432" t="str">
            <v>Kutchery Dg Khan</v>
          </cell>
          <cell r="AP432" t="str">
            <v>MULTAN</v>
          </cell>
        </row>
        <row r="433">
          <cell r="AM433">
            <v>963</v>
          </cell>
          <cell r="AN433" t="str">
            <v>B.C.G CHOWK BRANCH</v>
          </cell>
          <cell r="AO433" t="str">
            <v>Cantt Multan</v>
          </cell>
          <cell r="AP433" t="str">
            <v>MULTAN</v>
          </cell>
        </row>
        <row r="434">
          <cell r="AM434">
            <v>991</v>
          </cell>
          <cell r="AN434" t="str">
            <v>OLD SHUJABAD RD, MULTAN</v>
          </cell>
          <cell r="AO434" t="str">
            <v>Cantt Multan</v>
          </cell>
          <cell r="AP434" t="str">
            <v>MULTAN</v>
          </cell>
        </row>
        <row r="435">
          <cell r="AM435">
            <v>1033</v>
          </cell>
          <cell r="AN435" t="str">
            <v>KARAM DAD QURESHI</v>
          </cell>
          <cell r="AO435" t="str">
            <v>Main Dg Khan</v>
          </cell>
          <cell r="AP435" t="str">
            <v>MULTAN</v>
          </cell>
        </row>
        <row r="436">
          <cell r="AM436">
            <v>1037</v>
          </cell>
          <cell r="AN436" t="str">
            <v>BASIRA</v>
          </cell>
          <cell r="AO436" t="str">
            <v>Muzaffar Garh</v>
          </cell>
          <cell r="AP436" t="str">
            <v>MULTAN</v>
          </cell>
        </row>
        <row r="437">
          <cell r="AM437">
            <v>1068</v>
          </cell>
          <cell r="AN437" t="str">
            <v>CHAK NO.358/WB, DUNY</v>
          </cell>
          <cell r="AO437" t="str">
            <v>Lodhran</v>
          </cell>
          <cell r="AP437" t="str">
            <v>MULTAN</v>
          </cell>
        </row>
        <row r="438">
          <cell r="AM438">
            <v>1082</v>
          </cell>
          <cell r="AN438" t="str">
            <v>CHOWK SERWAR SHAHEED</v>
          </cell>
          <cell r="AO438" t="str">
            <v>Layyah</v>
          </cell>
          <cell r="AP438" t="str">
            <v>MULTAN</v>
          </cell>
        </row>
        <row r="439">
          <cell r="AM439">
            <v>1107</v>
          </cell>
          <cell r="AN439" t="str">
            <v>JAMPUR</v>
          </cell>
          <cell r="AO439" t="str">
            <v>Main Dg Khan</v>
          </cell>
          <cell r="AP439" t="str">
            <v>MULTAN</v>
          </cell>
        </row>
        <row r="440">
          <cell r="AM440">
            <v>1109</v>
          </cell>
          <cell r="AN440" t="str">
            <v>OPP PAK ARAB FERT. FACTORY, MULTAN</v>
          </cell>
          <cell r="AO440" t="str">
            <v>Hussain Agahi Multan</v>
          </cell>
          <cell r="AP440" t="str">
            <v>MULTAN</v>
          </cell>
        </row>
        <row r="441">
          <cell r="AM441">
            <v>1204</v>
          </cell>
          <cell r="AN441" t="str">
            <v>B.I.S.E.MULTAN</v>
          </cell>
          <cell r="AO441" t="str">
            <v>Hussain Agahi Multan</v>
          </cell>
          <cell r="AP441" t="str">
            <v>MULTAN</v>
          </cell>
        </row>
        <row r="442">
          <cell r="AM442">
            <v>1266</v>
          </cell>
          <cell r="AN442" t="str">
            <v>MUMTAZABAD, MAIN BAZAR, MULTAN</v>
          </cell>
          <cell r="AO442" t="str">
            <v>Cantt Multan</v>
          </cell>
          <cell r="AP442" t="str">
            <v>MULTAN</v>
          </cell>
        </row>
        <row r="443">
          <cell r="AM443">
            <v>1269</v>
          </cell>
          <cell r="AN443" t="str">
            <v>SHER SHAH ROAD, MULTAN</v>
          </cell>
          <cell r="AO443" t="str">
            <v>Cantt Multan</v>
          </cell>
          <cell r="AP443" t="str">
            <v>MULTAN</v>
          </cell>
        </row>
        <row r="444">
          <cell r="AM444">
            <v>1270</v>
          </cell>
          <cell r="AN444" t="str">
            <v>CORPORATE CENTRE, MU</v>
          </cell>
          <cell r="AO444" t="str">
            <v>Cantt Multan</v>
          </cell>
          <cell r="AP444" t="str">
            <v>MULTAN</v>
          </cell>
        </row>
        <row r="445">
          <cell r="AM445">
            <v>1271</v>
          </cell>
          <cell r="AN445" t="str">
            <v>BAHAUDDIN ZAKARIA UNIV. MULTAN</v>
          </cell>
          <cell r="AO445" t="str">
            <v>Hussain Agahi Multan</v>
          </cell>
          <cell r="AP445" t="str">
            <v>MULTAN</v>
          </cell>
        </row>
        <row r="446">
          <cell r="AM446">
            <v>1272</v>
          </cell>
          <cell r="AN446" t="str">
            <v>VEHARI-RAIL BAZAR</v>
          </cell>
          <cell r="AO446" t="str">
            <v>Mailsi--Vehari</v>
          </cell>
          <cell r="AP446" t="str">
            <v>MULTAN</v>
          </cell>
        </row>
        <row r="447">
          <cell r="AM447">
            <v>1307</v>
          </cell>
          <cell r="AN447" t="str">
            <v>BAIT MIR HAZAR, JATO</v>
          </cell>
          <cell r="AO447" t="str">
            <v>Muzaffar Garh</v>
          </cell>
          <cell r="AP447" t="str">
            <v>MULTAN</v>
          </cell>
        </row>
        <row r="448">
          <cell r="AM448">
            <v>1316</v>
          </cell>
          <cell r="AN448" t="str">
            <v>CHAK NO.170/TDA, DAR</v>
          </cell>
          <cell r="AO448" t="str">
            <v>Layyah</v>
          </cell>
          <cell r="AP448" t="str">
            <v>MULTAN</v>
          </cell>
        </row>
        <row r="449">
          <cell r="AM449">
            <v>1317</v>
          </cell>
          <cell r="AN449" t="str">
            <v>TAIL INDUS FARM, CHA</v>
          </cell>
          <cell r="AO449" t="str">
            <v>Layyah</v>
          </cell>
          <cell r="AP449" t="str">
            <v>MULTAN</v>
          </cell>
        </row>
        <row r="450">
          <cell r="AM450">
            <v>1323</v>
          </cell>
          <cell r="AN450" t="str">
            <v>MAHRA KHAS, MUZAFFAR</v>
          </cell>
          <cell r="AO450" t="str">
            <v>Muzaffar Garh</v>
          </cell>
          <cell r="AP450" t="str">
            <v>MULTAN</v>
          </cell>
        </row>
        <row r="451">
          <cell r="AM451">
            <v>1340</v>
          </cell>
          <cell r="AN451" t="str">
            <v>FATEHPUR DISTT. VEHA</v>
          </cell>
          <cell r="AO451" t="str">
            <v>Mailsi--Vehari</v>
          </cell>
          <cell r="AP451" t="str">
            <v>MULTAN</v>
          </cell>
        </row>
        <row r="452">
          <cell r="AM452">
            <v>1384</v>
          </cell>
          <cell r="AN452" t="str">
            <v>KOTLA MUGHLAN</v>
          </cell>
          <cell r="AO452" t="str">
            <v>Main Dg Khan</v>
          </cell>
          <cell r="AP452" t="str">
            <v>MULTAN</v>
          </cell>
        </row>
        <row r="453">
          <cell r="AM453">
            <v>1402</v>
          </cell>
          <cell r="AN453" t="str">
            <v>SHIKARPUR DISTT. RAJ</v>
          </cell>
          <cell r="AO453" t="str">
            <v>Main Dg Khan</v>
          </cell>
          <cell r="AP453" t="str">
            <v>MULTAN</v>
          </cell>
        </row>
        <row r="454">
          <cell r="AM454">
            <v>1465</v>
          </cell>
          <cell r="AN454" t="str">
            <v>KOT MUBARIK, D.G.KHA</v>
          </cell>
          <cell r="AO454" t="str">
            <v>Kutchery Dg Khan</v>
          </cell>
          <cell r="AP454" t="str">
            <v>MULTAN</v>
          </cell>
        </row>
        <row r="455">
          <cell r="AM455">
            <v>1470</v>
          </cell>
          <cell r="AN455" t="str">
            <v>B.I.S.E. COMPELX, D.</v>
          </cell>
          <cell r="AO455" t="str">
            <v>Kutchery Dg Khan</v>
          </cell>
          <cell r="AP455" t="str">
            <v>MULTAN</v>
          </cell>
        </row>
        <row r="456">
          <cell r="AM456">
            <v>1478</v>
          </cell>
          <cell r="AN456" t="str">
            <v>PULL RANGHOW</v>
          </cell>
          <cell r="AO456" t="str">
            <v>Khanewal</v>
          </cell>
          <cell r="AP456" t="str">
            <v>MULTAN</v>
          </cell>
        </row>
        <row r="457">
          <cell r="AM457">
            <v>1492</v>
          </cell>
          <cell r="AN457" t="str">
            <v>TIBBI QAISERANI, TAU</v>
          </cell>
          <cell r="AO457" t="str">
            <v>Kutchery Dg Khan</v>
          </cell>
          <cell r="AP457" t="str">
            <v>MULTAN</v>
          </cell>
        </row>
        <row r="458">
          <cell r="AM458">
            <v>1557</v>
          </cell>
          <cell r="AN458" t="str">
            <v>HARICHAND DISTT. VEH</v>
          </cell>
          <cell r="AO458" t="str">
            <v>Mailsi--Vehari</v>
          </cell>
          <cell r="AP458" t="str">
            <v>MULTAN</v>
          </cell>
        </row>
        <row r="459">
          <cell r="AM459">
            <v>1562</v>
          </cell>
          <cell r="AN459" t="str">
            <v>JALALPUR PIRWALA</v>
          </cell>
          <cell r="AO459" t="str">
            <v>Lodhran</v>
          </cell>
          <cell r="AP459" t="str">
            <v>MULTAN</v>
          </cell>
        </row>
        <row r="460">
          <cell r="AM460">
            <v>1611</v>
          </cell>
          <cell r="AN460" t="str">
            <v>KUTCHERY ROAD, D.G.KHAN</v>
          </cell>
          <cell r="AO460" t="str">
            <v>Kutchery Dg Khan</v>
          </cell>
          <cell r="AP460" t="str">
            <v>MULTAN</v>
          </cell>
        </row>
        <row r="461">
          <cell r="AM461">
            <v>1627</v>
          </cell>
          <cell r="AN461" t="str">
            <v>MOUZA ALIUDDIN</v>
          </cell>
          <cell r="AO461" t="str">
            <v>Mailsi--Vehari</v>
          </cell>
          <cell r="AP461" t="str">
            <v>MULTAN</v>
          </cell>
        </row>
        <row r="462">
          <cell r="AM462">
            <v>1686</v>
          </cell>
          <cell r="AN462" t="str">
            <v>VEHARI-TEHSIL BAZAR</v>
          </cell>
          <cell r="AO462" t="str">
            <v>Mailsi--Vehari</v>
          </cell>
          <cell r="AP462" t="str">
            <v>MULTAN</v>
          </cell>
        </row>
        <row r="463">
          <cell r="AM463">
            <v>1714</v>
          </cell>
          <cell r="AN463" t="str">
            <v>CHAK NO.102/WB, GARA</v>
          </cell>
          <cell r="AO463" t="str">
            <v>Mailsi--Vehari</v>
          </cell>
          <cell r="AP463" t="str">
            <v>MULTAN</v>
          </cell>
        </row>
        <row r="464">
          <cell r="AM464">
            <v>1715</v>
          </cell>
          <cell r="AN464" t="str">
            <v>FAZIL PUR</v>
          </cell>
          <cell r="AO464" t="str">
            <v>Main Dg Khan</v>
          </cell>
          <cell r="AP464" t="str">
            <v>MULTAN</v>
          </cell>
        </row>
        <row r="465">
          <cell r="AM465">
            <v>1716</v>
          </cell>
          <cell r="AN465" t="str">
            <v>KOT CHUTTA</v>
          </cell>
          <cell r="AO465" t="str">
            <v>Main Dg Khan</v>
          </cell>
          <cell r="AP465" t="str">
            <v>MULTAN</v>
          </cell>
        </row>
        <row r="466">
          <cell r="AM466">
            <v>1776</v>
          </cell>
          <cell r="AN466" t="str">
            <v>MAIN L.M.Q. RD. MULTAN</v>
          </cell>
          <cell r="AO466" t="str">
            <v>Hussain Agahi Multan</v>
          </cell>
          <cell r="AP466" t="str">
            <v>MULTAN</v>
          </cell>
        </row>
        <row r="467">
          <cell r="AM467">
            <v>1826</v>
          </cell>
          <cell r="AN467" t="str">
            <v>CHAK NO.81/10-R</v>
          </cell>
          <cell r="AO467" t="str">
            <v>Khanewal</v>
          </cell>
          <cell r="AP467" t="str">
            <v>MULTAN</v>
          </cell>
        </row>
        <row r="468">
          <cell r="AM468">
            <v>1840</v>
          </cell>
          <cell r="AN468" t="str">
            <v>CHOWK NASEERABAD</v>
          </cell>
          <cell r="AO468" t="str">
            <v>Muzaffar Garh</v>
          </cell>
          <cell r="AP468" t="str">
            <v>MULTAN</v>
          </cell>
        </row>
        <row r="469">
          <cell r="AM469">
            <v>1860</v>
          </cell>
          <cell r="AN469" t="str">
            <v>CHAK HIMTA, LODHRAN</v>
          </cell>
          <cell r="AO469" t="str">
            <v>Lodhran</v>
          </cell>
          <cell r="AP469" t="str">
            <v>MULTAN</v>
          </cell>
        </row>
        <row r="470">
          <cell r="AM470">
            <v>1862</v>
          </cell>
          <cell r="AN470" t="str">
            <v>KALLER WALI</v>
          </cell>
          <cell r="AO470" t="str">
            <v>Muzaffar Garh</v>
          </cell>
          <cell r="AP470" t="str">
            <v>MULTAN</v>
          </cell>
        </row>
        <row r="471">
          <cell r="AM471">
            <v>1898</v>
          </cell>
          <cell r="AN471" t="str">
            <v>MOUZA PAKKI</v>
          </cell>
          <cell r="AO471" t="str">
            <v>Kutchery Dg Khan</v>
          </cell>
          <cell r="AP471" t="str">
            <v>MULTAN</v>
          </cell>
        </row>
        <row r="472">
          <cell r="AM472">
            <v>1920</v>
          </cell>
          <cell r="AN472" t="str">
            <v>KOTLA BAND ALI KHAN,</v>
          </cell>
          <cell r="AO472" t="str">
            <v>Muzaffar Garh</v>
          </cell>
          <cell r="AP472" t="str">
            <v>MULTAN</v>
          </cell>
        </row>
        <row r="473">
          <cell r="AM473">
            <v>1975</v>
          </cell>
          <cell r="AN473" t="str">
            <v>D.G.KHAN-HABIB TOWN,</v>
          </cell>
          <cell r="AO473" t="str">
            <v>Main Dg Khan</v>
          </cell>
          <cell r="AP473" t="str">
            <v>MULTAN</v>
          </cell>
        </row>
        <row r="474">
          <cell r="AM474">
            <v>2225</v>
          </cell>
          <cell r="AN474" t="str">
            <v>SHAH RUKN-E-ALAM COLONY, MULTAN</v>
          </cell>
          <cell r="AO474" t="str">
            <v>Hussain Agahi Multan</v>
          </cell>
          <cell r="AP474" t="str">
            <v>MULTAN</v>
          </cell>
        </row>
        <row r="475">
          <cell r="AM475">
            <v>2246</v>
          </cell>
          <cell r="AN475" t="str">
            <v>GARDEN TOWN, MULTAN</v>
          </cell>
          <cell r="AO475" t="str">
            <v>Cantt Multan</v>
          </cell>
          <cell r="AP475" t="str">
            <v>MULTAN</v>
          </cell>
        </row>
        <row r="476">
          <cell r="AM476">
            <v>2284</v>
          </cell>
          <cell r="AN476" t="str">
            <v>BOSAN ROAD BR MULTAN</v>
          </cell>
          <cell r="AO476" t="str">
            <v>Cantt Multan</v>
          </cell>
          <cell r="AP476" t="str">
            <v>MULTAN</v>
          </cell>
        </row>
        <row r="477">
          <cell r="AM477">
            <v>2291</v>
          </cell>
          <cell r="AN477" t="str">
            <v>VEHOA BRANCH</v>
          </cell>
          <cell r="AO477" t="str">
            <v>Kutchery Dg Khan</v>
          </cell>
          <cell r="AP477" t="str">
            <v>MULTAN</v>
          </cell>
        </row>
        <row r="478">
          <cell r="AM478">
            <v>2295</v>
          </cell>
          <cell r="AN478" t="str">
            <v>LAHORE MORE BRANCH K</v>
          </cell>
          <cell r="AO478" t="str">
            <v>Khanewal</v>
          </cell>
          <cell r="AP478" t="str">
            <v>MULTAN</v>
          </cell>
        </row>
        <row r="479">
          <cell r="AM479">
            <v>2359</v>
          </cell>
          <cell r="AN479" t="str">
            <v>CHEN ONE TOWER BRANC</v>
          </cell>
          <cell r="AO479" t="str">
            <v>Cantt Multan</v>
          </cell>
          <cell r="AP479" t="str">
            <v>MULTAN</v>
          </cell>
        </row>
        <row r="480">
          <cell r="AM480">
            <v>2372</v>
          </cell>
          <cell r="AN480" t="str">
            <v>General Bus Stand, Layyah</v>
          </cell>
          <cell r="AO480" t="str">
            <v>Layyah</v>
          </cell>
          <cell r="AP480" t="str">
            <v>MULTAN</v>
          </cell>
        </row>
        <row r="481">
          <cell r="AM481">
            <v>2383</v>
          </cell>
          <cell r="AN481" t="str">
            <v>QASBA SAMINA SADAAT</v>
          </cell>
          <cell r="AO481" t="str">
            <v>Main Dg Khan</v>
          </cell>
          <cell r="AP481" t="str">
            <v>MULTAN</v>
          </cell>
        </row>
        <row r="482">
          <cell r="AM482">
            <v>2392</v>
          </cell>
          <cell r="AN482" t="str">
            <v>CHOUBARA CITY BRANCH</v>
          </cell>
          <cell r="AO482" t="str">
            <v>Layyah</v>
          </cell>
          <cell r="AP482" t="str">
            <v>MULTAN</v>
          </cell>
        </row>
        <row r="483">
          <cell r="AM483">
            <v>2395</v>
          </cell>
          <cell r="AN483" t="str">
            <v>MITHAN KOT BRANCH</v>
          </cell>
          <cell r="AO483" t="str">
            <v>Main Dg Khan</v>
          </cell>
          <cell r="AP483" t="str">
            <v>MULTAN</v>
          </cell>
        </row>
        <row r="484">
          <cell r="AM484">
            <v>2419</v>
          </cell>
          <cell r="AN484" t="str">
            <v>GHALLAH MANDI BRANCH</v>
          </cell>
          <cell r="AO484" t="str">
            <v>Main Dg Khan</v>
          </cell>
          <cell r="AP484" t="str">
            <v>MULTAN</v>
          </cell>
        </row>
        <row r="485">
          <cell r="AM485">
            <v>2451</v>
          </cell>
          <cell r="AN485" t="str">
            <v>CHOTI ZARIAN</v>
          </cell>
          <cell r="AO485" t="str">
            <v>Main Dg Khan</v>
          </cell>
          <cell r="AP485" t="str">
            <v>MULTAN</v>
          </cell>
        </row>
        <row r="486">
          <cell r="AM486">
            <v>2452</v>
          </cell>
          <cell r="AN486" t="str">
            <v>CHOPPER HATTA</v>
          </cell>
          <cell r="AO486" t="str">
            <v>Khanewal</v>
          </cell>
          <cell r="AP486" t="str">
            <v>MULTAN</v>
          </cell>
        </row>
        <row r="487">
          <cell r="AM487">
            <v>2464</v>
          </cell>
          <cell r="AN487" t="str">
            <v>BAHAWALPUR BY-PASS M</v>
          </cell>
          <cell r="AO487" t="str">
            <v>Cantt Multan</v>
          </cell>
          <cell r="AP487" t="str">
            <v>MULTAN</v>
          </cell>
        </row>
        <row r="488">
          <cell r="AM488">
            <v>2465</v>
          </cell>
          <cell r="AN488" t="str">
            <v>BASTI MALOOK DISTT.MULTAN</v>
          </cell>
          <cell r="AO488" t="str">
            <v>Lodhran</v>
          </cell>
          <cell r="AP488" t="str">
            <v>MULTAN</v>
          </cell>
        </row>
        <row r="489">
          <cell r="AM489">
            <v>2466</v>
          </cell>
          <cell r="AN489" t="str">
            <v>Buch Villas (Siddiqabad) Multan</v>
          </cell>
          <cell r="AO489" t="str">
            <v>Hussain Agahi Multan</v>
          </cell>
          <cell r="AP489" t="str">
            <v>MULTAN</v>
          </cell>
        </row>
        <row r="490">
          <cell r="AM490">
            <v>2496</v>
          </cell>
          <cell r="AN490" t="str">
            <v>PEARL CITY BRANCH MU</v>
          </cell>
          <cell r="AO490" t="str">
            <v>Cantt Multan</v>
          </cell>
          <cell r="AP490" t="str">
            <v>MULTAN</v>
          </cell>
        </row>
        <row r="491">
          <cell r="AM491">
            <v>104</v>
          </cell>
          <cell r="AN491" t="str">
            <v>VEHARI BAZAR</v>
          </cell>
          <cell r="AO491" t="str">
            <v>Burewala Area</v>
          </cell>
          <cell r="AP491" t="str">
            <v>SAHIWAL</v>
          </cell>
        </row>
        <row r="492">
          <cell r="AM492">
            <v>119</v>
          </cell>
          <cell r="AN492" t="str">
            <v>KASUR-RAILWAY ROAD</v>
          </cell>
          <cell r="AO492" t="str">
            <v>Kasur Area</v>
          </cell>
          <cell r="AP492" t="str">
            <v>SAHIWAL</v>
          </cell>
        </row>
        <row r="493">
          <cell r="AM493">
            <v>147</v>
          </cell>
          <cell r="AN493" t="str">
            <v>JINNAH CHOWK, SAHIWAL</v>
          </cell>
          <cell r="AO493" t="str">
            <v>Shaiwal Commercial Area</v>
          </cell>
          <cell r="AP493" t="str">
            <v>SAHIWAL</v>
          </cell>
        </row>
        <row r="494">
          <cell r="AM494">
            <v>152</v>
          </cell>
          <cell r="AN494" t="str">
            <v>MANDI RD, OKARA</v>
          </cell>
          <cell r="AO494" t="str">
            <v>Okara Area</v>
          </cell>
          <cell r="AP494" t="str">
            <v>SAHIWAL</v>
          </cell>
        </row>
        <row r="495">
          <cell r="AM495">
            <v>179</v>
          </cell>
          <cell r="AN495" t="str">
            <v>GRAIN MARKET, CHICHAWATNI</v>
          </cell>
          <cell r="AO495" t="str">
            <v>Chichawatni Mianchannu Area</v>
          </cell>
          <cell r="AP495" t="str">
            <v>SAHIWAL</v>
          </cell>
        </row>
        <row r="496">
          <cell r="AM496">
            <v>180</v>
          </cell>
          <cell r="AN496" t="str">
            <v>GRAIN MARKET, SAHIWAL</v>
          </cell>
          <cell r="AO496" t="str">
            <v>Shaiwal Commercial Area</v>
          </cell>
          <cell r="AP496" t="str">
            <v>SAHIWAL</v>
          </cell>
        </row>
        <row r="497">
          <cell r="AM497">
            <v>185</v>
          </cell>
          <cell r="AN497" t="str">
            <v>PATTOKI</v>
          </cell>
          <cell r="AO497" t="str">
            <v>Pattoki Area</v>
          </cell>
          <cell r="AP497" t="str">
            <v>SAHIWAL</v>
          </cell>
        </row>
        <row r="498">
          <cell r="AM498">
            <v>194</v>
          </cell>
          <cell r="AN498" t="str">
            <v>JINNAH CHOWK, ARIFWALA</v>
          </cell>
          <cell r="AO498" t="str">
            <v>Pakpattan Area</v>
          </cell>
          <cell r="AP498" t="str">
            <v>SAHIWAL</v>
          </cell>
        </row>
        <row r="499">
          <cell r="AM499">
            <v>204</v>
          </cell>
          <cell r="AN499" t="str">
            <v>MANDI ROAD, PAK PATTAN</v>
          </cell>
          <cell r="AO499" t="str">
            <v>Pakpattan Area</v>
          </cell>
          <cell r="AP499" t="str">
            <v>SAHIWAL</v>
          </cell>
        </row>
        <row r="500">
          <cell r="AM500">
            <v>270</v>
          </cell>
          <cell r="AN500" t="str">
            <v>IQBAL NAGAR-CHAK NO.</v>
          </cell>
          <cell r="AO500" t="str">
            <v>Burewala Area</v>
          </cell>
          <cell r="AP500" t="str">
            <v>SAHIWAL</v>
          </cell>
        </row>
        <row r="501">
          <cell r="AM501">
            <v>275</v>
          </cell>
          <cell r="AN501" t="str">
            <v>YOUSAFWALA</v>
          </cell>
          <cell r="AO501" t="str">
            <v>Sahiwal Rural Area</v>
          </cell>
          <cell r="AP501" t="str">
            <v>SAHIWAL</v>
          </cell>
        </row>
        <row r="502">
          <cell r="AM502">
            <v>282</v>
          </cell>
          <cell r="AN502" t="str">
            <v>QADIRABAD, SAHIWAL</v>
          </cell>
          <cell r="AO502" t="str">
            <v>Sahiwal Rural Area</v>
          </cell>
          <cell r="AP502" t="str">
            <v>SAHIWAL</v>
          </cell>
        </row>
        <row r="503">
          <cell r="AM503">
            <v>301</v>
          </cell>
          <cell r="AN503" t="str">
            <v>BUNGA HAYAT</v>
          </cell>
          <cell r="AO503" t="str">
            <v>Pakpattan Area</v>
          </cell>
          <cell r="AP503" t="str">
            <v>SAHIWAL</v>
          </cell>
        </row>
        <row r="504">
          <cell r="AM504">
            <v>304</v>
          </cell>
          <cell r="AN504" t="str">
            <v>SHEIKH FAZIL, CHICHA</v>
          </cell>
          <cell r="AO504" t="str">
            <v>Burewala Area</v>
          </cell>
          <cell r="AP504" t="str">
            <v>SAHIWAL</v>
          </cell>
        </row>
        <row r="505">
          <cell r="AM505">
            <v>312</v>
          </cell>
          <cell r="AN505" t="str">
            <v>OKARA-AKBAR ROAD</v>
          </cell>
          <cell r="AO505" t="str">
            <v>Okara Area</v>
          </cell>
          <cell r="AP505" t="str">
            <v>SAHIWAL</v>
          </cell>
        </row>
        <row r="506">
          <cell r="AM506">
            <v>379</v>
          </cell>
          <cell r="AN506" t="str">
            <v>CHAK NO.134/16-L</v>
          </cell>
          <cell r="AO506" t="str">
            <v>Chichawatni Mianchannu Area</v>
          </cell>
          <cell r="AP506" t="str">
            <v>SAHIWAL</v>
          </cell>
        </row>
        <row r="507">
          <cell r="AM507">
            <v>384</v>
          </cell>
          <cell r="AN507" t="str">
            <v>CHOWK SIKANDAR</v>
          </cell>
          <cell r="AO507" t="str">
            <v>Pakpattan Area</v>
          </cell>
          <cell r="AP507" t="str">
            <v>SAHIWAL</v>
          </cell>
        </row>
        <row r="508">
          <cell r="AM508">
            <v>398</v>
          </cell>
          <cell r="AN508" t="str">
            <v>MOUZA JANGPUR</v>
          </cell>
          <cell r="AO508" t="str">
            <v>Okara Area</v>
          </cell>
          <cell r="AP508" t="str">
            <v>SAHIWAL</v>
          </cell>
        </row>
        <row r="509">
          <cell r="AM509">
            <v>431</v>
          </cell>
          <cell r="AN509" t="str">
            <v>MAIN BRANCH, MIAN CHANNU</v>
          </cell>
          <cell r="AO509" t="str">
            <v>Chichawatni Mianchannu Area</v>
          </cell>
          <cell r="AP509" t="str">
            <v>SAHIWAL</v>
          </cell>
        </row>
        <row r="510">
          <cell r="AM510">
            <v>470</v>
          </cell>
          <cell r="AN510" t="str">
            <v>DEPALPUR</v>
          </cell>
          <cell r="AO510" t="str">
            <v>Okara Area</v>
          </cell>
          <cell r="AP510" t="str">
            <v>SAHIWAL</v>
          </cell>
        </row>
        <row r="511">
          <cell r="AM511">
            <v>548</v>
          </cell>
          <cell r="AN511" t="str">
            <v>CHAK NO.45/12-L, FIR</v>
          </cell>
          <cell r="AO511" t="str">
            <v>Burewala Area</v>
          </cell>
          <cell r="AP511" t="str">
            <v>SAHIWAL</v>
          </cell>
        </row>
        <row r="512">
          <cell r="AM512">
            <v>567</v>
          </cell>
          <cell r="AN512" t="str">
            <v>GHALLA MANDI, RENALA KHURD</v>
          </cell>
          <cell r="AO512" t="str">
            <v>Pattoki Area</v>
          </cell>
          <cell r="AP512" t="str">
            <v>SAHIWAL</v>
          </cell>
        </row>
        <row r="513">
          <cell r="AM513">
            <v>623</v>
          </cell>
          <cell r="AN513" t="str">
            <v>CHAK NO.91/6-R</v>
          </cell>
          <cell r="AO513" t="str">
            <v>Sahiwal Rural Area</v>
          </cell>
          <cell r="AP513" t="str">
            <v>SAHIWAL</v>
          </cell>
        </row>
        <row r="514">
          <cell r="AM514">
            <v>636</v>
          </cell>
          <cell r="AN514" t="str">
            <v>GAGGO</v>
          </cell>
          <cell r="AO514" t="str">
            <v>Burewala Area</v>
          </cell>
          <cell r="AP514" t="str">
            <v>SAHIWAL</v>
          </cell>
        </row>
        <row r="515">
          <cell r="AM515">
            <v>657</v>
          </cell>
          <cell r="AN515" t="str">
            <v>KHUDIAN KHAS, KASUR</v>
          </cell>
          <cell r="AO515" t="str">
            <v>Kasur Area</v>
          </cell>
          <cell r="AP515" t="str">
            <v>SAHIWAL</v>
          </cell>
        </row>
        <row r="516">
          <cell r="AM516">
            <v>676</v>
          </cell>
          <cell r="AN516" t="str">
            <v>NOOR SHAH</v>
          </cell>
          <cell r="AO516" t="str">
            <v>Sahiwal Rural Area</v>
          </cell>
          <cell r="AP516" t="str">
            <v>SAHIWAL</v>
          </cell>
        </row>
        <row r="517">
          <cell r="AM517">
            <v>678</v>
          </cell>
          <cell r="AN517" t="str">
            <v>GAMBER (OKARA CANTT.)</v>
          </cell>
          <cell r="AO517" t="str">
            <v>Okara Area</v>
          </cell>
          <cell r="AP517" t="str">
            <v>SAHIWAL</v>
          </cell>
        </row>
        <row r="518">
          <cell r="AM518">
            <v>686</v>
          </cell>
          <cell r="AN518" t="str">
            <v>KOT KHADIM ALI, SAHIWAL</v>
          </cell>
          <cell r="AO518" t="str">
            <v>Sahiwal Rural Area</v>
          </cell>
          <cell r="AP518" t="str">
            <v>SAHIWAL</v>
          </cell>
        </row>
        <row r="519">
          <cell r="AM519">
            <v>689</v>
          </cell>
          <cell r="AN519" t="str">
            <v>MACHHIANWALA</v>
          </cell>
          <cell r="AO519" t="str">
            <v>Burewala Area</v>
          </cell>
          <cell r="AP519" t="str">
            <v>SAHIWAL</v>
          </cell>
        </row>
        <row r="520">
          <cell r="AM520">
            <v>809</v>
          </cell>
          <cell r="AN520" t="str">
            <v>MADINA CHOWK BRANCH</v>
          </cell>
          <cell r="AO520" t="str">
            <v>Chichawatni Mianchannu Area</v>
          </cell>
          <cell r="AP520" t="str">
            <v>SAHIWAL</v>
          </cell>
        </row>
        <row r="521">
          <cell r="AM521">
            <v>885</v>
          </cell>
          <cell r="AN521" t="str">
            <v>OKARA-GOLE CHOWK</v>
          </cell>
          <cell r="AO521" t="str">
            <v>Okara Area</v>
          </cell>
          <cell r="AP521" t="str">
            <v>SAHIWAL</v>
          </cell>
        </row>
        <row r="522">
          <cell r="AM522">
            <v>920</v>
          </cell>
          <cell r="AN522" t="str">
            <v>KANGANPUR</v>
          </cell>
          <cell r="AO522" t="str">
            <v>Kasur Area</v>
          </cell>
          <cell r="AP522" t="str">
            <v>SAHIWAL</v>
          </cell>
        </row>
        <row r="523">
          <cell r="AM523">
            <v>934</v>
          </cell>
          <cell r="AN523" t="str">
            <v>CHAK NO.105/15-L, VA</v>
          </cell>
          <cell r="AO523" t="str">
            <v>Chichawatni Mianchannu Area</v>
          </cell>
          <cell r="AP523" t="str">
            <v>SAHIWAL</v>
          </cell>
        </row>
        <row r="524">
          <cell r="AM524">
            <v>949</v>
          </cell>
          <cell r="AN524" t="str">
            <v>MALKA HANS</v>
          </cell>
          <cell r="AO524" t="str">
            <v>Pakpattan Area</v>
          </cell>
          <cell r="AP524" t="str">
            <v>SAHIWAL</v>
          </cell>
        </row>
        <row r="525">
          <cell r="AM525">
            <v>951</v>
          </cell>
          <cell r="AN525" t="str">
            <v>CHAK NO.120/9-L, KAM</v>
          </cell>
          <cell r="AO525" t="str">
            <v>Sahiwal Rural Area</v>
          </cell>
          <cell r="AP525" t="str">
            <v>SAHIWAL</v>
          </cell>
        </row>
        <row r="526">
          <cell r="AM526">
            <v>961</v>
          </cell>
          <cell r="AN526" t="str">
            <v>AKHTARABAD</v>
          </cell>
          <cell r="AO526" t="str">
            <v>Pattoki Area</v>
          </cell>
          <cell r="AP526" t="str">
            <v>SAHIWAL</v>
          </cell>
        </row>
        <row r="527">
          <cell r="AM527">
            <v>982</v>
          </cell>
          <cell r="AN527" t="str">
            <v>PHOOL NAGAR,(BHAI PHERU)</v>
          </cell>
          <cell r="AO527" t="str">
            <v>Pattoki Area</v>
          </cell>
          <cell r="AP527" t="str">
            <v>SAHIWAL</v>
          </cell>
        </row>
        <row r="528">
          <cell r="AM528">
            <v>1016</v>
          </cell>
          <cell r="AN528" t="str">
            <v>BUREWALA-ARIF BAZAR</v>
          </cell>
          <cell r="AO528" t="str">
            <v>Burewala Area</v>
          </cell>
          <cell r="AP528" t="str">
            <v>SAHIWAL</v>
          </cell>
        </row>
        <row r="529">
          <cell r="AM529">
            <v>1023</v>
          </cell>
          <cell r="AN529" t="str">
            <v>CHICHAWATNI-CHOWK NI</v>
          </cell>
          <cell r="AO529" t="str">
            <v>Chichawatni Mianchannu Area</v>
          </cell>
          <cell r="AP529" t="str">
            <v>SAHIWAL</v>
          </cell>
        </row>
        <row r="530">
          <cell r="AM530">
            <v>1032</v>
          </cell>
          <cell r="AN530" t="str">
            <v>QABULA</v>
          </cell>
          <cell r="AO530" t="str">
            <v>Pakpattan Area</v>
          </cell>
          <cell r="AP530" t="str">
            <v>SAHIWAL</v>
          </cell>
        </row>
        <row r="531">
          <cell r="AM531">
            <v>1046</v>
          </cell>
          <cell r="AN531" t="str">
            <v>KOT RADHA KISHAN</v>
          </cell>
          <cell r="AO531" t="str">
            <v>Kasur Area</v>
          </cell>
          <cell r="AP531" t="str">
            <v>SAHIWAL</v>
          </cell>
        </row>
        <row r="532">
          <cell r="AM532">
            <v>1066</v>
          </cell>
          <cell r="AN532" t="str">
            <v>KASUR-DINGARH</v>
          </cell>
          <cell r="AO532" t="str">
            <v>Kasur Area</v>
          </cell>
          <cell r="AP532" t="str">
            <v>SAHIWAL</v>
          </cell>
        </row>
        <row r="533">
          <cell r="AM533">
            <v>1085</v>
          </cell>
          <cell r="AN533" t="str">
            <v>CHAK NO.163/EB, DARB</v>
          </cell>
          <cell r="AO533" t="str">
            <v>Burewala Area</v>
          </cell>
          <cell r="AP533" t="str">
            <v>SAHIWAL</v>
          </cell>
        </row>
        <row r="534">
          <cell r="AM534">
            <v>1094</v>
          </cell>
          <cell r="AN534" t="str">
            <v>CHAK NO.176/9-L</v>
          </cell>
          <cell r="AO534" t="str">
            <v>Chichawatni Mianchannu Area</v>
          </cell>
          <cell r="AP534" t="str">
            <v>SAHIWAL</v>
          </cell>
        </row>
        <row r="535">
          <cell r="AM535">
            <v>1098</v>
          </cell>
          <cell r="AN535" t="str">
            <v>MOUZA GHEL SINGH-HAV</v>
          </cell>
          <cell r="AO535" t="str">
            <v>Pakpattan Area</v>
          </cell>
          <cell r="AP535" t="str">
            <v>SAHIWAL</v>
          </cell>
        </row>
        <row r="536">
          <cell r="AM536">
            <v>1180</v>
          </cell>
          <cell r="AN536" t="str">
            <v>DARGAH BAZAR, PAKPATTAN</v>
          </cell>
          <cell r="AO536" t="str">
            <v>Pakpattan Area</v>
          </cell>
          <cell r="AP536" t="str">
            <v>SAHIWAL</v>
          </cell>
        </row>
        <row r="537">
          <cell r="AM537">
            <v>1187</v>
          </cell>
          <cell r="AN537" t="str">
            <v>CHAK NO.6/11-L, PHAT</v>
          </cell>
          <cell r="AO537" t="str">
            <v>Sahiwal Rural Area</v>
          </cell>
          <cell r="AP537" t="str">
            <v>SAHIWAL</v>
          </cell>
        </row>
        <row r="538">
          <cell r="AM538">
            <v>1265</v>
          </cell>
          <cell r="AN538" t="str">
            <v>ABDUL HAKIM, KABIRWA</v>
          </cell>
          <cell r="AO538" t="str">
            <v>Chichawatni Mianchannu Area</v>
          </cell>
          <cell r="AP538" t="str">
            <v>SAHIWAL</v>
          </cell>
        </row>
        <row r="539">
          <cell r="AM539">
            <v>1279</v>
          </cell>
          <cell r="AN539" t="str">
            <v>CHAK NO.23/10-R, VEH</v>
          </cell>
          <cell r="AO539" t="str">
            <v>Chichawatni Mianchannu Area</v>
          </cell>
          <cell r="AP539" t="str">
            <v>SAHIWAL</v>
          </cell>
        </row>
        <row r="540">
          <cell r="AM540">
            <v>1281</v>
          </cell>
          <cell r="AN540" t="str">
            <v>CHAK NO.95/12-L, IQB</v>
          </cell>
          <cell r="AO540" t="str">
            <v>Burewala Area</v>
          </cell>
          <cell r="AP540" t="str">
            <v>SAHIWAL</v>
          </cell>
        </row>
        <row r="541">
          <cell r="AM541">
            <v>1288</v>
          </cell>
          <cell r="AN541" t="str">
            <v>CHAK NO.203/EB</v>
          </cell>
          <cell r="AO541" t="str">
            <v>Burewala Area</v>
          </cell>
          <cell r="AP541" t="str">
            <v>SAHIWAL</v>
          </cell>
        </row>
        <row r="542">
          <cell r="AM542">
            <v>1290</v>
          </cell>
          <cell r="AN542" t="str">
            <v>TALVANDI</v>
          </cell>
          <cell r="AO542" t="str">
            <v>Kasur Area</v>
          </cell>
          <cell r="AP542" t="str">
            <v>SAHIWAL</v>
          </cell>
        </row>
        <row r="543">
          <cell r="AM543">
            <v>1348</v>
          </cell>
          <cell r="AN543" t="str">
            <v>UMERABAD</v>
          </cell>
          <cell r="AO543" t="str">
            <v>Pattoki Area</v>
          </cell>
          <cell r="AP543" t="str">
            <v>SAHIWAL</v>
          </cell>
        </row>
        <row r="544">
          <cell r="AM544">
            <v>1350</v>
          </cell>
          <cell r="AN544" t="str">
            <v>BHEDIAN KALAN</v>
          </cell>
          <cell r="AO544" t="str">
            <v>Kasur Area</v>
          </cell>
          <cell r="AP544" t="str">
            <v>SAHIWAL</v>
          </cell>
        </row>
        <row r="545">
          <cell r="AM545">
            <v>1356</v>
          </cell>
          <cell r="AN545" t="str">
            <v>CHAK NO.78/EB, ADDA</v>
          </cell>
          <cell r="AO545" t="str">
            <v>Burewala Area</v>
          </cell>
          <cell r="AP545" t="str">
            <v>SAHIWAL</v>
          </cell>
        </row>
        <row r="546">
          <cell r="AM546">
            <v>1395</v>
          </cell>
          <cell r="AN546" t="str">
            <v>JAMBER KHURD</v>
          </cell>
          <cell r="AO546" t="str">
            <v>Pattoki Area</v>
          </cell>
          <cell r="AP546" t="str">
            <v>SAHIWAL</v>
          </cell>
        </row>
        <row r="547">
          <cell r="AM547">
            <v>1409</v>
          </cell>
          <cell r="AN547" t="str">
            <v>CHOWK ALLAHABAD BRAN</v>
          </cell>
          <cell r="AO547" t="str">
            <v>Kasur Area</v>
          </cell>
          <cell r="AP547" t="str">
            <v>SAHIWAL</v>
          </cell>
        </row>
        <row r="548">
          <cell r="AM548">
            <v>1417</v>
          </cell>
          <cell r="AN548" t="str">
            <v>CHAK NO.66, DINA NAT</v>
          </cell>
          <cell r="AO548" t="str">
            <v>Pattoki Area</v>
          </cell>
          <cell r="AP548" t="str">
            <v>SAHIWAL</v>
          </cell>
        </row>
        <row r="549">
          <cell r="AM549">
            <v>1444</v>
          </cell>
          <cell r="AN549" t="str">
            <v>BASIRPUR</v>
          </cell>
          <cell r="AO549" t="str">
            <v>Okara Area</v>
          </cell>
          <cell r="AP549" t="str">
            <v>SAHIWAL</v>
          </cell>
        </row>
        <row r="550">
          <cell r="AM550">
            <v>1471</v>
          </cell>
          <cell r="AN550" t="str">
            <v>CHAK NO.129/EB, ADDA</v>
          </cell>
          <cell r="AO550" t="str">
            <v>Burewala Area</v>
          </cell>
          <cell r="AP550" t="str">
            <v>SAHIWAL</v>
          </cell>
        </row>
        <row r="551">
          <cell r="AM551">
            <v>1576</v>
          </cell>
          <cell r="AN551" t="str">
            <v>PIAL KALAN</v>
          </cell>
          <cell r="AO551" t="str">
            <v>Kasur Area</v>
          </cell>
          <cell r="AP551" t="str">
            <v>SAHIWAL</v>
          </cell>
        </row>
        <row r="552">
          <cell r="AM552">
            <v>1590</v>
          </cell>
          <cell r="AN552" t="str">
            <v>CHAK NO.149/EB</v>
          </cell>
          <cell r="AO552" t="str">
            <v>Pakpattan Area</v>
          </cell>
          <cell r="AP552" t="str">
            <v>SAHIWAL</v>
          </cell>
        </row>
        <row r="553">
          <cell r="AM553">
            <v>1612</v>
          </cell>
          <cell r="AN553" t="str">
            <v>CHUNIAN</v>
          </cell>
          <cell r="AO553" t="str">
            <v>Kasur Area</v>
          </cell>
          <cell r="AP553" t="str">
            <v>SAHIWAL</v>
          </cell>
        </row>
        <row r="554">
          <cell r="AM554">
            <v>1644</v>
          </cell>
          <cell r="AN554" t="str">
            <v>TALAMBA</v>
          </cell>
          <cell r="AO554" t="str">
            <v>Chichawatni Mianchannu Area</v>
          </cell>
          <cell r="AP554" t="str">
            <v>SAHIWAL</v>
          </cell>
        </row>
        <row r="555">
          <cell r="AM555">
            <v>1651</v>
          </cell>
          <cell r="AN555" t="str">
            <v>HIGH ST., JINNAH RD, SAHIWAL</v>
          </cell>
          <cell r="AO555" t="str">
            <v>Sahiwal Rural Area</v>
          </cell>
          <cell r="AP555" t="str">
            <v>SAHIWAL</v>
          </cell>
        </row>
        <row r="556">
          <cell r="AM556">
            <v>1653</v>
          </cell>
          <cell r="AN556" t="str">
            <v>HALLA CHOWK BRAMCH, PATTOKI</v>
          </cell>
          <cell r="AO556" t="str">
            <v>Pattoki Area</v>
          </cell>
          <cell r="AP556" t="str">
            <v>SAHIWAL</v>
          </cell>
        </row>
        <row r="557">
          <cell r="AM557">
            <v>1672</v>
          </cell>
          <cell r="AN557" t="str">
            <v>FARID TOWN, SAHIWAL</v>
          </cell>
          <cell r="AO557" t="str">
            <v>Shaiwal Commercial Area</v>
          </cell>
          <cell r="AP557" t="str">
            <v>SAHIWAL</v>
          </cell>
        </row>
        <row r="558">
          <cell r="AM558">
            <v>1713</v>
          </cell>
          <cell r="AN558" t="str">
            <v>HUJRA SHAH MUQEEM</v>
          </cell>
          <cell r="AO558" t="str">
            <v>Okara Area</v>
          </cell>
          <cell r="AP558" t="str">
            <v>SAHIWAL</v>
          </cell>
        </row>
        <row r="559">
          <cell r="AM559">
            <v>1829</v>
          </cell>
          <cell r="AN559" t="str">
            <v>CHAK NO.1/10-L,HARRA</v>
          </cell>
          <cell r="AO559" t="str">
            <v>Sahiwal Rural Area</v>
          </cell>
          <cell r="AP559" t="str">
            <v>SAHIWAL</v>
          </cell>
        </row>
        <row r="560">
          <cell r="AM560">
            <v>1830</v>
          </cell>
          <cell r="AN560" t="str">
            <v>CHOWK DEPALPUR, OKARA</v>
          </cell>
          <cell r="AO560" t="str">
            <v>Okara Area</v>
          </cell>
          <cell r="AP560" t="str">
            <v>SAHIWAL</v>
          </cell>
        </row>
        <row r="561">
          <cell r="AM561">
            <v>1841</v>
          </cell>
          <cell r="AN561" t="str">
            <v>PAK PATTAN CHOWK, SAHIWAL</v>
          </cell>
          <cell r="AO561" t="str">
            <v>Shaiwal Commercial Area</v>
          </cell>
          <cell r="AP561" t="str">
            <v>SAHIWAL</v>
          </cell>
        </row>
        <row r="562">
          <cell r="AM562">
            <v>1861</v>
          </cell>
          <cell r="AN562" t="str">
            <v>SATGHRA MORE NO33/2R</v>
          </cell>
          <cell r="AO562" t="str">
            <v>Okara Area</v>
          </cell>
          <cell r="AP562" t="str">
            <v>SAHIWAL</v>
          </cell>
        </row>
        <row r="563">
          <cell r="AM563">
            <v>1962</v>
          </cell>
          <cell r="AN563" t="str">
            <v>CHAK NO.83/D, ITTEFA</v>
          </cell>
          <cell r="AO563" t="str">
            <v>Pakpattan Area</v>
          </cell>
          <cell r="AP563" t="str">
            <v>SAHIWAL</v>
          </cell>
        </row>
        <row r="564">
          <cell r="AM564">
            <v>2245</v>
          </cell>
          <cell r="AN564" t="str">
            <v>CHAK NO.118/12-L, AD</v>
          </cell>
          <cell r="AO564" t="str">
            <v>Chichawatni Mianchannu Area</v>
          </cell>
          <cell r="AP564" t="str">
            <v>SAHIWAL</v>
          </cell>
        </row>
        <row r="565">
          <cell r="AM565">
            <v>2259</v>
          </cell>
          <cell r="AN565" t="str">
            <v>MANGA MANDI</v>
          </cell>
          <cell r="AO565" t="str">
            <v>Pattoki Area</v>
          </cell>
          <cell r="AP565" t="str">
            <v>SAHIWAL</v>
          </cell>
        </row>
        <row r="566">
          <cell r="AM566">
            <v>2285</v>
          </cell>
          <cell r="AN566" t="str">
            <v>GENERAL BUS STAND BR</v>
          </cell>
          <cell r="AO566" t="str">
            <v>Pakpattan Area</v>
          </cell>
          <cell r="AP566" t="str">
            <v>SAHIWAL</v>
          </cell>
        </row>
        <row r="567">
          <cell r="AM567">
            <v>2360</v>
          </cell>
          <cell r="AN567" t="str">
            <v>COMSAT BRANCH SAHIWA</v>
          </cell>
          <cell r="AO567" t="str">
            <v>Shaiwal Commercial Area</v>
          </cell>
          <cell r="AP567" t="str">
            <v>SAHIWAL</v>
          </cell>
        </row>
        <row r="568">
          <cell r="AM568">
            <v>2382</v>
          </cell>
          <cell r="AN568" t="str">
            <v>ADDA GHAZIABAD BRANCH</v>
          </cell>
          <cell r="AO568" t="str">
            <v>Chichawatni Mianchannu Area</v>
          </cell>
          <cell r="AP568" t="str">
            <v>SAHIWAL</v>
          </cell>
        </row>
        <row r="569">
          <cell r="AM569">
            <v>2397</v>
          </cell>
          <cell r="AN569" t="str">
            <v>TUFAIL SHAHEED ROAD</v>
          </cell>
          <cell r="AO569" t="str">
            <v>Shaiwal Commercial Area</v>
          </cell>
          <cell r="AP569" t="str">
            <v>SAHIWAL</v>
          </cell>
        </row>
        <row r="570">
          <cell r="AM570">
            <v>2411</v>
          </cell>
          <cell r="AN570" t="str">
            <v>MOUZA SHER GARH BRAN</v>
          </cell>
          <cell r="AO570" t="str">
            <v>Okara Area</v>
          </cell>
          <cell r="AP570" t="str">
            <v>SAHIWAL</v>
          </cell>
        </row>
        <row r="571">
          <cell r="AM571">
            <v>108</v>
          </cell>
          <cell r="AN571" t="str">
            <v>GOJRA-NEW RAILWAY RO</v>
          </cell>
          <cell r="AO571" t="str">
            <v>Toba Tek Singh</v>
          </cell>
          <cell r="AP571" t="str">
            <v>FAISALABAD</v>
          </cell>
        </row>
        <row r="572">
          <cell r="AM572">
            <v>117</v>
          </cell>
          <cell r="AN572" t="str">
            <v>KAMALIA-CITY, RAILWA</v>
          </cell>
          <cell r="AO572" t="str">
            <v>Pir mahal</v>
          </cell>
          <cell r="AP572" t="str">
            <v>FAISALABAD</v>
          </cell>
        </row>
        <row r="573">
          <cell r="AM573">
            <v>142</v>
          </cell>
          <cell r="AN573" t="str">
            <v>AGRI. UNIV. FAISALABAD</v>
          </cell>
          <cell r="AO573" t="str">
            <v>PMC</v>
          </cell>
          <cell r="AP573" t="str">
            <v>FAISALABAD</v>
          </cell>
        </row>
        <row r="574">
          <cell r="AM574">
            <v>161</v>
          </cell>
          <cell r="AN574" t="str">
            <v>GRAIN MARKET, SAMUNDRI</v>
          </cell>
          <cell r="AO574" t="str">
            <v>Samundri</v>
          </cell>
          <cell r="AP574" t="str">
            <v>FAISALABAD</v>
          </cell>
        </row>
        <row r="575">
          <cell r="AM575">
            <v>169</v>
          </cell>
          <cell r="AN575" t="str">
            <v>TOBA TEK SINGH-MAIN BAZAR</v>
          </cell>
          <cell r="AO575" t="str">
            <v>Toba Tek Singh</v>
          </cell>
          <cell r="AP575" t="str">
            <v>FAISALABAD</v>
          </cell>
        </row>
        <row r="576">
          <cell r="AM576">
            <v>173</v>
          </cell>
          <cell r="AN576" t="str">
            <v>CHINIOT-MAIN BAZAR</v>
          </cell>
          <cell r="AO576" t="str">
            <v>PMC</v>
          </cell>
          <cell r="AP576" t="str">
            <v>FAISALABAD</v>
          </cell>
        </row>
        <row r="577">
          <cell r="AM577">
            <v>174</v>
          </cell>
          <cell r="AN577" t="str">
            <v>PIR MAHAL</v>
          </cell>
          <cell r="AO577" t="str">
            <v>Pir mahal</v>
          </cell>
          <cell r="AP577" t="str">
            <v>FAISALABAD</v>
          </cell>
        </row>
        <row r="578">
          <cell r="AM578">
            <v>175</v>
          </cell>
          <cell r="AN578" t="str">
            <v>JHANG BAZAR, FAISALABAD</v>
          </cell>
          <cell r="AO578" t="str">
            <v>Gole Cloth Market</v>
          </cell>
          <cell r="AP578" t="str">
            <v>FAISALABAD</v>
          </cell>
        </row>
        <row r="579">
          <cell r="AM579">
            <v>176</v>
          </cell>
          <cell r="AN579" t="str">
            <v>SATYANA RD, FAISALABAD</v>
          </cell>
          <cell r="AO579" t="str">
            <v>Samanabad</v>
          </cell>
          <cell r="AP579" t="str">
            <v>FAISALABAD</v>
          </cell>
        </row>
        <row r="580">
          <cell r="AM580">
            <v>209</v>
          </cell>
          <cell r="AN580" t="str">
            <v>GOLE CLOTH MARKET, FAISALABAD</v>
          </cell>
          <cell r="AO580" t="str">
            <v>Gole Cloth Market</v>
          </cell>
          <cell r="AP580" t="str">
            <v>FAISALABAD</v>
          </cell>
        </row>
        <row r="581">
          <cell r="AM581">
            <v>210</v>
          </cell>
          <cell r="AN581" t="str">
            <v>MAIN BRANCH, JARANWALA</v>
          </cell>
          <cell r="AO581" t="str">
            <v>Jaranwala</v>
          </cell>
          <cell r="AP581" t="str">
            <v>FAISALABAD</v>
          </cell>
        </row>
        <row r="582">
          <cell r="AM582">
            <v>261</v>
          </cell>
          <cell r="AN582" t="str">
            <v>TANDLIANWALA</v>
          </cell>
          <cell r="AO582" t="str">
            <v>Samundri</v>
          </cell>
          <cell r="AP582" t="str">
            <v>FAISALABAD</v>
          </cell>
        </row>
        <row r="583">
          <cell r="AM583">
            <v>295</v>
          </cell>
          <cell r="AN583" t="str">
            <v>FAISALABAD-NOORPUR (</v>
          </cell>
          <cell r="AO583" t="str">
            <v>PMC</v>
          </cell>
          <cell r="AP583" t="str">
            <v>FAISALABAD</v>
          </cell>
        </row>
        <row r="584">
          <cell r="AM584">
            <v>393</v>
          </cell>
          <cell r="AN584" t="str">
            <v>MANAWALA</v>
          </cell>
          <cell r="AO584" t="str">
            <v>Jaranwala</v>
          </cell>
          <cell r="AP584" t="str">
            <v>FAISALABAD</v>
          </cell>
        </row>
        <row r="585">
          <cell r="AM585">
            <v>414</v>
          </cell>
          <cell r="AN585" t="str">
            <v>GHULAM MUHAMMADABAD,</v>
          </cell>
          <cell r="AO585" t="str">
            <v>Gole Cloth Market</v>
          </cell>
          <cell r="AP585" t="str">
            <v>FAISALABAD</v>
          </cell>
        </row>
        <row r="586">
          <cell r="AM586">
            <v>439</v>
          </cell>
          <cell r="AN586" t="str">
            <v>MAMOON KANJAN</v>
          </cell>
          <cell r="AO586" t="str">
            <v>Samundri</v>
          </cell>
          <cell r="AP586" t="str">
            <v>FAISALABAD</v>
          </cell>
        </row>
        <row r="587">
          <cell r="AM587">
            <v>449</v>
          </cell>
          <cell r="AN587" t="str">
            <v>Sitara Tower Branch</v>
          </cell>
          <cell r="AO587" t="str">
            <v>Abdullahpur</v>
          </cell>
          <cell r="AP587" t="str">
            <v>FAISALABAD</v>
          </cell>
        </row>
        <row r="588">
          <cell r="AM588">
            <v>450</v>
          </cell>
          <cell r="AN588" t="str">
            <v>BHAWANA BAZAR, FAISALABAD</v>
          </cell>
          <cell r="AO588" t="str">
            <v>Gole Cloth Market</v>
          </cell>
          <cell r="AP588" t="str">
            <v>FAISALABAD</v>
          </cell>
        </row>
        <row r="589">
          <cell r="AM589">
            <v>461</v>
          </cell>
          <cell r="AN589" t="str">
            <v>SANGLA HILL</v>
          </cell>
          <cell r="AO589" t="str">
            <v>Abdullahpur</v>
          </cell>
          <cell r="AP589" t="str">
            <v>FAISALABAD</v>
          </cell>
        </row>
        <row r="590">
          <cell r="AM590">
            <v>473</v>
          </cell>
          <cell r="AN590" t="str">
            <v>WAPDA STEAM P-ST, CHK MWA, FAISALAB</v>
          </cell>
          <cell r="AO590" t="str">
            <v>Madina Town</v>
          </cell>
          <cell r="AP590" t="str">
            <v>FAISALABAD</v>
          </cell>
        </row>
        <row r="591">
          <cell r="AM591">
            <v>478</v>
          </cell>
          <cell r="AN591" t="str">
            <v>YARN MARKET, FAISALABAD</v>
          </cell>
          <cell r="AO591" t="str">
            <v>Gole Cloth Market</v>
          </cell>
          <cell r="AP591" t="str">
            <v>FAISALABAD</v>
          </cell>
        </row>
        <row r="592">
          <cell r="AM592">
            <v>499</v>
          </cell>
          <cell r="AN592" t="str">
            <v>ADDA MURIDWALA</v>
          </cell>
          <cell r="AO592" t="str">
            <v>Pir mahal</v>
          </cell>
          <cell r="AP592" t="str">
            <v>FAISALABAD</v>
          </cell>
        </row>
        <row r="593">
          <cell r="AM593">
            <v>506</v>
          </cell>
          <cell r="AN593" t="str">
            <v>GULFISHAN COL. (RISALEWALA) BR, FAI</v>
          </cell>
          <cell r="AO593" t="str">
            <v>Samanabad</v>
          </cell>
          <cell r="AP593" t="str">
            <v>FAISALABAD</v>
          </cell>
        </row>
        <row r="594">
          <cell r="AM594">
            <v>508</v>
          </cell>
          <cell r="AN594" t="str">
            <v>DIJKOT</v>
          </cell>
          <cell r="AO594" t="str">
            <v>Samundri</v>
          </cell>
          <cell r="AP594" t="str">
            <v>FAISALABAD</v>
          </cell>
        </row>
        <row r="595">
          <cell r="AM595">
            <v>524</v>
          </cell>
          <cell r="AN595" t="str">
            <v>JANIWALA</v>
          </cell>
          <cell r="AO595" t="str">
            <v>Toba Tek Singh</v>
          </cell>
          <cell r="AP595" t="str">
            <v>FAISALABAD</v>
          </cell>
        </row>
        <row r="596">
          <cell r="AM596">
            <v>546</v>
          </cell>
          <cell r="AN596" t="str">
            <v>MORE KHUNDA</v>
          </cell>
          <cell r="AO596" t="str">
            <v>Jaranwala</v>
          </cell>
          <cell r="AP596" t="str">
            <v>FAISALABAD</v>
          </cell>
        </row>
        <row r="597">
          <cell r="AM597">
            <v>611</v>
          </cell>
          <cell r="AN597" t="str">
            <v>LAYALLPUR REGENCY</v>
          </cell>
          <cell r="AO597" t="str">
            <v>Madina Town</v>
          </cell>
          <cell r="AP597" t="str">
            <v>FAISALABAD</v>
          </cell>
        </row>
        <row r="598">
          <cell r="AM598">
            <v>666</v>
          </cell>
          <cell r="AN598" t="str">
            <v>CHAK NO.45/GB, TARAN</v>
          </cell>
          <cell r="AO598" t="str">
            <v>Samundri</v>
          </cell>
          <cell r="AP598" t="str">
            <v>FAISALABAD</v>
          </cell>
        </row>
        <row r="599">
          <cell r="AM599">
            <v>667</v>
          </cell>
          <cell r="AN599" t="str">
            <v>CHAK NO.482/GB, JAGR</v>
          </cell>
          <cell r="AO599" t="str">
            <v>Samundri</v>
          </cell>
          <cell r="AP599" t="str">
            <v>FAISALABAD</v>
          </cell>
        </row>
        <row r="600">
          <cell r="AM600">
            <v>668</v>
          </cell>
          <cell r="AN600" t="str">
            <v>PHALORE</v>
          </cell>
          <cell r="AO600" t="str">
            <v>Pir mahal</v>
          </cell>
          <cell r="AP600" t="str">
            <v>FAISALABAD</v>
          </cell>
        </row>
        <row r="601">
          <cell r="AM601">
            <v>672</v>
          </cell>
          <cell r="AN601" t="str">
            <v>CHAK JHUMRA</v>
          </cell>
          <cell r="AO601" t="str">
            <v>Abdullahpur</v>
          </cell>
          <cell r="AP601" t="str">
            <v>FAISALABAD</v>
          </cell>
        </row>
        <row r="602">
          <cell r="AM602">
            <v>673</v>
          </cell>
          <cell r="AN602" t="str">
            <v>RAJOA</v>
          </cell>
          <cell r="AO602" t="str">
            <v>PMC</v>
          </cell>
          <cell r="AP602" t="str">
            <v>FAISALABAD</v>
          </cell>
        </row>
        <row r="603">
          <cell r="AM603">
            <v>675</v>
          </cell>
          <cell r="AN603" t="str">
            <v>SAMANABAD, FAISALABAD</v>
          </cell>
          <cell r="AO603" t="str">
            <v>Samanabad</v>
          </cell>
          <cell r="AP603" t="str">
            <v>FAISALABAD</v>
          </cell>
        </row>
        <row r="604">
          <cell r="AM604">
            <v>680</v>
          </cell>
          <cell r="AN604" t="str">
            <v>BARNALA</v>
          </cell>
          <cell r="AO604" t="str">
            <v>PMC</v>
          </cell>
          <cell r="AP604" t="str">
            <v>FAISALABAD</v>
          </cell>
        </row>
        <row r="605">
          <cell r="AM605">
            <v>688</v>
          </cell>
          <cell r="AN605" t="str">
            <v>CHAK NO.476/GB, KOTA</v>
          </cell>
          <cell r="AO605" t="str">
            <v>Samundri</v>
          </cell>
          <cell r="AP605" t="str">
            <v>FAISALABAD</v>
          </cell>
        </row>
        <row r="606">
          <cell r="AM606">
            <v>690</v>
          </cell>
          <cell r="AN606" t="str">
            <v>SETHWALA</v>
          </cell>
          <cell r="AO606" t="str">
            <v>Pir mahal</v>
          </cell>
          <cell r="AP606" t="str">
            <v>FAISALABAD</v>
          </cell>
        </row>
        <row r="607">
          <cell r="AM607">
            <v>693</v>
          </cell>
          <cell r="AN607" t="str">
            <v>SINDHILIANWALI</v>
          </cell>
          <cell r="AO607" t="str">
            <v>Pir mahal</v>
          </cell>
          <cell r="AP607" t="str">
            <v>FAISALABAD</v>
          </cell>
        </row>
        <row r="608">
          <cell r="AM608">
            <v>694</v>
          </cell>
          <cell r="AN608" t="str">
            <v>ALI TOWN, FAISALABAD</v>
          </cell>
          <cell r="AO608" t="str">
            <v>PMC</v>
          </cell>
          <cell r="AP608" t="str">
            <v>FAISALABAD</v>
          </cell>
        </row>
        <row r="609">
          <cell r="AM609">
            <v>805</v>
          </cell>
          <cell r="AN609" t="str">
            <v>PAKKA ANNA, T.T. SIN</v>
          </cell>
          <cell r="AO609" t="str">
            <v>Toba Tek Singh</v>
          </cell>
          <cell r="AP609" t="str">
            <v>FAISALABAD</v>
          </cell>
        </row>
        <row r="610">
          <cell r="AM610">
            <v>819</v>
          </cell>
          <cell r="AN610" t="str">
            <v>RURALA ROAD</v>
          </cell>
          <cell r="AO610" t="str">
            <v>Jaranwala</v>
          </cell>
          <cell r="AP610" t="str">
            <v>FAISALABAD</v>
          </cell>
        </row>
        <row r="611">
          <cell r="AM611">
            <v>822</v>
          </cell>
          <cell r="AN611" t="str">
            <v>MARH BALOCHAN-MAIN B</v>
          </cell>
          <cell r="AO611" t="str">
            <v>Abdullahpur</v>
          </cell>
          <cell r="AP611" t="str">
            <v>FAISALABAD</v>
          </cell>
        </row>
        <row r="612">
          <cell r="AM612">
            <v>832</v>
          </cell>
          <cell r="AN612" t="str">
            <v>OPP. NATIONAL SILK MILL, FAISALABAD</v>
          </cell>
          <cell r="AO612" t="str">
            <v>Madina Town</v>
          </cell>
          <cell r="AP612" t="str">
            <v>FAISALABAD</v>
          </cell>
        </row>
        <row r="613">
          <cell r="AM613">
            <v>834</v>
          </cell>
          <cell r="AN613" t="str">
            <v>JHOKE DITTA</v>
          </cell>
          <cell r="AO613" t="str">
            <v>Jaranwala</v>
          </cell>
          <cell r="AP613" t="str">
            <v>FAISALABAD</v>
          </cell>
        </row>
        <row r="614">
          <cell r="AM614">
            <v>841</v>
          </cell>
          <cell r="AN614" t="str">
            <v>CHAK NO.331/GB, SALI</v>
          </cell>
          <cell r="AO614" t="str">
            <v>Pir mahal</v>
          </cell>
          <cell r="AP614" t="str">
            <v>FAISALABAD</v>
          </cell>
        </row>
        <row r="615">
          <cell r="AM615">
            <v>863</v>
          </cell>
          <cell r="AN615" t="str">
            <v>GRAIN MARKET</v>
          </cell>
          <cell r="AO615" t="str">
            <v>Toba Tek Singh</v>
          </cell>
          <cell r="AP615" t="str">
            <v>FAISALABAD</v>
          </cell>
        </row>
        <row r="616">
          <cell r="AM616">
            <v>865</v>
          </cell>
          <cell r="AN616" t="str">
            <v>CHAK NO.67/JB, SADHA</v>
          </cell>
          <cell r="AO616" t="str">
            <v>Samanabad</v>
          </cell>
          <cell r="AP616" t="str">
            <v>FAISALABAD</v>
          </cell>
        </row>
        <row r="617">
          <cell r="AM617">
            <v>869</v>
          </cell>
          <cell r="AN617" t="str">
            <v>CHAK NO.202/RB, GATT</v>
          </cell>
          <cell r="AO617" t="str">
            <v>Abdullahpur</v>
          </cell>
          <cell r="AP617" t="str">
            <v>FAISALABAD</v>
          </cell>
        </row>
        <row r="618">
          <cell r="AM618">
            <v>897</v>
          </cell>
          <cell r="AN618" t="str">
            <v>JARANWALA BZ SHAHKOT</v>
          </cell>
          <cell r="AO618" t="str">
            <v>Jaranwala</v>
          </cell>
          <cell r="AP618" t="str">
            <v>FAISALABAD</v>
          </cell>
        </row>
        <row r="619">
          <cell r="AM619">
            <v>903</v>
          </cell>
          <cell r="AN619" t="str">
            <v>NARWALA ROAD, FAISALABAD</v>
          </cell>
          <cell r="AO619" t="str">
            <v>Gole Cloth Market</v>
          </cell>
          <cell r="AP619" t="str">
            <v>FAISALABAD</v>
          </cell>
        </row>
        <row r="620">
          <cell r="AM620">
            <v>907</v>
          </cell>
          <cell r="AN620" t="str">
            <v>AMINPUR BANGLA, FAIS</v>
          </cell>
          <cell r="AO620" t="str">
            <v>Gole Cloth Market</v>
          </cell>
          <cell r="AP620" t="str">
            <v>FAISALABAD</v>
          </cell>
        </row>
        <row r="621">
          <cell r="AM621">
            <v>915</v>
          </cell>
          <cell r="AN621" t="str">
            <v>CHAK NO.14/JB, MURADWALA</v>
          </cell>
          <cell r="AO621" t="str">
            <v>PMC</v>
          </cell>
          <cell r="AP621" t="str">
            <v>FAISALABAD</v>
          </cell>
        </row>
        <row r="622">
          <cell r="AM622">
            <v>921</v>
          </cell>
          <cell r="AN622" t="str">
            <v>GARH</v>
          </cell>
          <cell r="AO622" t="str">
            <v>Samundri</v>
          </cell>
          <cell r="AP622" t="str">
            <v>FAISALABAD</v>
          </cell>
        </row>
        <row r="623">
          <cell r="AM623">
            <v>941</v>
          </cell>
          <cell r="AN623" t="str">
            <v>NEW ABADI SINDHUAN, FAISALABAD</v>
          </cell>
          <cell r="AO623" t="str">
            <v>Samanabad</v>
          </cell>
          <cell r="AP623" t="str">
            <v>FAISALABAD</v>
          </cell>
        </row>
        <row r="624">
          <cell r="AM624">
            <v>950</v>
          </cell>
          <cell r="AN624" t="str">
            <v>MUHAMMADABAD, FAISALABAD</v>
          </cell>
          <cell r="AO624" t="str">
            <v>Madina Town</v>
          </cell>
          <cell r="AP624" t="str">
            <v>FAISALABAD</v>
          </cell>
        </row>
        <row r="625">
          <cell r="AM625">
            <v>962</v>
          </cell>
          <cell r="AN625" t="str">
            <v>GOJRA-QUAID-E-AZAM R</v>
          </cell>
          <cell r="AO625" t="str">
            <v>Toba Tek Singh</v>
          </cell>
          <cell r="AP625" t="str">
            <v>FAISALABAD</v>
          </cell>
        </row>
        <row r="626">
          <cell r="AM626">
            <v>996</v>
          </cell>
          <cell r="AN626" t="str">
            <v>CHAK NO.79/JB</v>
          </cell>
          <cell r="AO626" t="str">
            <v>Samanabad</v>
          </cell>
          <cell r="AP626" t="str">
            <v>FAISALABAD</v>
          </cell>
        </row>
        <row r="627">
          <cell r="AM627">
            <v>1003</v>
          </cell>
          <cell r="AN627" t="str">
            <v>FAISALABAD-SABZI MAN</v>
          </cell>
          <cell r="AO627" t="str">
            <v>PMC</v>
          </cell>
          <cell r="AP627" t="str">
            <v>FAISALABAD</v>
          </cell>
        </row>
        <row r="628">
          <cell r="AM628">
            <v>1004</v>
          </cell>
          <cell r="AN628" t="str">
            <v>CHAUDHRY SUGAR MILL</v>
          </cell>
          <cell r="AO628" t="str">
            <v>Toba Tek Singh</v>
          </cell>
          <cell r="AP628" t="str">
            <v>FAISALABAD</v>
          </cell>
        </row>
        <row r="629">
          <cell r="AM629">
            <v>1021</v>
          </cell>
          <cell r="AN629" t="str">
            <v>GULBERG COLONY BR</v>
          </cell>
          <cell r="AO629" t="str">
            <v>Gole Cloth Market</v>
          </cell>
          <cell r="AP629" t="str">
            <v>FAISALABAD</v>
          </cell>
        </row>
        <row r="630">
          <cell r="AM630">
            <v>1072</v>
          </cell>
          <cell r="AN630" t="str">
            <v>DIJKOT ROAD, FAISALABAD</v>
          </cell>
          <cell r="AO630" t="str">
            <v>Samanabad</v>
          </cell>
          <cell r="AP630" t="str">
            <v>FAISALABAD</v>
          </cell>
        </row>
        <row r="631">
          <cell r="AM631">
            <v>1079</v>
          </cell>
          <cell r="AN631" t="str">
            <v>THIKRIWALA CHAK NO.7</v>
          </cell>
          <cell r="AO631" t="str">
            <v>Samanabad</v>
          </cell>
          <cell r="AP631" t="str">
            <v>FAISALABAD</v>
          </cell>
        </row>
        <row r="632">
          <cell r="AM632">
            <v>1158</v>
          </cell>
          <cell r="AN632" t="str">
            <v>WATER WORKS ROAD BR</v>
          </cell>
          <cell r="AO632" t="str">
            <v>Jaranwala</v>
          </cell>
          <cell r="AP632" t="str">
            <v>FAISALABAD</v>
          </cell>
        </row>
        <row r="633">
          <cell r="AM633">
            <v>1197</v>
          </cell>
          <cell r="AN633" t="str">
            <v>BUCHEKI</v>
          </cell>
          <cell r="AO633" t="str">
            <v>Jaranwala</v>
          </cell>
          <cell r="AP633" t="str">
            <v>FAISALABAD</v>
          </cell>
        </row>
        <row r="634">
          <cell r="AM634">
            <v>1233</v>
          </cell>
          <cell r="AN634" t="str">
            <v>NANKANA SAHIB</v>
          </cell>
          <cell r="AO634" t="str">
            <v>Jaranwala</v>
          </cell>
          <cell r="AP634" t="str">
            <v>FAISALABAD</v>
          </cell>
        </row>
        <row r="635">
          <cell r="AM635">
            <v>1243</v>
          </cell>
          <cell r="AN635" t="str">
            <v>CHAK NO.680/21 GB, A</v>
          </cell>
          <cell r="AO635" t="str">
            <v>Pir mahal</v>
          </cell>
          <cell r="AP635" t="str">
            <v>FAISALABAD</v>
          </cell>
        </row>
        <row r="636">
          <cell r="AM636">
            <v>1332</v>
          </cell>
          <cell r="AN636" t="str">
            <v>NAWAN LAHORE, CHAK N</v>
          </cell>
          <cell r="AO636" t="str">
            <v>Samanabad</v>
          </cell>
          <cell r="AP636" t="str">
            <v>FAISALABAD</v>
          </cell>
        </row>
        <row r="637">
          <cell r="AM637">
            <v>1336</v>
          </cell>
          <cell r="AN637" t="str">
            <v>ABDULLAH PUR, FAISALABAD</v>
          </cell>
          <cell r="AO637" t="str">
            <v>Abdullahpur</v>
          </cell>
          <cell r="AP637" t="str">
            <v>FAISALABAD</v>
          </cell>
        </row>
        <row r="638">
          <cell r="AM638">
            <v>1369</v>
          </cell>
          <cell r="AN638" t="str">
            <v>Panwan Branch, Tehsi</v>
          </cell>
          <cell r="AO638" t="str">
            <v>Jaranwala</v>
          </cell>
          <cell r="AP638" t="str">
            <v>FAISALABAD</v>
          </cell>
        </row>
        <row r="639">
          <cell r="AM639">
            <v>1392</v>
          </cell>
          <cell r="AN639" t="str">
            <v>DHANOLA, CHAK NO.117</v>
          </cell>
          <cell r="AO639" t="str">
            <v>PMC</v>
          </cell>
          <cell r="AP639" t="str">
            <v>FAISALABAD</v>
          </cell>
        </row>
        <row r="640">
          <cell r="AM640">
            <v>1466</v>
          </cell>
          <cell r="AN640" t="str">
            <v>PUNJAB MEDICAL COLLEGE, FAISALABAD</v>
          </cell>
          <cell r="AO640" t="str">
            <v>PMC</v>
          </cell>
          <cell r="AP640" t="str">
            <v>FAISALABAD</v>
          </cell>
        </row>
        <row r="641">
          <cell r="AM641">
            <v>1508</v>
          </cell>
          <cell r="AN641" t="str">
            <v>CHAK NO.247/RB, MIAN</v>
          </cell>
          <cell r="AO641" t="str">
            <v>Samanabad</v>
          </cell>
          <cell r="AP641" t="str">
            <v>FAISALABAD</v>
          </cell>
        </row>
        <row r="642">
          <cell r="AM642">
            <v>1521</v>
          </cell>
          <cell r="AN642" t="str">
            <v>CHAK NO.188/RB, NALE</v>
          </cell>
          <cell r="AO642" t="str">
            <v>Abdullahpur</v>
          </cell>
          <cell r="AP642" t="str">
            <v>FAISALABAD</v>
          </cell>
        </row>
        <row r="643">
          <cell r="AM643">
            <v>1545</v>
          </cell>
          <cell r="AN643" t="str">
            <v>CHAK NO.157/GB, ADDA</v>
          </cell>
          <cell r="AO643" t="str">
            <v>Toba Tek Singh</v>
          </cell>
          <cell r="AP643" t="str">
            <v>FAISALABAD</v>
          </cell>
        </row>
        <row r="644">
          <cell r="AM644">
            <v>1550</v>
          </cell>
          <cell r="AN644" t="str">
            <v>CHAK NO.321/JB, SEOW</v>
          </cell>
          <cell r="AO644" t="str">
            <v>Toba Tek Singh</v>
          </cell>
          <cell r="AP644" t="str">
            <v>FAISALABAD</v>
          </cell>
        </row>
        <row r="645">
          <cell r="AM645">
            <v>1565</v>
          </cell>
          <cell r="AN645" t="str">
            <v>SAMUNDRI-ANARKALI BA</v>
          </cell>
          <cell r="AO645" t="str">
            <v>Samundri</v>
          </cell>
          <cell r="AP645" t="str">
            <v>FAISALABAD</v>
          </cell>
        </row>
        <row r="646">
          <cell r="AM646">
            <v>1577</v>
          </cell>
          <cell r="AN646" t="str">
            <v>CHAK NO.378/GB, JARA</v>
          </cell>
          <cell r="AO646" t="str">
            <v>Jaranwala</v>
          </cell>
          <cell r="AP646" t="str">
            <v>FAISALABAD</v>
          </cell>
        </row>
        <row r="647">
          <cell r="AM647">
            <v>1608</v>
          </cell>
          <cell r="AN647" t="str">
            <v>CHAK NO.241/JB, MANG</v>
          </cell>
          <cell r="AO647" t="str">
            <v>Samanabad</v>
          </cell>
          <cell r="AP647" t="str">
            <v>FAISALABAD</v>
          </cell>
        </row>
        <row r="648">
          <cell r="AM648">
            <v>1613</v>
          </cell>
          <cell r="AN648" t="str">
            <v>FAISALABAD-HAJIABAD</v>
          </cell>
          <cell r="AO648" t="str">
            <v>Madina Town</v>
          </cell>
          <cell r="AP648" t="str">
            <v>FAISALABAD</v>
          </cell>
        </row>
        <row r="649">
          <cell r="AM649">
            <v>1614</v>
          </cell>
          <cell r="AN649" t="str">
            <v>CHAK NO.275/RB, KART</v>
          </cell>
          <cell r="AO649" t="str">
            <v>Samundri</v>
          </cell>
          <cell r="AP649" t="str">
            <v>FAISALABAD</v>
          </cell>
        </row>
        <row r="650">
          <cell r="AM650">
            <v>1656</v>
          </cell>
          <cell r="AN650" t="str">
            <v>CHAK NO.49/JB, PIND</v>
          </cell>
          <cell r="AO650" t="str">
            <v>PMC</v>
          </cell>
          <cell r="AP650" t="str">
            <v>FAISALABAD</v>
          </cell>
        </row>
        <row r="651">
          <cell r="AM651">
            <v>1657</v>
          </cell>
          <cell r="AN651" t="str">
            <v>RAZA ABAD, FAISALABAD</v>
          </cell>
          <cell r="AO651" t="str">
            <v>Gole Cloth Market</v>
          </cell>
          <cell r="AP651" t="str">
            <v>FAISALABAD</v>
          </cell>
        </row>
        <row r="652">
          <cell r="AM652">
            <v>1673</v>
          </cell>
          <cell r="AN652" t="str">
            <v>FAWARA CHOWK, FAISALABAD</v>
          </cell>
          <cell r="AO652" t="str">
            <v>Madina Town</v>
          </cell>
          <cell r="AP652" t="str">
            <v>FAISALABAD</v>
          </cell>
        </row>
        <row r="653">
          <cell r="AM653">
            <v>1680</v>
          </cell>
          <cell r="AN653" t="str">
            <v>PULL 93/GB</v>
          </cell>
          <cell r="AO653" t="str">
            <v>Jaranwala</v>
          </cell>
          <cell r="AP653" t="str">
            <v>FAISALABAD</v>
          </cell>
        </row>
        <row r="654">
          <cell r="AM654">
            <v>1681</v>
          </cell>
          <cell r="AN654" t="str">
            <v>KHURRIANWALA</v>
          </cell>
          <cell r="AO654" t="str">
            <v>Madina Town</v>
          </cell>
          <cell r="AP654" t="str">
            <v>FAISALABAD</v>
          </cell>
        </row>
        <row r="655">
          <cell r="AM655">
            <v>1748</v>
          </cell>
          <cell r="AN655" t="str">
            <v>MADINA TOWN, FAISALABAD</v>
          </cell>
          <cell r="AO655" t="str">
            <v>Madina Town</v>
          </cell>
          <cell r="AP655" t="str">
            <v>FAISALABAD</v>
          </cell>
        </row>
        <row r="656">
          <cell r="AM656">
            <v>1771</v>
          </cell>
          <cell r="AN656" t="str">
            <v>CHAK NO.439/GB, MAHL</v>
          </cell>
          <cell r="AO656" t="str">
            <v>Samundri</v>
          </cell>
          <cell r="AP656" t="str">
            <v>FAISALABAD</v>
          </cell>
        </row>
        <row r="657">
          <cell r="AM657">
            <v>1852</v>
          </cell>
          <cell r="AN657" t="str">
            <v>PTCL BUILDING BRANCH FAISALABAD</v>
          </cell>
          <cell r="AO657" t="str">
            <v>Gole Cloth Market</v>
          </cell>
          <cell r="AP657" t="str">
            <v>FAISALABAD</v>
          </cell>
        </row>
        <row r="658">
          <cell r="AM658">
            <v>1998</v>
          </cell>
          <cell r="AN658" t="str">
            <v>CHAK NO.306/GB</v>
          </cell>
          <cell r="AO658" t="str">
            <v>Pir mahal</v>
          </cell>
          <cell r="AP658" t="str">
            <v>FAISALABAD</v>
          </cell>
        </row>
        <row r="659">
          <cell r="AM659">
            <v>2207</v>
          </cell>
          <cell r="AN659" t="str">
            <v>CHAK NO.478/JB</v>
          </cell>
          <cell r="AO659" t="str">
            <v>Toba Tek Singh</v>
          </cell>
          <cell r="AP659" t="str">
            <v>FAISALABAD</v>
          </cell>
        </row>
        <row r="660">
          <cell r="AM660">
            <v>2220</v>
          </cell>
          <cell r="AN660" t="str">
            <v>FAISALABAD-AKBAR CHO</v>
          </cell>
          <cell r="AO660" t="str">
            <v>Abdullahpur</v>
          </cell>
          <cell r="AP660" t="str">
            <v>FAISALABAD</v>
          </cell>
        </row>
        <row r="661">
          <cell r="AM661">
            <v>2241</v>
          </cell>
          <cell r="AN661" t="str">
            <v>WEST CANAL ROAD, FAISALABAD</v>
          </cell>
          <cell r="AO661" t="str">
            <v>Abdullahpur</v>
          </cell>
          <cell r="AP661" t="str">
            <v>FAISALABAD</v>
          </cell>
        </row>
        <row r="662">
          <cell r="AM662">
            <v>2243</v>
          </cell>
          <cell r="AN662" t="str">
            <v>AL-HILAL CHOWK BR</v>
          </cell>
          <cell r="AO662" t="str">
            <v>Toba Tek Singh</v>
          </cell>
          <cell r="AP662" t="str">
            <v>FAISALABAD</v>
          </cell>
        </row>
        <row r="663">
          <cell r="AM663">
            <v>2258</v>
          </cell>
          <cell r="AN663" t="str">
            <v>KAMALIA-RAJANA ROAD</v>
          </cell>
          <cell r="AO663" t="str">
            <v>Pir mahal</v>
          </cell>
          <cell r="AP663" t="str">
            <v>FAISALABAD</v>
          </cell>
        </row>
        <row r="664">
          <cell r="AM664">
            <v>2353</v>
          </cell>
          <cell r="AN664" t="str">
            <v>LIAQAT TOWN BRANCH</v>
          </cell>
          <cell r="AO664" t="str">
            <v>Gole Cloth Market</v>
          </cell>
          <cell r="AP664" t="str">
            <v>FAISALABAD</v>
          </cell>
        </row>
        <row r="665">
          <cell r="AM665">
            <v>2410</v>
          </cell>
          <cell r="AN665" t="str">
            <v>FACTORY AREA BRANCH</v>
          </cell>
          <cell r="AO665" t="str">
            <v>Samanabad</v>
          </cell>
          <cell r="AP665" t="str">
            <v>FAISALABAD</v>
          </cell>
        </row>
        <row r="666">
          <cell r="AM666">
            <v>2428</v>
          </cell>
          <cell r="AN666" t="str">
            <v>DRAMAWALA MORE BRANC</v>
          </cell>
          <cell r="AO666" t="str">
            <v>Madina Town</v>
          </cell>
          <cell r="AP666" t="str">
            <v>FAISALABAD</v>
          </cell>
        </row>
        <row r="667">
          <cell r="AM667">
            <v>2429</v>
          </cell>
          <cell r="AN667" t="str">
            <v>SARGODHA ROAD BRANCH</v>
          </cell>
          <cell r="AO667" t="str">
            <v>PMC</v>
          </cell>
          <cell r="AP667" t="str">
            <v>FAISALABAD</v>
          </cell>
        </row>
        <row r="668">
          <cell r="AM668">
            <v>2436</v>
          </cell>
          <cell r="AN668" t="str">
            <v>Adda Pansara Branch</v>
          </cell>
          <cell r="AO668" t="str">
            <v>Toba Tek Singh</v>
          </cell>
          <cell r="AP668" t="str">
            <v>FAISALABAD</v>
          </cell>
        </row>
        <row r="669">
          <cell r="AM669">
            <v>2468</v>
          </cell>
          <cell r="AN669" t="str">
            <v>Ismail Road Faisalab</v>
          </cell>
          <cell r="AO669" t="str">
            <v>PMC</v>
          </cell>
          <cell r="AP669" t="str">
            <v>FAISALABAD</v>
          </cell>
        </row>
        <row r="670">
          <cell r="AM670">
            <v>121</v>
          </cell>
          <cell r="AN670" t="str">
            <v>ANARKALI, LAHORE</v>
          </cell>
          <cell r="AO670" t="str">
            <v>SAM MALL</v>
          </cell>
          <cell r="AP670" t="str">
            <v>LAHORE</v>
          </cell>
        </row>
        <row r="671">
          <cell r="AM671">
            <v>123</v>
          </cell>
          <cell r="AN671" t="str">
            <v>B.I.S.E.LAHORE</v>
          </cell>
          <cell r="AO671" t="str">
            <v>SAM MALL</v>
          </cell>
          <cell r="AP671" t="str">
            <v>LAHORE</v>
          </cell>
        </row>
        <row r="672">
          <cell r="AM672">
            <v>124</v>
          </cell>
          <cell r="AN672" t="str">
            <v>BRANDRETH RD, LAHORE</v>
          </cell>
          <cell r="AO672" t="str">
            <v>CIRCULAR ROAD</v>
          </cell>
          <cell r="AP672" t="str">
            <v>LAHORE</v>
          </cell>
        </row>
        <row r="673">
          <cell r="AM673">
            <v>125</v>
          </cell>
          <cell r="AN673" t="str">
            <v>CANTONMENT, LAHORE</v>
          </cell>
          <cell r="AO673" t="str">
            <v>CANTONMENT</v>
          </cell>
          <cell r="AP673" t="str">
            <v>LAHORE</v>
          </cell>
        </row>
        <row r="674">
          <cell r="AM674">
            <v>126</v>
          </cell>
          <cell r="AN674" t="str">
            <v>CIRCULAR RD, LAHORE</v>
          </cell>
          <cell r="AO674" t="str">
            <v>CIRCULAR ROAD</v>
          </cell>
          <cell r="AP674" t="str">
            <v>LAHORE</v>
          </cell>
        </row>
        <row r="675">
          <cell r="AM675">
            <v>127</v>
          </cell>
          <cell r="AN675" t="str">
            <v>CIVIL LINES, LAHORE</v>
          </cell>
          <cell r="AO675" t="str">
            <v>LAKE ROAD</v>
          </cell>
          <cell r="AP675" t="str">
            <v>LAHORE</v>
          </cell>
        </row>
        <row r="676">
          <cell r="AM676">
            <v>128</v>
          </cell>
          <cell r="AN676" t="str">
            <v>ENGINEERING UNI., LAHORE</v>
          </cell>
          <cell r="AO676" t="str">
            <v>SAM UNIVERSITY</v>
          </cell>
          <cell r="AP676" t="str">
            <v>LAHORE</v>
          </cell>
        </row>
        <row r="677">
          <cell r="AM677">
            <v>129</v>
          </cell>
          <cell r="AN677" t="str">
            <v>LAHORE-AZAM CLOTH MA</v>
          </cell>
          <cell r="AO677" t="str">
            <v>CIRCULAR ROAD</v>
          </cell>
          <cell r="AP677" t="str">
            <v>LAHORE</v>
          </cell>
        </row>
        <row r="678">
          <cell r="AM678">
            <v>130</v>
          </cell>
          <cell r="AN678" t="str">
            <v>LAHORE-JAIL ROAD</v>
          </cell>
          <cell r="AO678" t="str">
            <v>SHADMAN</v>
          </cell>
          <cell r="AP678" t="str">
            <v>LAHORE</v>
          </cell>
        </row>
        <row r="679">
          <cell r="AM679">
            <v>133</v>
          </cell>
          <cell r="AN679" t="str">
            <v>PUNJAB UNI.,OLD CAMPUS, LAHORE</v>
          </cell>
          <cell r="AO679" t="str">
            <v>SAM UNIVERSITY</v>
          </cell>
          <cell r="AP679" t="str">
            <v>LAHORE</v>
          </cell>
        </row>
        <row r="680">
          <cell r="AM680">
            <v>134</v>
          </cell>
          <cell r="AN680" t="str">
            <v>SHAH ALAM MARKET, LAHORE</v>
          </cell>
          <cell r="AO680" t="str">
            <v>CIRCULAR ROAD</v>
          </cell>
          <cell r="AP680" t="str">
            <v>LAHORE</v>
          </cell>
        </row>
        <row r="681">
          <cell r="AM681">
            <v>135</v>
          </cell>
          <cell r="AN681" t="str">
            <v>BANK SQ., SHARAH-E- Q.A., LAHORE</v>
          </cell>
          <cell r="AO681" t="str">
            <v>SAM MALL</v>
          </cell>
          <cell r="AP681" t="str">
            <v>LAHORE</v>
          </cell>
        </row>
        <row r="682">
          <cell r="AM682">
            <v>136</v>
          </cell>
          <cell r="AN682" t="str">
            <v>URDU BAZAR, LAHORE</v>
          </cell>
          <cell r="AO682" t="str">
            <v>CIRCULAR ROAD</v>
          </cell>
          <cell r="AP682" t="str">
            <v>LAHORE</v>
          </cell>
        </row>
        <row r="683">
          <cell r="AM683">
            <v>137</v>
          </cell>
          <cell r="AN683" t="str">
            <v>DAVIS ROAD, LAHORE</v>
          </cell>
          <cell r="AO683" t="str">
            <v>SAM MALL</v>
          </cell>
          <cell r="AP683" t="str">
            <v>LAHORE</v>
          </cell>
        </row>
        <row r="684">
          <cell r="AM684">
            <v>138</v>
          </cell>
          <cell r="AN684" t="str">
            <v>LAKE ROAD, LAHORE</v>
          </cell>
          <cell r="AO684" t="str">
            <v>LAKE ROAD</v>
          </cell>
          <cell r="AP684" t="str">
            <v>LAHORE</v>
          </cell>
        </row>
        <row r="685">
          <cell r="AM685">
            <v>172</v>
          </cell>
          <cell r="AN685" t="str">
            <v>GULBERG MAIN MARKET, LAHORE</v>
          </cell>
          <cell r="AO685" t="str">
            <v>GULBERG</v>
          </cell>
          <cell r="AP685" t="str">
            <v>LAHORE</v>
          </cell>
        </row>
        <row r="686">
          <cell r="AM686">
            <v>182</v>
          </cell>
          <cell r="AN686" t="str">
            <v>PUNJAB UNI.,NEW CAMPUS, LAHORE</v>
          </cell>
          <cell r="AO686" t="str">
            <v>SAM UNIVERSITY</v>
          </cell>
          <cell r="AP686" t="str">
            <v>LAHORE</v>
          </cell>
        </row>
        <row r="687">
          <cell r="AM687">
            <v>192</v>
          </cell>
          <cell r="AN687" t="str">
            <v>BAGHBANPURA, LAHORE</v>
          </cell>
          <cell r="AO687" t="str">
            <v>SHADBAGH</v>
          </cell>
          <cell r="AP687" t="str">
            <v>LAHORE</v>
          </cell>
        </row>
        <row r="688">
          <cell r="AM688">
            <v>195</v>
          </cell>
          <cell r="AN688" t="str">
            <v>CAVALRY GROUND, LAHORE</v>
          </cell>
          <cell r="AO688" t="str">
            <v>GULBERG</v>
          </cell>
          <cell r="AP688" t="str">
            <v>LAHORE</v>
          </cell>
        </row>
        <row r="689">
          <cell r="AM689">
            <v>197</v>
          </cell>
          <cell r="AN689" t="str">
            <v>M.BLOCK MODEL TOWN EXTENSION BR</v>
          </cell>
          <cell r="AO689" t="str">
            <v>MODEL TOWN</v>
          </cell>
          <cell r="AP689" t="str">
            <v>LAHORE</v>
          </cell>
        </row>
        <row r="690">
          <cell r="AM690">
            <v>207</v>
          </cell>
          <cell r="AN690" t="str">
            <v>GARDEE SQUARE, LAHORE</v>
          </cell>
          <cell r="AO690" t="str">
            <v>SAM MALL</v>
          </cell>
          <cell r="AP690" t="str">
            <v>LAHORE</v>
          </cell>
        </row>
        <row r="691">
          <cell r="AM691">
            <v>243</v>
          </cell>
          <cell r="AN691" t="str">
            <v>WASSANPURA, LAHORE</v>
          </cell>
          <cell r="AO691" t="str">
            <v>SHADBAGH</v>
          </cell>
          <cell r="AP691" t="str">
            <v>LAHORE</v>
          </cell>
        </row>
        <row r="692">
          <cell r="AM692">
            <v>401</v>
          </cell>
          <cell r="AN692" t="str">
            <v>CHAUBURJI, LAHORE</v>
          </cell>
          <cell r="AO692" t="str">
            <v>SHADMAN</v>
          </cell>
          <cell r="AP692" t="str">
            <v>LAHORE</v>
          </cell>
        </row>
        <row r="693">
          <cell r="AM693">
            <v>411</v>
          </cell>
          <cell r="AN693" t="str">
            <v>SAMANABAD, LAHORE</v>
          </cell>
          <cell r="AO693" t="str">
            <v>SAM UNIVERSITY</v>
          </cell>
          <cell r="AP693" t="str">
            <v>LAHORE</v>
          </cell>
        </row>
        <row r="694">
          <cell r="AM694">
            <v>442</v>
          </cell>
          <cell r="AN694" t="str">
            <v>KHARAK WAHDAT RD, LAHORE</v>
          </cell>
          <cell r="AO694" t="str">
            <v>NEW MUSLIM TOWN</v>
          </cell>
          <cell r="AP694" t="str">
            <v>LAHORE</v>
          </cell>
        </row>
        <row r="695">
          <cell r="AM695">
            <v>444</v>
          </cell>
          <cell r="AN695" t="str">
            <v>FEROZEPUR RD (ICHHRA) LAHORE</v>
          </cell>
          <cell r="AO695" t="str">
            <v>SHADMAN</v>
          </cell>
          <cell r="AP695" t="str">
            <v>LAHORE</v>
          </cell>
        </row>
        <row r="696">
          <cell r="AM696">
            <v>445</v>
          </cell>
          <cell r="AN696" t="str">
            <v>TIMBER MARKET (RAVI RD) LAHORE</v>
          </cell>
          <cell r="AO696" t="str">
            <v>CIRCULAR ROAD</v>
          </cell>
          <cell r="AP696" t="str">
            <v>LAHORE</v>
          </cell>
        </row>
        <row r="697">
          <cell r="AM697">
            <v>522</v>
          </cell>
          <cell r="AN697" t="str">
            <v>BATAPUR, LAHORE</v>
          </cell>
          <cell r="AO697" t="str">
            <v>SHADBAGH</v>
          </cell>
          <cell r="AP697" t="str">
            <v>LAHORE</v>
          </cell>
        </row>
        <row r="698">
          <cell r="AM698">
            <v>523</v>
          </cell>
          <cell r="AN698" t="str">
            <v>ZARRAR SHAHEED ROAD, CANTT.LAHORE</v>
          </cell>
          <cell r="AO698" t="str">
            <v>CANTONMENT</v>
          </cell>
          <cell r="AP698" t="str">
            <v>LAHORE</v>
          </cell>
        </row>
        <row r="699">
          <cell r="AM699">
            <v>532</v>
          </cell>
          <cell r="AN699" t="str">
            <v>MOHALLA HAWAGRAN, LAHORE</v>
          </cell>
          <cell r="AO699" t="str">
            <v>CIRCULAR ROAD</v>
          </cell>
          <cell r="AP699" t="str">
            <v>LAHORE</v>
          </cell>
        </row>
        <row r="700">
          <cell r="AM700">
            <v>533</v>
          </cell>
          <cell r="AN700" t="str">
            <v>NAWAN KOT, LAHORE</v>
          </cell>
          <cell r="AO700" t="str">
            <v>SAM UNIVERSITY</v>
          </cell>
          <cell r="AP700" t="str">
            <v>LAHORE</v>
          </cell>
        </row>
        <row r="701">
          <cell r="AM701">
            <v>545</v>
          </cell>
          <cell r="AN701" t="str">
            <v>MODEL TOWN, LAHORE</v>
          </cell>
          <cell r="AO701" t="str">
            <v>MODEL TOWN</v>
          </cell>
          <cell r="AP701" t="str">
            <v>LAHORE</v>
          </cell>
        </row>
        <row r="702">
          <cell r="AM702">
            <v>551</v>
          </cell>
          <cell r="AN702" t="str">
            <v>TEMPLE ROAD, LAHORE</v>
          </cell>
          <cell r="AO702" t="str">
            <v>SHADMAN</v>
          </cell>
          <cell r="AP702" t="str">
            <v>LAHORE</v>
          </cell>
        </row>
        <row r="703">
          <cell r="AM703">
            <v>552</v>
          </cell>
          <cell r="AN703" t="str">
            <v>WAPDA HOUSE, LAHORE</v>
          </cell>
          <cell r="AO703" t="str">
            <v>SAM MALL</v>
          </cell>
          <cell r="AP703" t="str">
            <v>LAHORE</v>
          </cell>
        </row>
        <row r="704">
          <cell r="AM704">
            <v>554</v>
          </cell>
          <cell r="AN704" t="str">
            <v>NISBET ROAD, LAHORE</v>
          </cell>
          <cell r="AO704" t="str">
            <v>SAM MALL</v>
          </cell>
          <cell r="AP704" t="str">
            <v>LAHORE</v>
          </cell>
        </row>
        <row r="705">
          <cell r="AM705">
            <v>556</v>
          </cell>
          <cell r="AN705" t="str">
            <v>KRISHAN NAGAR (ISLAMPURA) LAHORE</v>
          </cell>
          <cell r="AO705" t="str">
            <v>LAKE ROAD</v>
          </cell>
          <cell r="AP705" t="str">
            <v>LAHORE</v>
          </cell>
        </row>
        <row r="706">
          <cell r="AM706">
            <v>557</v>
          </cell>
          <cell r="AN706" t="str">
            <v>ALLAMA IQBAL ROAD, LAHORE</v>
          </cell>
          <cell r="AO706" t="str">
            <v>SAM MALL</v>
          </cell>
          <cell r="AP706" t="str">
            <v>LAHORE</v>
          </cell>
        </row>
        <row r="707">
          <cell r="AM707">
            <v>558</v>
          </cell>
          <cell r="AN707" t="str">
            <v>KIR KALAN, LAHORE</v>
          </cell>
          <cell r="AO707" t="str">
            <v>MODEL TOWN</v>
          </cell>
          <cell r="AP707" t="str">
            <v>LAHORE</v>
          </cell>
        </row>
        <row r="708">
          <cell r="AM708">
            <v>581</v>
          </cell>
          <cell r="AN708" t="str">
            <v>KACHUPURA, LAHORE</v>
          </cell>
          <cell r="AO708" t="str">
            <v>SHADBAGH</v>
          </cell>
          <cell r="AP708" t="str">
            <v>LAHORE</v>
          </cell>
        </row>
        <row r="709">
          <cell r="AM709">
            <v>588</v>
          </cell>
          <cell r="AN709" t="str">
            <v>LANGA MANDI, LAHORE</v>
          </cell>
          <cell r="AO709" t="str">
            <v>CIRCULAR ROAD</v>
          </cell>
          <cell r="AP709" t="str">
            <v>LAHORE</v>
          </cell>
        </row>
        <row r="710">
          <cell r="AM710">
            <v>593</v>
          </cell>
          <cell r="AN710" t="str">
            <v>BILAL GUNJ, LAHORE</v>
          </cell>
          <cell r="AO710" t="str">
            <v>LAKE ROAD</v>
          </cell>
          <cell r="AP710" t="str">
            <v>LAHORE</v>
          </cell>
        </row>
        <row r="711">
          <cell r="AM711">
            <v>594</v>
          </cell>
          <cell r="AN711" t="str">
            <v>PAF MKT, SARFRAZ RAFIQUI RD, LAHORE</v>
          </cell>
          <cell r="AO711" t="str">
            <v>CANTONMENT</v>
          </cell>
          <cell r="AP711" t="str">
            <v>LAHORE</v>
          </cell>
        </row>
        <row r="712">
          <cell r="AM712">
            <v>595</v>
          </cell>
          <cell r="AN712" t="str">
            <v>DATA DARBAR, LAHORE</v>
          </cell>
          <cell r="AO712" t="str">
            <v>LAKE ROAD</v>
          </cell>
          <cell r="AP712" t="str">
            <v>LAHORE</v>
          </cell>
        </row>
        <row r="713">
          <cell r="AM713">
            <v>605</v>
          </cell>
          <cell r="AN713" t="str">
            <v>KOT ABDULLAH SHAH (LYTTON RD), LAHO</v>
          </cell>
          <cell r="AO713" t="str">
            <v>SHADMAN</v>
          </cell>
          <cell r="AP713" t="str">
            <v>LAHORE</v>
          </cell>
        </row>
        <row r="714">
          <cell r="AM714">
            <v>614</v>
          </cell>
          <cell r="AN714" t="str">
            <v>GULSHAN-E-RAVI, LAHORE</v>
          </cell>
          <cell r="AO714" t="str">
            <v>SAM UNIVERSITY</v>
          </cell>
          <cell r="AP714" t="str">
            <v>LAHORE</v>
          </cell>
        </row>
        <row r="715">
          <cell r="AM715">
            <v>616</v>
          </cell>
          <cell r="AN715" t="str">
            <v>DHARAMPURA (MUSTAFABAD), LAHORE CAN</v>
          </cell>
          <cell r="AO715" t="str">
            <v>CANTONMENT</v>
          </cell>
          <cell r="AP715" t="str">
            <v>LAHORE</v>
          </cell>
        </row>
        <row r="716">
          <cell r="AM716">
            <v>617</v>
          </cell>
          <cell r="AN716" t="str">
            <v>OPP. HIGH COURT, LAHORE</v>
          </cell>
          <cell r="AO716" t="str">
            <v>SAM MALL</v>
          </cell>
          <cell r="AP716" t="str">
            <v>LAHORE</v>
          </cell>
        </row>
        <row r="717">
          <cell r="AM717">
            <v>618</v>
          </cell>
          <cell r="AN717" t="str">
            <v>SHAD BAGH, LAHORE</v>
          </cell>
          <cell r="AO717" t="str">
            <v>SHADBAGH</v>
          </cell>
          <cell r="AP717" t="str">
            <v>LAHORE</v>
          </cell>
        </row>
        <row r="718">
          <cell r="AM718">
            <v>620</v>
          </cell>
          <cell r="AN718" t="str">
            <v>N-BLOCK SAMANABAD BR LAHORE</v>
          </cell>
          <cell r="AO718" t="str">
            <v>SAM UNIVERSITY</v>
          </cell>
          <cell r="AP718" t="str">
            <v>LAHORE</v>
          </cell>
        </row>
        <row r="719">
          <cell r="AM719">
            <v>621</v>
          </cell>
          <cell r="AN719" t="str">
            <v>MOGHALPURA, LAHORE</v>
          </cell>
          <cell r="AO719" t="str">
            <v>SHADBAGH</v>
          </cell>
          <cell r="AP719" t="str">
            <v>LAHORE</v>
          </cell>
        </row>
        <row r="720">
          <cell r="AM720">
            <v>813</v>
          </cell>
          <cell r="AN720" t="str">
            <v>CHOWK HALL MCLEOD ROAD, LAHORE</v>
          </cell>
          <cell r="AO720" t="str">
            <v>SAM MALL</v>
          </cell>
          <cell r="AP720" t="str">
            <v>LAHORE</v>
          </cell>
        </row>
        <row r="721">
          <cell r="AM721">
            <v>912</v>
          </cell>
          <cell r="AN721" t="str">
            <v>CHUNG, MODEL TOWN, LAHORE</v>
          </cell>
          <cell r="AO721" t="str">
            <v>JOHAR TOWN</v>
          </cell>
          <cell r="AP721" t="str">
            <v>LAHORE</v>
          </cell>
        </row>
        <row r="722">
          <cell r="AM722">
            <v>926</v>
          </cell>
          <cell r="AN722" t="str">
            <v>GULBERG-III, LIBERTY MARKET, LAHORE</v>
          </cell>
          <cell r="AO722" t="str">
            <v>GULBERG</v>
          </cell>
          <cell r="AP722" t="str">
            <v>LAHORE</v>
          </cell>
        </row>
        <row r="723">
          <cell r="AM723">
            <v>965</v>
          </cell>
          <cell r="AN723" t="str">
            <v>LAHORE-THOKAR NIAZ B</v>
          </cell>
          <cell r="AO723" t="str">
            <v>NEW MUSLIM TOWN</v>
          </cell>
          <cell r="AP723" t="str">
            <v>LAHORE</v>
          </cell>
        </row>
        <row r="724">
          <cell r="AM724">
            <v>976</v>
          </cell>
          <cell r="AN724" t="str">
            <v>RAIWIND</v>
          </cell>
          <cell r="AO724" t="str">
            <v>JOHAR TOWN</v>
          </cell>
          <cell r="AP724" t="str">
            <v>LAHORE</v>
          </cell>
        </row>
        <row r="725">
          <cell r="AM725">
            <v>1015</v>
          </cell>
          <cell r="AN725" t="str">
            <v>R.A. BAZAR, LAHORE</v>
          </cell>
          <cell r="AO725" t="str">
            <v>CANTONMENT</v>
          </cell>
          <cell r="AP725" t="str">
            <v>LAHORE</v>
          </cell>
        </row>
        <row r="726">
          <cell r="AM726">
            <v>1018</v>
          </cell>
          <cell r="AN726" t="str">
            <v>LAHORE-LADHIR</v>
          </cell>
          <cell r="AO726" t="str">
            <v>DHA</v>
          </cell>
          <cell r="AP726" t="str">
            <v>LAHORE</v>
          </cell>
        </row>
        <row r="727">
          <cell r="AM727">
            <v>1019</v>
          </cell>
          <cell r="AN727" t="str">
            <v>NEW MUSLIM TOWN, LAHORE</v>
          </cell>
          <cell r="AO727" t="str">
            <v>NEW MUSLIM TOWN</v>
          </cell>
          <cell r="AP727" t="str">
            <v>LAHORE</v>
          </cell>
        </row>
        <row r="728">
          <cell r="AM728">
            <v>1025</v>
          </cell>
          <cell r="AN728" t="str">
            <v>FORTRESS STADIUM. LAHORE</v>
          </cell>
          <cell r="AO728" t="str">
            <v>CANTONMENT</v>
          </cell>
          <cell r="AP728" t="str">
            <v>LAHORE</v>
          </cell>
        </row>
        <row r="729">
          <cell r="AM729">
            <v>1054</v>
          </cell>
          <cell r="AN729" t="str">
            <v>CHUNA MANDI, LAHORE</v>
          </cell>
          <cell r="AO729" t="str">
            <v>CIRCULAR ROAD</v>
          </cell>
          <cell r="AP729" t="str">
            <v>LAHORE</v>
          </cell>
        </row>
        <row r="730">
          <cell r="AM730">
            <v>1060</v>
          </cell>
          <cell r="AN730" t="str">
            <v>LAHORE-NEW GARDEN TO</v>
          </cell>
          <cell r="AO730" t="str">
            <v>NEW MUSLIM TOWN</v>
          </cell>
          <cell r="AP730" t="str">
            <v>LAHORE</v>
          </cell>
        </row>
        <row r="731">
          <cell r="AM731">
            <v>1076</v>
          </cell>
          <cell r="AN731" t="str">
            <v>SHADMAN COLONY, LAHORE</v>
          </cell>
          <cell r="AO731" t="str">
            <v>SHADMAN</v>
          </cell>
          <cell r="AP731" t="str">
            <v>LAHORE</v>
          </cell>
        </row>
        <row r="732">
          <cell r="AM732">
            <v>1088</v>
          </cell>
          <cell r="AN732" t="str">
            <v>GULBERG FACTORY AREA, LAHORE</v>
          </cell>
          <cell r="AO732" t="str">
            <v>GULBERG</v>
          </cell>
          <cell r="AP732" t="str">
            <v>LAHORE</v>
          </cell>
        </row>
        <row r="733">
          <cell r="AM733">
            <v>1244</v>
          </cell>
          <cell r="AN733" t="str">
            <v>ALLAMA IQBAL MEDICAL COLLEGE, LAHOR</v>
          </cell>
          <cell r="AO733" t="str">
            <v>SAM UNIVERSITY</v>
          </cell>
          <cell r="AP733" t="str">
            <v>LAHORE</v>
          </cell>
        </row>
        <row r="734">
          <cell r="AM734">
            <v>1245</v>
          </cell>
          <cell r="AN734" t="str">
            <v>ROYAL PARK, LAHORE</v>
          </cell>
          <cell r="AO734" t="str">
            <v>SAM MALL</v>
          </cell>
          <cell r="AP734" t="str">
            <v>LAHORE</v>
          </cell>
        </row>
        <row r="735">
          <cell r="AM735">
            <v>1246</v>
          </cell>
          <cell r="AN735" t="str">
            <v>TOWN SHIP, LAHORE</v>
          </cell>
          <cell r="AO735" t="str">
            <v>MODEL TOWN</v>
          </cell>
          <cell r="AP735" t="str">
            <v>LAHORE</v>
          </cell>
        </row>
        <row r="736">
          <cell r="AM736">
            <v>1248</v>
          </cell>
          <cell r="AN736" t="str">
            <v>ALLAMA IQBAL TOWN, LAHORE</v>
          </cell>
          <cell r="AO736" t="str">
            <v>SAM UNIVERSITY</v>
          </cell>
          <cell r="AP736" t="str">
            <v>LAHORE</v>
          </cell>
        </row>
        <row r="737">
          <cell r="AM737">
            <v>1249</v>
          </cell>
          <cell r="AN737" t="str">
            <v>DIV.PUBLIC SCHOOL MODEL TOWN, LAHOR</v>
          </cell>
          <cell r="AO737" t="str">
            <v>MODEL TOWN</v>
          </cell>
          <cell r="AP737" t="str">
            <v>LAHORE</v>
          </cell>
        </row>
        <row r="738">
          <cell r="AM738">
            <v>1250</v>
          </cell>
          <cell r="AN738" t="str">
            <v>WALTON ROAD BRANCH</v>
          </cell>
          <cell r="AO738" t="str">
            <v>DHA</v>
          </cell>
          <cell r="AP738" t="str">
            <v>LAHORE</v>
          </cell>
        </row>
        <row r="739">
          <cell r="AM739">
            <v>1252</v>
          </cell>
          <cell r="AN739" t="str">
            <v>FATIMA JINNAH MED. COLLEGE, LAHORE</v>
          </cell>
          <cell r="AO739" t="str">
            <v>SAM UNIVERSITY</v>
          </cell>
          <cell r="AP739" t="str">
            <v>LAHORE</v>
          </cell>
        </row>
        <row r="740">
          <cell r="AM740">
            <v>1283</v>
          </cell>
          <cell r="AN740" t="str">
            <v>WAPDA TOWN LAHORE</v>
          </cell>
          <cell r="AO740" t="str">
            <v>JOHAR TOWN</v>
          </cell>
          <cell r="AP740" t="str">
            <v>LAHORE</v>
          </cell>
        </row>
        <row r="741">
          <cell r="AM741">
            <v>1315</v>
          </cell>
          <cell r="AN741" t="str">
            <v>LAHORE DEV. AUTH. LAHORE</v>
          </cell>
          <cell r="AO741" t="str">
            <v>SAM MALL</v>
          </cell>
          <cell r="AP741" t="str">
            <v>LAHORE</v>
          </cell>
        </row>
        <row r="742">
          <cell r="AM742">
            <v>1512</v>
          </cell>
          <cell r="AN742" t="str">
            <v>BILAL PARK, LAHORE</v>
          </cell>
          <cell r="AO742" t="str">
            <v>SHADBAGH</v>
          </cell>
          <cell r="AP742" t="str">
            <v>LAHORE</v>
          </cell>
        </row>
        <row r="743">
          <cell r="AM743">
            <v>1518</v>
          </cell>
          <cell r="AN743" t="str">
            <v>NICHOLSON ROAD, LAHORE</v>
          </cell>
          <cell r="AO743" t="str">
            <v>SAM MALL</v>
          </cell>
          <cell r="AP743" t="str">
            <v>LAHORE</v>
          </cell>
        </row>
        <row r="744">
          <cell r="AM744">
            <v>1580</v>
          </cell>
          <cell r="AN744" t="str">
            <v>SHARIF EDUCATIONAL C</v>
          </cell>
          <cell r="AO744" t="str">
            <v>JOHAR TOWN</v>
          </cell>
          <cell r="AP744" t="str">
            <v>LAHORE</v>
          </cell>
        </row>
        <row r="745">
          <cell r="AM745">
            <v>1584</v>
          </cell>
          <cell r="AN745" t="str">
            <v>ALLAMA IQBAL INT AIR</v>
          </cell>
          <cell r="AO745" t="str">
            <v>CANTONMENT</v>
          </cell>
          <cell r="AP745" t="str">
            <v>LAHORE</v>
          </cell>
        </row>
        <row r="746">
          <cell r="AM746">
            <v>1699</v>
          </cell>
          <cell r="AN746" t="str">
            <v>PAKISTAN CHOWK, ICHHRA, LAHORE</v>
          </cell>
          <cell r="AO746" t="str">
            <v>SHADMAN</v>
          </cell>
          <cell r="AP746" t="str">
            <v>LAHORE</v>
          </cell>
        </row>
        <row r="747">
          <cell r="AM747">
            <v>1769</v>
          </cell>
          <cell r="AN747" t="str">
            <v>DOCTORS HOSPITAL, LAHORE CANTT.</v>
          </cell>
          <cell r="AO747" t="str">
            <v>NEW MUSLIM TOWN</v>
          </cell>
          <cell r="AP747" t="str">
            <v>LAHORE</v>
          </cell>
        </row>
        <row r="748">
          <cell r="AM748">
            <v>1787</v>
          </cell>
          <cell r="AN748" t="str">
            <v>REWAZ GARDEN, LAHORE</v>
          </cell>
          <cell r="AO748" t="str">
            <v>LAKE ROAD</v>
          </cell>
          <cell r="AP748" t="str">
            <v>LAHORE</v>
          </cell>
        </row>
        <row r="749">
          <cell r="AM749">
            <v>1858</v>
          </cell>
          <cell r="AN749" t="str">
            <v>LAHORE-D.H.A.</v>
          </cell>
          <cell r="AO749" t="str">
            <v>DHA</v>
          </cell>
          <cell r="AP749" t="str">
            <v>LAHORE</v>
          </cell>
        </row>
        <row r="750">
          <cell r="AM750">
            <v>2216</v>
          </cell>
          <cell r="AN750" t="str">
            <v>MOHAMMAD ALI JAUHAR TOWN, LAHORE</v>
          </cell>
          <cell r="AO750" t="str">
            <v>JOHAR TOWN</v>
          </cell>
          <cell r="AP750" t="str">
            <v>LAHORE</v>
          </cell>
        </row>
        <row r="751">
          <cell r="AM751">
            <v>2250</v>
          </cell>
          <cell r="AN751" t="str">
            <v>FEROZEPUR RD</v>
          </cell>
          <cell r="AO751" t="str">
            <v>MODEL TOWN</v>
          </cell>
          <cell r="AP751" t="str">
            <v>LAHORE</v>
          </cell>
        </row>
        <row r="752">
          <cell r="AM752">
            <v>2264</v>
          </cell>
          <cell r="AN752" t="str">
            <v>Z-BLOCK, DHA LAHORE CANTT.</v>
          </cell>
          <cell r="AO752" t="str">
            <v>DHA</v>
          </cell>
          <cell r="AP752" t="str">
            <v>LAHORE</v>
          </cell>
        </row>
        <row r="753">
          <cell r="AM753">
            <v>2268</v>
          </cell>
          <cell r="AN753" t="str">
            <v>T-BLOCK, DHA LAHORE CANTT.</v>
          </cell>
          <cell r="AO753" t="str">
            <v>DHA</v>
          </cell>
          <cell r="AP753" t="str">
            <v>LAHORE</v>
          </cell>
        </row>
        <row r="754">
          <cell r="AM754">
            <v>2277</v>
          </cell>
          <cell r="AN754" t="str">
            <v>BUND ROAD BRANCH LAH</v>
          </cell>
          <cell r="AO754" t="str">
            <v>LAKE ROAD</v>
          </cell>
          <cell r="AP754" t="str">
            <v>LAHORE</v>
          </cell>
        </row>
        <row r="755">
          <cell r="AM755">
            <v>2279</v>
          </cell>
          <cell r="AN755" t="str">
            <v>PUNJAB COP.HOUSING S</v>
          </cell>
          <cell r="AO755" t="str">
            <v>DHA</v>
          </cell>
          <cell r="AP755" t="str">
            <v>LAHORE</v>
          </cell>
        </row>
        <row r="756">
          <cell r="AM756">
            <v>2294</v>
          </cell>
          <cell r="AN756" t="str">
            <v>NASEERABAD BRACNH</v>
          </cell>
          <cell r="AO756" t="str">
            <v>MODEL TOWN</v>
          </cell>
          <cell r="AP756" t="str">
            <v>LAHORE</v>
          </cell>
        </row>
        <row r="757">
          <cell r="AM757">
            <v>2297</v>
          </cell>
          <cell r="AN757" t="str">
            <v>MAIN BOULEVARD GULBE</v>
          </cell>
          <cell r="AO757" t="str">
            <v>GULBERG</v>
          </cell>
          <cell r="AP757" t="str">
            <v>LAHORE</v>
          </cell>
        </row>
        <row r="758">
          <cell r="AM758">
            <v>2305</v>
          </cell>
          <cell r="AN758" t="str">
            <v>COMSATS Branch,</v>
          </cell>
          <cell r="AO758" t="str">
            <v>SAM UNIVERSITY</v>
          </cell>
          <cell r="AP758" t="str">
            <v>LAHORE</v>
          </cell>
        </row>
        <row r="759">
          <cell r="AM759">
            <v>2308</v>
          </cell>
          <cell r="AN759" t="str">
            <v>ASKARI X Branch</v>
          </cell>
          <cell r="AO759" t="str">
            <v>CANTONMENT</v>
          </cell>
          <cell r="AP759" t="str">
            <v>LAHORE</v>
          </cell>
        </row>
        <row r="760">
          <cell r="AM760">
            <v>2310</v>
          </cell>
          <cell r="AN760" t="str">
            <v>DHA PHASE VI BRANCH</v>
          </cell>
          <cell r="AO760" t="str">
            <v>DHA</v>
          </cell>
          <cell r="AP760" t="str">
            <v>LAHORE</v>
          </cell>
        </row>
        <row r="761">
          <cell r="AM761">
            <v>2320</v>
          </cell>
          <cell r="AN761" t="str">
            <v>HARBANSPURA BRANCH</v>
          </cell>
          <cell r="AO761" t="str">
            <v>SHADBAGH</v>
          </cell>
          <cell r="AP761" t="str">
            <v>LAHORE</v>
          </cell>
        </row>
        <row r="762">
          <cell r="AM762">
            <v>2336</v>
          </cell>
          <cell r="AN762" t="str">
            <v>MAIN BOULEVARD, DHA</v>
          </cell>
          <cell r="AO762" t="str">
            <v>DHA</v>
          </cell>
          <cell r="AP762" t="str">
            <v>LAHORE</v>
          </cell>
        </row>
        <row r="763">
          <cell r="AM763">
            <v>2337</v>
          </cell>
          <cell r="AN763" t="str">
            <v>KHIABAN-I-IQBAL DHA</v>
          </cell>
          <cell r="AO763" t="str">
            <v>DHA</v>
          </cell>
          <cell r="AP763" t="str">
            <v>LAHORE</v>
          </cell>
        </row>
        <row r="764">
          <cell r="AM764">
            <v>2343</v>
          </cell>
          <cell r="AN764" t="str">
            <v>LIBERTY ROUNDABOUT B</v>
          </cell>
          <cell r="AO764" t="str">
            <v>GULBERG</v>
          </cell>
          <cell r="AP764" t="str">
            <v>LAHORE</v>
          </cell>
        </row>
        <row r="765">
          <cell r="AM765">
            <v>2345</v>
          </cell>
          <cell r="AN765" t="str">
            <v>BAHRIA TOWN BRANCH</v>
          </cell>
          <cell r="AO765" t="str">
            <v>NEW MUSLIM TOWN</v>
          </cell>
          <cell r="AP765" t="str">
            <v>LAHORE</v>
          </cell>
        </row>
        <row r="766">
          <cell r="AM766">
            <v>2348</v>
          </cell>
          <cell r="AN766" t="str">
            <v>DHA PHASE V BRANCH</v>
          </cell>
          <cell r="AO766" t="str">
            <v>DHA</v>
          </cell>
          <cell r="AP766" t="str">
            <v>LAHORE</v>
          </cell>
        </row>
        <row r="767">
          <cell r="AM767">
            <v>2349</v>
          </cell>
          <cell r="AN767" t="str">
            <v>UNIVERSITY OF MANAGE</v>
          </cell>
          <cell r="AO767" t="str">
            <v>SAM UNIVERSITY</v>
          </cell>
          <cell r="AP767" t="str">
            <v>LAHORE</v>
          </cell>
        </row>
        <row r="768">
          <cell r="AM768">
            <v>2354</v>
          </cell>
          <cell r="AN768" t="str">
            <v>AKBARI MANDI BRANCH</v>
          </cell>
          <cell r="AO768" t="str">
            <v>CIRCULAR ROAD</v>
          </cell>
          <cell r="AP768" t="str">
            <v>LAHORE</v>
          </cell>
        </row>
        <row r="769">
          <cell r="AM769">
            <v>2361</v>
          </cell>
          <cell r="AN769" t="str">
            <v>FC COLLEGE UNIVERSIT</v>
          </cell>
          <cell r="AO769" t="str">
            <v>GULBERG</v>
          </cell>
          <cell r="AP769" t="str">
            <v>LAHORE</v>
          </cell>
        </row>
        <row r="770">
          <cell r="AM770">
            <v>2398</v>
          </cell>
          <cell r="AN770" t="str">
            <v>GC UNIVERSITY BRANCH</v>
          </cell>
          <cell r="AO770" t="str">
            <v>SAM UNIVERSITY</v>
          </cell>
          <cell r="AP770" t="str">
            <v>LAHORE</v>
          </cell>
        </row>
        <row r="771">
          <cell r="AM771">
            <v>2417</v>
          </cell>
          <cell r="AN771" t="str">
            <v>EME HOUSING SOCIETY</v>
          </cell>
          <cell r="AO771" t="str">
            <v>NEW MUSLIM TOWN</v>
          </cell>
          <cell r="AP771" t="str">
            <v>LAHORE</v>
          </cell>
        </row>
        <row r="772">
          <cell r="AM772">
            <v>2418</v>
          </cell>
          <cell r="AN772" t="str">
            <v>DAROGHAWALA  BR</v>
          </cell>
          <cell r="AO772" t="str">
            <v>SHADBAGH</v>
          </cell>
          <cell r="AP772" t="str">
            <v>LAHORE</v>
          </cell>
        </row>
        <row r="773">
          <cell r="AM773">
            <v>2421</v>
          </cell>
          <cell r="AN773" t="str">
            <v>KHYABAN-E-JINNAH BRANCH LAHORE</v>
          </cell>
          <cell r="AO773" t="str">
            <v>JOHAR TOWN</v>
          </cell>
          <cell r="AP773" t="str">
            <v>LAHORE</v>
          </cell>
        </row>
        <row r="774">
          <cell r="AM774">
            <v>2431</v>
          </cell>
          <cell r="AN774" t="str">
            <v>Model Town Link Road</v>
          </cell>
          <cell r="AO774" t="str">
            <v>MODEL TOWN</v>
          </cell>
          <cell r="AP774" t="str">
            <v>LAHORE</v>
          </cell>
        </row>
        <row r="775">
          <cell r="AM775">
            <v>2444</v>
          </cell>
          <cell r="AN775" t="str">
            <v>Opp UCH Main Bouleva</v>
          </cell>
          <cell r="AO775" t="str">
            <v>GULBERG</v>
          </cell>
          <cell r="AP775" t="str">
            <v>LAHORE</v>
          </cell>
        </row>
        <row r="776">
          <cell r="AM776">
            <v>2445</v>
          </cell>
          <cell r="AN776" t="str">
            <v>76-Z Block, DHA Bran</v>
          </cell>
          <cell r="AO776" t="str">
            <v>DHA</v>
          </cell>
          <cell r="AP776" t="str">
            <v>LAHORE</v>
          </cell>
        </row>
        <row r="777">
          <cell r="AM777">
            <v>2449</v>
          </cell>
          <cell r="AN777" t="str">
            <v>Valencia Housing Socity</v>
          </cell>
          <cell r="AO777" t="str">
            <v>JOHAR TOWN</v>
          </cell>
          <cell r="AP777" t="str">
            <v>LAHORE</v>
          </cell>
        </row>
        <row r="778">
          <cell r="AM778">
            <v>2453</v>
          </cell>
          <cell r="AN778" t="str">
            <v>karim block allama iqbal town</v>
          </cell>
          <cell r="AO778" t="str">
            <v>SAM UNIVERSITY</v>
          </cell>
          <cell r="AP778" t="str">
            <v>LAHORE</v>
          </cell>
        </row>
        <row r="779">
          <cell r="AM779">
            <v>2474</v>
          </cell>
          <cell r="AN779" t="str">
            <v>Muslim Town more Wahadat rd</v>
          </cell>
          <cell r="AO779" t="str">
            <v>MODEL TOWN</v>
          </cell>
          <cell r="AP779" t="str">
            <v>LAHORE</v>
          </cell>
        </row>
        <row r="780">
          <cell r="AM780">
            <v>2487</v>
          </cell>
          <cell r="AN780" t="str">
            <v>College Road Township</v>
          </cell>
          <cell r="AO780" t="str">
            <v>MODEL TOWN</v>
          </cell>
          <cell r="AP780" t="str">
            <v>LAHORE</v>
          </cell>
        </row>
        <row r="781">
          <cell r="AM781">
            <v>166</v>
          </cell>
          <cell r="AN781" t="str">
            <v>CITY, SIALKOT</v>
          </cell>
          <cell r="AO781" t="str">
            <v>Sialkot-City</v>
          </cell>
          <cell r="AP781" t="str">
            <v>SIALKOT</v>
          </cell>
        </row>
        <row r="782">
          <cell r="AM782">
            <v>250</v>
          </cell>
          <cell r="AN782" t="str">
            <v>PEERU CHAK</v>
          </cell>
          <cell r="AO782" t="str">
            <v>Daska</v>
          </cell>
          <cell r="AP782" t="str">
            <v>SIALKOT</v>
          </cell>
        </row>
        <row r="783">
          <cell r="AM783">
            <v>251</v>
          </cell>
          <cell r="AN783" t="str">
            <v>JASSAR</v>
          </cell>
          <cell r="AO783" t="str">
            <v>Narowal</v>
          </cell>
          <cell r="AP783" t="str">
            <v>SIALKOT</v>
          </cell>
        </row>
        <row r="784">
          <cell r="AM784">
            <v>260</v>
          </cell>
          <cell r="AN784" t="str">
            <v>SHAKARGARH BR</v>
          </cell>
          <cell r="AO784" t="str">
            <v>Shakargarh</v>
          </cell>
          <cell r="AP784" t="str">
            <v>SIALKOT</v>
          </cell>
        </row>
        <row r="785">
          <cell r="AM785">
            <v>291</v>
          </cell>
          <cell r="AN785" t="str">
            <v>SIALKOT-MUBARAKPURA</v>
          </cell>
          <cell r="AO785" t="str">
            <v>Sialkot-City</v>
          </cell>
          <cell r="AP785" t="str">
            <v>SIALKOT</v>
          </cell>
        </row>
        <row r="786">
          <cell r="AM786">
            <v>308</v>
          </cell>
          <cell r="AN786" t="str">
            <v>FATEHGARH, SIALKOT</v>
          </cell>
          <cell r="AO786" t="str">
            <v>Circular Road - Sialkot</v>
          </cell>
          <cell r="AP786" t="str">
            <v>SIALKOT</v>
          </cell>
        </row>
        <row r="787">
          <cell r="AM787">
            <v>395</v>
          </cell>
          <cell r="AN787" t="str">
            <v>LANGERIALI</v>
          </cell>
          <cell r="AO787" t="str">
            <v>Circular Road - Sialkot</v>
          </cell>
          <cell r="AP787" t="str">
            <v>SIALKOT</v>
          </cell>
        </row>
        <row r="788">
          <cell r="AM788">
            <v>406</v>
          </cell>
          <cell r="AN788" t="str">
            <v>DASKA-MAIN BRANCH</v>
          </cell>
          <cell r="AO788" t="str">
            <v>Daska</v>
          </cell>
          <cell r="AP788" t="str">
            <v>SIALKOT</v>
          </cell>
        </row>
        <row r="789">
          <cell r="AM789">
            <v>425</v>
          </cell>
          <cell r="AN789" t="str">
            <v>SAMBRIAL, DASKA</v>
          </cell>
          <cell r="AO789" t="str">
            <v>Sialkot-City</v>
          </cell>
          <cell r="AP789" t="str">
            <v>SIALKOT</v>
          </cell>
        </row>
        <row r="790">
          <cell r="AM790">
            <v>492</v>
          </cell>
          <cell r="AN790" t="str">
            <v>GOHAD PUR CHOWK BR</v>
          </cell>
          <cell r="AO790" t="str">
            <v>Cantonment Sialkot</v>
          </cell>
          <cell r="AP790" t="str">
            <v>SIALKOT</v>
          </cell>
        </row>
        <row r="791">
          <cell r="AM791">
            <v>519</v>
          </cell>
          <cell r="AN791" t="str">
            <v>SIALKOT CANTONMENT</v>
          </cell>
          <cell r="AO791" t="str">
            <v>Cantonment Sialkot</v>
          </cell>
          <cell r="AP791" t="str">
            <v>SIALKOT</v>
          </cell>
        </row>
        <row r="792">
          <cell r="AM792">
            <v>566</v>
          </cell>
          <cell r="AN792" t="str">
            <v>CHAWINDA</v>
          </cell>
          <cell r="AO792" t="str">
            <v>Narowal</v>
          </cell>
          <cell r="AP792" t="str">
            <v>SIALKOT</v>
          </cell>
        </row>
        <row r="793">
          <cell r="AM793">
            <v>607</v>
          </cell>
          <cell r="AN793" t="str">
            <v>NEIKAPURA, SIALKOT</v>
          </cell>
          <cell r="AO793" t="str">
            <v>Neikapura</v>
          </cell>
          <cell r="AP793" t="str">
            <v>SIALKOT</v>
          </cell>
        </row>
        <row r="794">
          <cell r="AM794">
            <v>637</v>
          </cell>
          <cell r="AN794" t="str">
            <v>TALWANDI BHINDRAN</v>
          </cell>
          <cell r="AO794" t="str">
            <v>Narowal</v>
          </cell>
          <cell r="AP794" t="str">
            <v>SIALKOT</v>
          </cell>
        </row>
        <row r="795">
          <cell r="AM795">
            <v>648</v>
          </cell>
          <cell r="AN795" t="str">
            <v>GHALLIAN</v>
          </cell>
          <cell r="AO795" t="str">
            <v>Cantonment Sialkot</v>
          </cell>
          <cell r="AP795" t="str">
            <v>SIALKOT</v>
          </cell>
        </row>
        <row r="796">
          <cell r="AM796">
            <v>808</v>
          </cell>
          <cell r="AN796" t="str">
            <v>SIRANWALI</v>
          </cell>
          <cell r="AO796" t="str">
            <v>Daska</v>
          </cell>
          <cell r="AP796" t="str">
            <v>SIALKOT</v>
          </cell>
        </row>
        <row r="797">
          <cell r="AM797">
            <v>836</v>
          </cell>
          <cell r="AN797" t="str">
            <v>NAROWAL</v>
          </cell>
          <cell r="AO797" t="str">
            <v>Narowal</v>
          </cell>
          <cell r="AP797" t="str">
            <v>SIALKOT</v>
          </cell>
        </row>
        <row r="798">
          <cell r="AM798">
            <v>852</v>
          </cell>
          <cell r="AN798" t="str">
            <v>AHMEDABAD DISTT. NAR</v>
          </cell>
          <cell r="AO798" t="str">
            <v>Narowal</v>
          </cell>
          <cell r="AP798" t="str">
            <v>SIALKOT</v>
          </cell>
        </row>
        <row r="799">
          <cell r="AM799">
            <v>895</v>
          </cell>
          <cell r="AN799" t="str">
            <v>JAMKE CHEEMA</v>
          </cell>
          <cell r="AO799" t="str">
            <v>Daska</v>
          </cell>
          <cell r="AP799" t="str">
            <v>SIALKOT</v>
          </cell>
        </row>
        <row r="800">
          <cell r="AM800">
            <v>969</v>
          </cell>
          <cell r="AN800" t="str">
            <v>CIRCULAR ROAD, SIALKOT</v>
          </cell>
          <cell r="AO800" t="str">
            <v>Circular Road - Sialkot</v>
          </cell>
          <cell r="AP800" t="str">
            <v>SIALKOT</v>
          </cell>
        </row>
        <row r="801">
          <cell r="AM801">
            <v>978</v>
          </cell>
          <cell r="AN801" t="str">
            <v>DARMAN</v>
          </cell>
          <cell r="AO801" t="str">
            <v>Shakargarh</v>
          </cell>
          <cell r="AP801" t="str">
            <v>SIALKOT</v>
          </cell>
        </row>
        <row r="802">
          <cell r="AM802">
            <v>980</v>
          </cell>
          <cell r="AN802" t="str">
            <v>LESSAR KALAN</v>
          </cell>
          <cell r="AO802" t="str">
            <v>Shakargarh</v>
          </cell>
          <cell r="AP802" t="str">
            <v>SIALKOT</v>
          </cell>
        </row>
        <row r="803">
          <cell r="AM803">
            <v>992</v>
          </cell>
          <cell r="AN803" t="str">
            <v>BAZAR KALAN, SIALKOT</v>
          </cell>
          <cell r="AO803" t="str">
            <v>Circular Road - Sialkot</v>
          </cell>
          <cell r="AP803" t="str">
            <v>SIALKOT</v>
          </cell>
        </row>
        <row r="804">
          <cell r="AM804">
            <v>1002</v>
          </cell>
          <cell r="AN804" t="str">
            <v>CHOWBARA</v>
          </cell>
          <cell r="AO804" t="str">
            <v>Shakargarh</v>
          </cell>
          <cell r="AP804" t="str">
            <v>SIALKOT</v>
          </cell>
        </row>
        <row r="805">
          <cell r="AM805">
            <v>1084</v>
          </cell>
          <cell r="AN805" t="str">
            <v>PASROOR, SIALKOT</v>
          </cell>
          <cell r="AO805" t="str">
            <v>Narowal</v>
          </cell>
          <cell r="AP805" t="str">
            <v>SIALKOT</v>
          </cell>
        </row>
        <row r="806">
          <cell r="AM806">
            <v>1108</v>
          </cell>
          <cell r="AN806" t="str">
            <v>MARAKIWAL</v>
          </cell>
          <cell r="AO806" t="str">
            <v>Cantonment Sialkot</v>
          </cell>
          <cell r="AP806" t="str">
            <v>SIALKOT</v>
          </cell>
        </row>
        <row r="807">
          <cell r="AM807">
            <v>1127</v>
          </cell>
          <cell r="AN807" t="str">
            <v>MARALA</v>
          </cell>
          <cell r="AO807" t="str">
            <v>Cantonment Sialkot</v>
          </cell>
          <cell r="AP807" t="str">
            <v>SIALKOT</v>
          </cell>
        </row>
        <row r="808">
          <cell r="AM808">
            <v>1131</v>
          </cell>
          <cell r="AN808" t="str">
            <v>DALLOWALI</v>
          </cell>
          <cell r="AO808" t="str">
            <v>Cantonment Sialkot</v>
          </cell>
          <cell r="AP808" t="str">
            <v>SIALKOT</v>
          </cell>
        </row>
        <row r="809">
          <cell r="AM809">
            <v>1182</v>
          </cell>
          <cell r="AN809" t="str">
            <v>SATELLITE TOWN, SILKOT</v>
          </cell>
          <cell r="AO809" t="str">
            <v>Sialkot-City</v>
          </cell>
          <cell r="AP809" t="str">
            <v>SIALKOT</v>
          </cell>
        </row>
        <row r="810">
          <cell r="AM810">
            <v>1361</v>
          </cell>
          <cell r="AN810" t="str">
            <v>SIALKOT-ADDA PASRURI</v>
          </cell>
          <cell r="AO810" t="str">
            <v>Circular Road - Sialkot</v>
          </cell>
          <cell r="AP810" t="str">
            <v>SIALKOT</v>
          </cell>
        </row>
        <row r="811">
          <cell r="AM811">
            <v>1371</v>
          </cell>
          <cell r="AN811" t="str">
            <v>ADDA BRANCH  SIALKOT</v>
          </cell>
          <cell r="AO811" t="str">
            <v>Neikapura</v>
          </cell>
          <cell r="AP811" t="str">
            <v>SIALKOT</v>
          </cell>
        </row>
        <row r="812">
          <cell r="AM812">
            <v>1390</v>
          </cell>
          <cell r="AN812" t="str">
            <v>BHALLAGAN</v>
          </cell>
          <cell r="AO812" t="str">
            <v>Daska</v>
          </cell>
          <cell r="AP812" t="str">
            <v>SIALKOT</v>
          </cell>
        </row>
        <row r="813">
          <cell r="AM813">
            <v>1405</v>
          </cell>
          <cell r="AN813" t="str">
            <v>BADDOMALHI</v>
          </cell>
          <cell r="AO813" t="str">
            <v>Narowal</v>
          </cell>
          <cell r="AP813" t="str">
            <v>SIALKOT</v>
          </cell>
        </row>
        <row r="814">
          <cell r="AM814">
            <v>1453</v>
          </cell>
          <cell r="AN814" t="str">
            <v>SIALKOT-CHIRAGHPURA</v>
          </cell>
          <cell r="AO814" t="str">
            <v>Sialkot-City</v>
          </cell>
          <cell r="AP814" t="str">
            <v>SIALKOT</v>
          </cell>
        </row>
        <row r="815">
          <cell r="AM815">
            <v>1474</v>
          </cell>
          <cell r="AN815" t="str">
            <v>NOORKOT, NAROWAL</v>
          </cell>
          <cell r="AO815" t="str">
            <v>Shakargarh</v>
          </cell>
          <cell r="AP815" t="str">
            <v>SIALKOT</v>
          </cell>
        </row>
        <row r="816">
          <cell r="AM816">
            <v>1480</v>
          </cell>
          <cell r="AN816" t="str">
            <v>BEGOWALA MORE</v>
          </cell>
          <cell r="AO816" t="str">
            <v>Sialkot-City</v>
          </cell>
          <cell r="AP816" t="str">
            <v>SIALKOT</v>
          </cell>
        </row>
        <row r="817">
          <cell r="AM817">
            <v>1481</v>
          </cell>
          <cell r="AN817" t="str">
            <v>DASKA KALAN</v>
          </cell>
          <cell r="AO817" t="str">
            <v>Daska</v>
          </cell>
          <cell r="AP817" t="str">
            <v>SIALKOT</v>
          </cell>
        </row>
        <row r="818">
          <cell r="AM818">
            <v>1532</v>
          </cell>
          <cell r="AN818" t="str">
            <v>MEHRAJKE</v>
          </cell>
          <cell r="AO818" t="str">
            <v>Circular Road - Sialkot</v>
          </cell>
          <cell r="AP818" t="str">
            <v>SIALKOT</v>
          </cell>
        </row>
        <row r="819">
          <cell r="AM819">
            <v>1561</v>
          </cell>
          <cell r="AN819" t="str">
            <v>NARANG MANDI, FEROZEWALA</v>
          </cell>
          <cell r="AO819" t="str">
            <v>Narowal</v>
          </cell>
          <cell r="AP819" t="str">
            <v>SIALKOT</v>
          </cell>
        </row>
        <row r="820">
          <cell r="AM820">
            <v>1598</v>
          </cell>
          <cell r="AN820" t="str">
            <v>KOTLI LOHARAN  GHARB</v>
          </cell>
          <cell r="AO820" t="str">
            <v>Cantonment Sialkot</v>
          </cell>
          <cell r="AP820" t="str">
            <v>SIALKOT</v>
          </cell>
        </row>
        <row r="821">
          <cell r="AM821">
            <v>1619</v>
          </cell>
          <cell r="AN821" t="str">
            <v>SIALKOT-RANGPURA</v>
          </cell>
          <cell r="AO821" t="str">
            <v>Circular Road - Sialkot</v>
          </cell>
          <cell r="AP821" t="str">
            <v>SIALKOT</v>
          </cell>
        </row>
        <row r="822">
          <cell r="AM822">
            <v>1666</v>
          </cell>
          <cell r="AN822" t="str">
            <v>SIALKOT-ABBOT ROAD</v>
          </cell>
          <cell r="AO822" t="str">
            <v>Circular Road - Sialkot</v>
          </cell>
          <cell r="AP822" t="str">
            <v>SIALKOT</v>
          </cell>
        </row>
        <row r="823">
          <cell r="AM823">
            <v>1753</v>
          </cell>
          <cell r="AN823" t="str">
            <v>JESSARWALA</v>
          </cell>
          <cell r="AO823" t="str">
            <v>Daska</v>
          </cell>
          <cell r="AP823" t="str">
            <v>SIALKOT</v>
          </cell>
        </row>
        <row r="824">
          <cell r="AM824">
            <v>1754</v>
          </cell>
          <cell r="AN824" t="str">
            <v>BRAHMT-E-YAL, CHAK S</v>
          </cell>
          <cell r="AO824" t="str">
            <v>Cantonment Sialkot</v>
          </cell>
          <cell r="AP824" t="str">
            <v>SIALKOT</v>
          </cell>
        </row>
        <row r="825">
          <cell r="AM825">
            <v>1756</v>
          </cell>
          <cell r="AN825" t="str">
            <v>DHAMOKE DARVESHKE</v>
          </cell>
          <cell r="AO825" t="str">
            <v>Daska</v>
          </cell>
          <cell r="AP825" t="str">
            <v>SIALKOT</v>
          </cell>
        </row>
        <row r="826">
          <cell r="AM826">
            <v>1773</v>
          </cell>
          <cell r="AN826" t="str">
            <v>UGOKE</v>
          </cell>
          <cell r="AO826" t="str">
            <v>Sialkot-City</v>
          </cell>
          <cell r="AP826" t="str">
            <v>SIALKOT</v>
          </cell>
        </row>
        <row r="827">
          <cell r="AM827">
            <v>1774</v>
          </cell>
          <cell r="AN827" t="str">
            <v>CHAK AMROO</v>
          </cell>
          <cell r="AO827" t="str">
            <v>Shakargarh</v>
          </cell>
          <cell r="AP827" t="str">
            <v>SIALKOT</v>
          </cell>
        </row>
        <row r="828">
          <cell r="AM828">
            <v>1805</v>
          </cell>
          <cell r="AN828" t="str">
            <v>ZAFARWAL, NAROWAL</v>
          </cell>
          <cell r="AO828" t="str">
            <v>Shakargarh</v>
          </cell>
          <cell r="AP828" t="str">
            <v>SIALKOT</v>
          </cell>
        </row>
        <row r="829">
          <cell r="AM829">
            <v>1820</v>
          </cell>
          <cell r="AN829" t="str">
            <v>BAGHWAL AWAN</v>
          </cell>
          <cell r="AO829" t="str">
            <v>Sialkot-City</v>
          </cell>
          <cell r="AP829" t="str">
            <v>SIALKOT</v>
          </cell>
        </row>
        <row r="830">
          <cell r="AM830">
            <v>1825</v>
          </cell>
          <cell r="AN830" t="str">
            <v>NAWAN PIND ARIAN</v>
          </cell>
          <cell r="AO830" t="str">
            <v>Neikapura</v>
          </cell>
          <cell r="AP830" t="str">
            <v>SIALKOT</v>
          </cell>
        </row>
        <row r="831">
          <cell r="AM831">
            <v>1842</v>
          </cell>
          <cell r="AN831" t="str">
            <v>PINDI BOHRI</v>
          </cell>
          <cell r="AO831" t="str">
            <v>Shakargarh</v>
          </cell>
          <cell r="AP831" t="str">
            <v>SIALKOT</v>
          </cell>
        </row>
        <row r="832">
          <cell r="AM832">
            <v>1863</v>
          </cell>
          <cell r="AN832" t="str">
            <v>BHADAL</v>
          </cell>
          <cell r="AO832" t="str">
            <v>Neikapura</v>
          </cell>
          <cell r="AP832" t="str">
            <v>SIALKOT</v>
          </cell>
        </row>
        <row r="833">
          <cell r="AM833">
            <v>1868</v>
          </cell>
          <cell r="AN833" t="str">
            <v>MALKHANWALA</v>
          </cell>
          <cell r="AO833" t="str">
            <v>Daska</v>
          </cell>
          <cell r="AP833" t="str">
            <v>SIALKOT</v>
          </cell>
        </row>
        <row r="834">
          <cell r="AM834">
            <v>1869</v>
          </cell>
          <cell r="AN834" t="str">
            <v>CHICHERWALI, PASRUR)</v>
          </cell>
          <cell r="AO834" t="str">
            <v>Daska</v>
          </cell>
          <cell r="AP834" t="str">
            <v>SIALKOT</v>
          </cell>
        </row>
        <row r="835">
          <cell r="AM835">
            <v>1876</v>
          </cell>
          <cell r="AN835" t="str">
            <v>JODHALA</v>
          </cell>
          <cell r="AO835" t="str">
            <v>Neikapura</v>
          </cell>
          <cell r="AP835" t="str">
            <v>SIALKOT</v>
          </cell>
        </row>
        <row r="836">
          <cell r="AM836">
            <v>1886</v>
          </cell>
          <cell r="AN836" t="str">
            <v>THROO MANDI</v>
          </cell>
          <cell r="AO836" t="str">
            <v>Shakargarh</v>
          </cell>
          <cell r="AP836" t="str">
            <v>SIALKOT</v>
          </cell>
        </row>
        <row r="837">
          <cell r="AM837">
            <v>1888</v>
          </cell>
          <cell r="AN837" t="str">
            <v>DOBURJI ARIAN</v>
          </cell>
          <cell r="AO837" t="str">
            <v>Circular Road - Sialkot</v>
          </cell>
          <cell r="AP837" t="str">
            <v>SIALKOT</v>
          </cell>
        </row>
        <row r="838">
          <cell r="AM838">
            <v>1893</v>
          </cell>
          <cell r="AN838" t="str">
            <v>GUNNA KALAN</v>
          </cell>
          <cell r="AO838" t="str">
            <v>Neikapura</v>
          </cell>
          <cell r="AP838" t="str">
            <v>SIALKOT</v>
          </cell>
        </row>
        <row r="839">
          <cell r="AM839">
            <v>1896</v>
          </cell>
          <cell r="AN839" t="str">
            <v>CHOWNI SULEHRIAN</v>
          </cell>
          <cell r="AO839" t="str">
            <v>Neikapura</v>
          </cell>
          <cell r="AP839" t="str">
            <v>SIALKOT</v>
          </cell>
        </row>
        <row r="840">
          <cell r="AM840">
            <v>1899</v>
          </cell>
          <cell r="AN840" t="str">
            <v>MALPUR KALASWALA</v>
          </cell>
          <cell r="AO840" t="str">
            <v>Narowal</v>
          </cell>
          <cell r="AP840" t="str">
            <v>SIALKOT</v>
          </cell>
        </row>
        <row r="841">
          <cell r="AM841">
            <v>1901</v>
          </cell>
          <cell r="AN841" t="str">
            <v>GUL BAHAR, SIALKOT</v>
          </cell>
          <cell r="AO841" t="str">
            <v>Cantonment Sialkot</v>
          </cell>
          <cell r="AP841" t="str">
            <v>SIALKOT</v>
          </cell>
        </row>
        <row r="842">
          <cell r="AM842">
            <v>1902</v>
          </cell>
          <cell r="AN842" t="str">
            <v>HUNDAL</v>
          </cell>
          <cell r="AO842" t="str">
            <v>Neikapura</v>
          </cell>
          <cell r="AP842" t="str">
            <v>SIALKOT</v>
          </cell>
        </row>
        <row r="843">
          <cell r="AM843">
            <v>1919</v>
          </cell>
          <cell r="AN843" t="str">
            <v>SAUKINWIND</v>
          </cell>
          <cell r="AO843" t="str">
            <v>Narowal</v>
          </cell>
          <cell r="AP843" t="str">
            <v>SIALKOT</v>
          </cell>
        </row>
        <row r="844">
          <cell r="AM844">
            <v>1932</v>
          </cell>
          <cell r="AN844" t="str">
            <v>BHOPALWALA</v>
          </cell>
          <cell r="AO844" t="str">
            <v>Daska</v>
          </cell>
          <cell r="AP844" t="str">
            <v>SIALKOT</v>
          </cell>
        </row>
        <row r="845">
          <cell r="AM845">
            <v>1943</v>
          </cell>
          <cell r="AN845" t="str">
            <v>DATA ZAIDKA, PASRUR</v>
          </cell>
          <cell r="AO845" t="str">
            <v>Narowal</v>
          </cell>
          <cell r="AP845" t="str">
            <v>SIALKOT</v>
          </cell>
        </row>
        <row r="846">
          <cell r="AM846">
            <v>1953</v>
          </cell>
          <cell r="AN846" t="str">
            <v>WACHHOKE</v>
          </cell>
          <cell r="AO846" t="str">
            <v>Shakargarh</v>
          </cell>
          <cell r="AP846" t="str">
            <v>SIALKOT</v>
          </cell>
        </row>
        <row r="847">
          <cell r="AM847">
            <v>2233</v>
          </cell>
          <cell r="AN847" t="str">
            <v>CHOWK DOBURJI MALLIA</v>
          </cell>
          <cell r="AO847" t="str">
            <v>Neikapura</v>
          </cell>
          <cell r="AP847" t="str">
            <v>SIALKOT</v>
          </cell>
        </row>
        <row r="848">
          <cell r="AM848">
            <v>2263</v>
          </cell>
          <cell r="AN848" t="str">
            <v>AIRPORT BRANCH SIALK</v>
          </cell>
          <cell r="AO848" t="str">
            <v>Sialkot-City</v>
          </cell>
          <cell r="AP848" t="str">
            <v>SIALKOT</v>
          </cell>
        </row>
        <row r="849">
          <cell r="AM849">
            <v>2281</v>
          </cell>
          <cell r="AN849" t="str">
            <v>COMMISSIONER ROAD BR</v>
          </cell>
          <cell r="AO849" t="str">
            <v>Circular Road - Sialkot</v>
          </cell>
          <cell r="AP849" t="str">
            <v>SIALKOT</v>
          </cell>
        </row>
        <row r="850">
          <cell r="AM850">
            <v>2319</v>
          </cell>
          <cell r="AN850" t="str">
            <v>ADDA BADIANA BRANCH</v>
          </cell>
          <cell r="AO850" t="str">
            <v>Neikapura</v>
          </cell>
          <cell r="AP850" t="str">
            <v>SIALKOT</v>
          </cell>
        </row>
        <row r="851">
          <cell r="AM851">
            <v>2324</v>
          </cell>
          <cell r="AN851" t="str">
            <v>ADALAT GARHA ,SIALKO</v>
          </cell>
          <cell r="AO851" t="str">
            <v>Sialkot-City</v>
          </cell>
          <cell r="AP851" t="str">
            <v>SIALKOT</v>
          </cell>
        </row>
        <row r="852">
          <cell r="AM852">
            <v>2364</v>
          </cell>
          <cell r="AN852" t="str">
            <v>DAMTHAL BRANCH</v>
          </cell>
          <cell r="AO852" t="str">
            <v>Narowal</v>
          </cell>
          <cell r="AP852" t="str">
            <v>SIALKOT</v>
          </cell>
        </row>
        <row r="853">
          <cell r="AM853">
            <v>2378</v>
          </cell>
          <cell r="AN853" t="str">
            <v>AKHLAS PUR ROAD BRAN</v>
          </cell>
          <cell r="AO853" t="str">
            <v>Shakargarh</v>
          </cell>
          <cell r="AP853" t="str">
            <v>SIALKOT</v>
          </cell>
        </row>
        <row r="854">
          <cell r="AM854">
            <v>2388</v>
          </cell>
          <cell r="AN854" t="str">
            <v>BHARATH BRANCH</v>
          </cell>
          <cell r="AO854" t="str">
            <v>Cantonment Sialkot</v>
          </cell>
          <cell r="AP854" t="str">
            <v>SIALKOT</v>
          </cell>
        </row>
        <row r="855">
          <cell r="AM855">
            <v>2413</v>
          </cell>
          <cell r="AN855" t="str">
            <v>ZAFARWAL BYPASS CHOW</v>
          </cell>
          <cell r="AO855" t="str">
            <v>Narowal</v>
          </cell>
          <cell r="AP855" t="str">
            <v>SIALKOT</v>
          </cell>
        </row>
        <row r="856">
          <cell r="AM856">
            <v>2478</v>
          </cell>
          <cell r="AN856" t="str">
            <v>Islam Medical Colleg</v>
          </cell>
          <cell r="AO856" t="str">
            <v>Sialkot-City</v>
          </cell>
          <cell r="AP856" t="str">
            <v>SIALKOT</v>
          </cell>
        </row>
        <row r="857">
          <cell r="AM857">
            <v>2498</v>
          </cell>
          <cell r="AN857" t="str">
            <v>Sidhra Rum</v>
          </cell>
          <cell r="AO857" t="str">
            <v>Cantonment Sialkot</v>
          </cell>
          <cell r="AP857" t="str">
            <v>SIALKOT</v>
          </cell>
        </row>
        <row r="858">
          <cell r="AM858">
            <v>109</v>
          </cell>
          <cell r="AN858" t="str">
            <v>GUJRANWALA-BANK SQUARE</v>
          </cell>
          <cell r="AO858" t="str">
            <v>Bank Square Gujranwala</v>
          </cell>
          <cell r="AP858" t="str">
            <v>GUJRANWALA</v>
          </cell>
        </row>
        <row r="859">
          <cell r="AM859">
            <v>110</v>
          </cell>
          <cell r="AN859" t="str">
            <v>GUJRANWALA-MARKET AR</v>
          </cell>
          <cell r="AO859" t="str">
            <v>Bank Square Gujranwala</v>
          </cell>
          <cell r="AP859" t="str">
            <v>GUJRANWALA</v>
          </cell>
        </row>
        <row r="860">
          <cell r="AM860">
            <v>178</v>
          </cell>
          <cell r="AN860" t="str">
            <v>KAMOKE</v>
          </cell>
          <cell r="AO860" t="str">
            <v>Shahdara</v>
          </cell>
          <cell r="AP860" t="str">
            <v>GUJRANWALA</v>
          </cell>
        </row>
        <row r="861">
          <cell r="AM861">
            <v>183</v>
          </cell>
          <cell r="AN861" t="str">
            <v>HAFIZABAD-GRAIN MARKET</v>
          </cell>
          <cell r="AO861" t="str">
            <v>Grain Market Hafizabad</v>
          </cell>
          <cell r="AP861" t="str">
            <v>GUJRANWALA</v>
          </cell>
        </row>
        <row r="862">
          <cell r="AM862">
            <v>202</v>
          </cell>
          <cell r="AN862" t="str">
            <v>SHEIKHUPURA-RAILWAY ROAD</v>
          </cell>
          <cell r="AO862" t="str">
            <v>Railway Road Sheikhupura</v>
          </cell>
          <cell r="AP862" t="str">
            <v>GUJRANWALA</v>
          </cell>
        </row>
        <row r="863">
          <cell r="AM863">
            <v>203</v>
          </cell>
          <cell r="AN863" t="str">
            <v>FAROOQABAD</v>
          </cell>
          <cell r="AO863" t="str">
            <v>Railway Road Sheikhupura</v>
          </cell>
          <cell r="AP863" t="str">
            <v>GUJRANWALA</v>
          </cell>
        </row>
        <row r="864">
          <cell r="AM864">
            <v>263</v>
          </cell>
          <cell r="AN864" t="str">
            <v>MORE EMINABAD BR</v>
          </cell>
          <cell r="AO864" t="str">
            <v>Satellite Town - Gujranwala</v>
          </cell>
          <cell r="AP864" t="str">
            <v>GUJRANWALA</v>
          </cell>
        </row>
        <row r="865">
          <cell r="AM865">
            <v>273</v>
          </cell>
          <cell r="AN865" t="str">
            <v>GUJRANWALA CANTT BR</v>
          </cell>
          <cell r="AO865" t="str">
            <v>Model Town - Gujranwala</v>
          </cell>
          <cell r="AP865" t="str">
            <v>GUJRANWALA</v>
          </cell>
        </row>
        <row r="866">
          <cell r="AM866">
            <v>366</v>
          </cell>
          <cell r="AN866" t="str">
            <v>JANDIALA SHER KHAN</v>
          </cell>
          <cell r="AO866" t="str">
            <v>Railway Road Sheikhupura</v>
          </cell>
          <cell r="AP866" t="str">
            <v>GUJRANWALA</v>
          </cell>
        </row>
        <row r="867">
          <cell r="AM867">
            <v>373</v>
          </cell>
          <cell r="AN867" t="str">
            <v>JHALLAN SALEEMPURA M</v>
          </cell>
          <cell r="AO867" t="str">
            <v>Grain Market Hafizabad</v>
          </cell>
          <cell r="AP867" t="str">
            <v>GUJRANWALA</v>
          </cell>
        </row>
        <row r="868">
          <cell r="AM868">
            <v>407</v>
          </cell>
          <cell r="AN868" t="str">
            <v>GUJRANWALA-MUHD.TUFA</v>
          </cell>
          <cell r="AO868" t="str">
            <v>Bank Square Gujranwala</v>
          </cell>
          <cell r="AP868" t="str">
            <v>GUJRANWALA</v>
          </cell>
        </row>
        <row r="869">
          <cell r="AM869">
            <v>459</v>
          </cell>
          <cell r="AN869" t="str">
            <v>MANDIALA WARRAICH</v>
          </cell>
          <cell r="AO869" t="str">
            <v>Model Town - Gujranwala</v>
          </cell>
          <cell r="AP869" t="str">
            <v>GUJRANWALA</v>
          </cell>
        </row>
        <row r="870">
          <cell r="AM870">
            <v>464</v>
          </cell>
          <cell r="AN870" t="str">
            <v>WAZIRABAD-KUTCHERY CHOWK</v>
          </cell>
          <cell r="AO870" t="str">
            <v>Katchery Chowk Wazirabad</v>
          </cell>
          <cell r="AP870" t="str">
            <v>GUJRANWALA</v>
          </cell>
        </row>
        <row r="871">
          <cell r="AM871">
            <v>493</v>
          </cell>
          <cell r="AN871" t="str">
            <v>QILA DIDAR SINGH</v>
          </cell>
          <cell r="AO871" t="str">
            <v>Grain Market Hafizabad</v>
          </cell>
          <cell r="AP871" t="str">
            <v>GUJRANWALA</v>
          </cell>
        </row>
        <row r="872">
          <cell r="AM872">
            <v>518</v>
          </cell>
          <cell r="AN872" t="str">
            <v>RAHWALI</v>
          </cell>
          <cell r="AO872" t="str">
            <v>Model Town - Gujranwala</v>
          </cell>
          <cell r="AP872" t="str">
            <v>GUJRANWALA</v>
          </cell>
        </row>
        <row r="873">
          <cell r="AM873">
            <v>561</v>
          </cell>
          <cell r="AN873" t="str">
            <v>EMINABAD</v>
          </cell>
          <cell r="AO873" t="str">
            <v>Satellite Town - Gujranwala</v>
          </cell>
          <cell r="AP873" t="str">
            <v>GUJRANWALA</v>
          </cell>
        </row>
        <row r="874">
          <cell r="AM874">
            <v>582</v>
          </cell>
          <cell r="AN874" t="str">
            <v>NOWSHERA VIRKAN</v>
          </cell>
          <cell r="AO874" t="str">
            <v>Grain Market Hafizabad</v>
          </cell>
          <cell r="AP874" t="str">
            <v>GUJRANWALA</v>
          </cell>
        </row>
        <row r="875">
          <cell r="AM875">
            <v>604</v>
          </cell>
          <cell r="AN875" t="str">
            <v>SHAHDARA, LAHORE</v>
          </cell>
          <cell r="AO875" t="str">
            <v>Shahdara</v>
          </cell>
          <cell r="AP875" t="str">
            <v>GUJRANWALA</v>
          </cell>
        </row>
        <row r="876">
          <cell r="AM876">
            <v>626</v>
          </cell>
          <cell r="AN876" t="str">
            <v>JALALPUR BHATTIAN</v>
          </cell>
          <cell r="AO876" t="str">
            <v>Grain Market Hafizabad</v>
          </cell>
          <cell r="AP876" t="str">
            <v>GUJRANWALA</v>
          </cell>
        </row>
        <row r="877">
          <cell r="AM877">
            <v>632</v>
          </cell>
          <cell r="AN877" t="str">
            <v>GUJRANWALA-OUT SIDE KHIALI GATE</v>
          </cell>
          <cell r="AO877" t="str">
            <v>Bank Square Gujranwala</v>
          </cell>
          <cell r="AP877" t="str">
            <v>GUJRANWALA</v>
          </cell>
        </row>
        <row r="878">
          <cell r="AM878">
            <v>644</v>
          </cell>
          <cell r="AN878" t="str">
            <v>MURIDKE</v>
          </cell>
          <cell r="AO878" t="str">
            <v>Shahdara</v>
          </cell>
          <cell r="AP878" t="str">
            <v>GUJRANWALA</v>
          </cell>
        </row>
        <row r="879">
          <cell r="AM879">
            <v>671</v>
          </cell>
          <cell r="AN879" t="str">
            <v>KHANQAH DOGRAN</v>
          </cell>
          <cell r="AO879" t="str">
            <v>Railway Road Sheikhupura</v>
          </cell>
          <cell r="AP879" t="str">
            <v>GUJRANWALA</v>
          </cell>
        </row>
        <row r="880">
          <cell r="AM880">
            <v>682</v>
          </cell>
          <cell r="AN880" t="str">
            <v>GUJRANWALA-G.T. ROAD</v>
          </cell>
          <cell r="AO880" t="str">
            <v>Bank Square Gujranwala</v>
          </cell>
          <cell r="AP880" t="str">
            <v>GUJRANWALA</v>
          </cell>
        </row>
        <row r="881">
          <cell r="AM881">
            <v>698</v>
          </cell>
          <cell r="AN881" t="str">
            <v>GUJRANWALA-COLLEGE ROAD</v>
          </cell>
          <cell r="AO881" t="str">
            <v>Bank Square Gujranwala</v>
          </cell>
          <cell r="AP881" t="str">
            <v>GUJRANWALA</v>
          </cell>
        </row>
        <row r="882">
          <cell r="AM882">
            <v>837</v>
          </cell>
          <cell r="AN882" t="str">
            <v>RASOOL NAGAR</v>
          </cell>
          <cell r="AO882" t="str">
            <v>Katchery Chowk Wazirabad</v>
          </cell>
          <cell r="AP882" t="str">
            <v>GUJRANWALA</v>
          </cell>
        </row>
        <row r="883">
          <cell r="AM883">
            <v>848</v>
          </cell>
          <cell r="AN883" t="str">
            <v>BHATTI  DHILWAN</v>
          </cell>
          <cell r="AO883" t="str">
            <v>Shahdara</v>
          </cell>
          <cell r="AP883" t="str">
            <v>GUJRANWALA</v>
          </cell>
        </row>
        <row r="884">
          <cell r="AM884">
            <v>850</v>
          </cell>
          <cell r="AN884" t="str">
            <v>KOT PINDI DAS</v>
          </cell>
          <cell r="AO884" t="str">
            <v>Shahdara</v>
          </cell>
          <cell r="AP884" t="str">
            <v>GUJRANWALA</v>
          </cell>
        </row>
        <row r="885">
          <cell r="AM885">
            <v>871</v>
          </cell>
          <cell r="AN885" t="str">
            <v>KOLU TARAR</v>
          </cell>
          <cell r="AO885" t="str">
            <v>Grain Market Hafizabad</v>
          </cell>
          <cell r="AP885" t="str">
            <v>GUJRANWALA</v>
          </cell>
        </row>
        <row r="886">
          <cell r="AM886">
            <v>887</v>
          </cell>
          <cell r="AN886" t="str">
            <v>JALAL BALLAGGAN</v>
          </cell>
          <cell r="AO886" t="str">
            <v>Katchery Chowk Wazirabad</v>
          </cell>
          <cell r="AP886" t="str">
            <v>GUJRANWALA</v>
          </cell>
        </row>
        <row r="887">
          <cell r="AM887">
            <v>909</v>
          </cell>
          <cell r="AN887" t="str">
            <v>FEROZE WATWAN</v>
          </cell>
          <cell r="AO887" t="str">
            <v>Railway Road Sheikhupura</v>
          </cell>
          <cell r="AP887" t="str">
            <v>GUJRANWALA</v>
          </cell>
        </row>
        <row r="888">
          <cell r="AM888">
            <v>924</v>
          </cell>
          <cell r="AN888" t="str">
            <v>WANDO</v>
          </cell>
          <cell r="AO888" t="str">
            <v>Satellite Town - Gujranwala</v>
          </cell>
          <cell r="AP888" t="str">
            <v>GUJRANWALA</v>
          </cell>
        </row>
        <row r="889">
          <cell r="AM889">
            <v>930</v>
          </cell>
          <cell r="AN889" t="str">
            <v>GUJRANWALA-SATELLITE TOWN</v>
          </cell>
          <cell r="AO889" t="str">
            <v>Satellite Town - Gujranwala</v>
          </cell>
          <cell r="AP889" t="str">
            <v>GUJRANWALA</v>
          </cell>
        </row>
        <row r="890">
          <cell r="AM890">
            <v>952</v>
          </cell>
          <cell r="AN890" t="str">
            <v>GUJRANWALA-KHIALI SHAHPUR</v>
          </cell>
          <cell r="AO890" t="str">
            <v>Satellite Town - Gujranwala</v>
          </cell>
          <cell r="AP890" t="str">
            <v>GUJRANWALA</v>
          </cell>
        </row>
        <row r="891">
          <cell r="AM891">
            <v>964</v>
          </cell>
          <cell r="AN891" t="str">
            <v>SHARAQPUR SHARIF</v>
          </cell>
          <cell r="AO891" t="str">
            <v>Shahdara</v>
          </cell>
          <cell r="AP891" t="str">
            <v>GUJRANWALA</v>
          </cell>
        </row>
        <row r="892">
          <cell r="AM892">
            <v>970</v>
          </cell>
          <cell r="AN892" t="str">
            <v>KOT ABDUL MALIK</v>
          </cell>
          <cell r="AO892" t="str">
            <v>Shahdara</v>
          </cell>
          <cell r="AP892" t="str">
            <v>GUJRANWALA</v>
          </cell>
        </row>
        <row r="893">
          <cell r="AM893">
            <v>997</v>
          </cell>
          <cell r="AN893" t="str">
            <v>MANDI FAIZABAD</v>
          </cell>
          <cell r="AO893" t="str">
            <v>Shahdara</v>
          </cell>
          <cell r="AP893" t="str">
            <v>GUJRANWALA</v>
          </cell>
        </row>
        <row r="894">
          <cell r="AM894">
            <v>1041</v>
          </cell>
          <cell r="AN894" t="str">
            <v>WARBURTON</v>
          </cell>
          <cell r="AO894" t="str">
            <v>Railway Road Sheikhupura</v>
          </cell>
          <cell r="AP894" t="str">
            <v>GUJRANWALA</v>
          </cell>
        </row>
        <row r="895">
          <cell r="AM895">
            <v>1049</v>
          </cell>
          <cell r="AN895" t="str">
            <v>GHAKHAR MANDI</v>
          </cell>
          <cell r="AO895" t="str">
            <v>Katchery Chowk Wazirabad</v>
          </cell>
          <cell r="AP895" t="str">
            <v>GUJRANWALA</v>
          </cell>
        </row>
        <row r="896">
          <cell r="AM896">
            <v>1061</v>
          </cell>
          <cell r="AN896" t="str">
            <v>GUJRANWALA-KHOKHARKI</v>
          </cell>
          <cell r="AO896" t="str">
            <v>Model Town - Gujranwala</v>
          </cell>
          <cell r="AP896" t="str">
            <v>GUJRANWALA</v>
          </cell>
        </row>
        <row r="897">
          <cell r="AM897">
            <v>1095</v>
          </cell>
          <cell r="AN897" t="str">
            <v>MANDIALA TAIGA BAZAR</v>
          </cell>
          <cell r="AO897" t="str">
            <v>Satellite Town - Gujranwala</v>
          </cell>
          <cell r="AP897" t="str">
            <v>GUJRANWALA</v>
          </cell>
        </row>
        <row r="898">
          <cell r="AM898">
            <v>1134</v>
          </cell>
          <cell r="AN898" t="str">
            <v>TALWANDI KHAJOORWALI</v>
          </cell>
          <cell r="AO898" t="str">
            <v>Katchery Chowk Wazirabad</v>
          </cell>
          <cell r="AP898" t="str">
            <v>GUJRANWALA</v>
          </cell>
        </row>
        <row r="899">
          <cell r="AM899">
            <v>1186</v>
          </cell>
          <cell r="AN899" t="str">
            <v>DHONKLE</v>
          </cell>
          <cell r="AO899" t="str">
            <v>Katchery Chowk Wazirabad</v>
          </cell>
          <cell r="AP899" t="str">
            <v>GUJRANWALA</v>
          </cell>
        </row>
        <row r="900">
          <cell r="AM900">
            <v>1195</v>
          </cell>
          <cell r="AN900" t="str">
            <v>MANDI SUKHEKI</v>
          </cell>
          <cell r="AO900" t="str">
            <v>Railway Road Sheikhupura</v>
          </cell>
          <cell r="AP900" t="str">
            <v>GUJRANWALA</v>
          </cell>
        </row>
        <row r="901">
          <cell r="AM901">
            <v>1349</v>
          </cell>
          <cell r="AN901" t="str">
            <v>ALIPUR CHATHA</v>
          </cell>
          <cell r="AO901" t="str">
            <v>Katchery Chowk Wazirabad</v>
          </cell>
          <cell r="AP901" t="str">
            <v>GUJRANWALA</v>
          </cell>
        </row>
        <row r="902">
          <cell r="AM902">
            <v>1352</v>
          </cell>
          <cell r="AN902" t="str">
            <v>GUJRANWALA-HAFIZABAD ROAD</v>
          </cell>
          <cell r="AO902" t="str">
            <v>Bank Square Gujranwala</v>
          </cell>
          <cell r="AP902" t="str">
            <v>GUJRANWALA</v>
          </cell>
        </row>
        <row r="903">
          <cell r="AM903">
            <v>1362</v>
          </cell>
          <cell r="AN903" t="str">
            <v>KOT LADHA</v>
          </cell>
          <cell r="AO903" t="str">
            <v>Grain Market Hafizabad</v>
          </cell>
          <cell r="AP903" t="str">
            <v>GUJRANWALA</v>
          </cell>
        </row>
        <row r="904">
          <cell r="AM904">
            <v>1397</v>
          </cell>
          <cell r="AN904" t="str">
            <v>KOT INAYAT KHAN</v>
          </cell>
          <cell r="AO904" t="str">
            <v>Katchery Chowk Wazirabad</v>
          </cell>
          <cell r="AP904" t="str">
            <v>GUJRANWALA</v>
          </cell>
        </row>
        <row r="905">
          <cell r="AM905">
            <v>1407</v>
          </cell>
          <cell r="AN905" t="str">
            <v>GUJRANWALA-GONDLANWALA ROAD</v>
          </cell>
          <cell r="AO905" t="str">
            <v>Model Town - Gujranwala</v>
          </cell>
          <cell r="AP905" t="str">
            <v>GUJRANWALA</v>
          </cell>
        </row>
        <row r="906">
          <cell r="AM906">
            <v>1413</v>
          </cell>
          <cell r="AN906" t="str">
            <v>SAFDARABAD</v>
          </cell>
          <cell r="AO906" t="str">
            <v>Railway Road Sheikhupura</v>
          </cell>
          <cell r="AP906" t="str">
            <v>GUJRANWALA</v>
          </cell>
        </row>
        <row r="907">
          <cell r="AM907">
            <v>1418</v>
          </cell>
          <cell r="AN907" t="str">
            <v>PINDI BHATTIAN</v>
          </cell>
          <cell r="AO907" t="str">
            <v>Grain Market Hafizabad</v>
          </cell>
          <cell r="AP907" t="str">
            <v>GUJRANWALA</v>
          </cell>
        </row>
        <row r="908">
          <cell r="AM908">
            <v>1429</v>
          </cell>
          <cell r="AN908" t="str">
            <v>GUJRANWALA-MODEL TOWN</v>
          </cell>
          <cell r="AO908" t="str">
            <v>Model Town - Gujranwala</v>
          </cell>
          <cell r="AP908" t="str">
            <v>GUJRANWALA</v>
          </cell>
        </row>
        <row r="909">
          <cell r="AM909">
            <v>1455</v>
          </cell>
          <cell r="AN909" t="str">
            <v>CIVIL LINES GUJRANWALA</v>
          </cell>
          <cell r="AO909" t="str">
            <v>Model Town - Gujranwala</v>
          </cell>
          <cell r="AP909" t="str">
            <v>GUJRANWALA</v>
          </cell>
        </row>
        <row r="910">
          <cell r="AM910">
            <v>1546</v>
          </cell>
          <cell r="AN910" t="str">
            <v>JANDIALA BAGHWALA</v>
          </cell>
          <cell r="AO910" t="str">
            <v>Satellite Town - Gujranwala</v>
          </cell>
          <cell r="AP910" t="str">
            <v>GUJRANWALA</v>
          </cell>
        </row>
        <row r="911">
          <cell r="AM911">
            <v>1547</v>
          </cell>
          <cell r="AN911" t="str">
            <v>GUJRANWALA-NOWSHERA</v>
          </cell>
          <cell r="AO911" t="str">
            <v>Bank Square Gujranwala</v>
          </cell>
          <cell r="AP911" t="str">
            <v>GUJRANWALA</v>
          </cell>
        </row>
        <row r="912">
          <cell r="AM912">
            <v>1711</v>
          </cell>
          <cell r="AN912" t="str">
            <v>SHEIKHUPURA-DISTT. C</v>
          </cell>
          <cell r="AO912" t="str">
            <v>Railway Road Sheikhupura</v>
          </cell>
          <cell r="AP912" t="str">
            <v>GUJRANWALA</v>
          </cell>
        </row>
        <row r="913">
          <cell r="AM913">
            <v>1719</v>
          </cell>
          <cell r="AN913" t="str">
            <v>KALASKAY</v>
          </cell>
          <cell r="AO913" t="str">
            <v>Katchery Chowk Wazirabad</v>
          </cell>
          <cell r="AP913" t="str">
            <v>GUJRANWALA</v>
          </cell>
        </row>
        <row r="914">
          <cell r="AM914">
            <v>1728</v>
          </cell>
          <cell r="AN914" t="str">
            <v>SHEIKHUPURA-BALL</v>
          </cell>
          <cell r="AO914" t="str">
            <v>Railway Road Sheikhupura</v>
          </cell>
          <cell r="AP914" t="str">
            <v>GUJRANWALA</v>
          </cell>
        </row>
        <row r="915">
          <cell r="AM915">
            <v>1834</v>
          </cell>
          <cell r="AN915" t="str">
            <v>SHEIKHUPURA-CIVIL QUARTERS</v>
          </cell>
          <cell r="AO915" t="str">
            <v>Railway Road Sheikhupura</v>
          </cell>
          <cell r="AP915" t="str">
            <v>GUJRANWALA</v>
          </cell>
        </row>
        <row r="916">
          <cell r="AM916">
            <v>1895</v>
          </cell>
          <cell r="AN916" t="str">
            <v>DILAWAR CHEEMA</v>
          </cell>
          <cell r="AO916" t="str">
            <v>Katchery Chowk Wazirabad</v>
          </cell>
          <cell r="AP916" t="str">
            <v>GUJRANWALA</v>
          </cell>
        </row>
        <row r="917">
          <cell r="AM917">
            <v>1912</v>
          </cell>
          <cell r="AN917" t="str">
            <v>MANDIALI SARAI</v>
          </cell>
          <cell r="AO917" t="str">
            <v>Shahdara</v>
          </cell>
          <cell r="AP917" t="str">
            <v>GUJRANWALA</v>
          </cell>
        </row>
        <row r="918">
          <cell r="AM918">
            <v>1993</v>
          </cell>
          <cell r="AN918" t="str">
            <v>GUJRANWALA-B.I.S.E.</v>
          </cell>
          <cell r="AO918" t="str">
            <v>Bank Square Gujranwala</v>
          </cell>
          <cell r="AP918" t="str">
            <v>GUJRANWALA</v>
          </cell>
        </row>
        <row r="919">
          <cell r="AM919">
            <v>2278</v>
          </cell>
          <cell r="AN919" t="str">
            <v>GHALLA MANDI JABRAN</v>
          </cell>
          <cell r="AO919" t="str">
            <v>Railway Road Sheikhupura</v>
          </cell>
          <cell r="AP919" t="str">
            <v>GUJRANWALA</v>
          </cell>
        </row>
        <row r="920">
          <cell r="AM920">
            <v>2287</v>
          </cell>
          <cell r="AN920" t="str">
            <v>WAPDA TOWN, GUJRANWA</v>
          </cell>
          <cell r="AO920" t="str">
            <v>Satellite Town - Gujranwala</v>
          </cell>
          <cell r="AP920" t="str">
            <v>GUJRANWALA</v>
          </cell>
        </row>
        <row r="921">
          <cell r="AM921">
            <v>2317</v>
          </cell>
          <cell r="AN921" t="str">
            <v>RACHNA TOWN BRANCH</v>
          </cell>
          <cell r="AO921" t="str">
            <v>Shahdara</v>
          </cell>
          <cell r="AP921" t="str">
            <v>GUJRANWALA</v>
          </cell>
        </row>
        <row r="922">
          <cell r="AM922">
            <v>2333</v>
          </cell>
          <cell r="AN922" t="str">
            <v>Gujranwala Road HAFI</v>
          </cell>
          <cell r="AO922" t="str">
            <v>Grain Market Hafizabad</v>
          </cell>
          <cell r="AP922" t="str">
            <v>GUJRANWALA</v>
          </cell>
        </row>
        <row r="923">
          <cell r="AM923">
            <v>2356</v>
          </cell>
          <cell r="AN923" t="str">
            <v>PEOPLES COLONY BRANC</v>
          </cell>
          <cell r="AO923" t="str">
            <v>Satellite Town - Gujranwala</v>
          </cell>
          <cell r="AP923" t="str">
            <v>GUJRANWALA</v>
          </cell>
        </row>
        <row r="924">
          <cell r="AM924">
            <v>2370</v>
          </cell>
          <cell r="AN924" t="str">
            <v>SHAHEENABAD BRANCH</v>
          </cell>
          <cell r="AO924" t="str">
            <v>Model Town - Gujranwala</v>
          </cell>
          <cell r="AP924" t="str">
            <v>GUJRANWALA</v>
          </cell>
        </row>
        <row r="925">
          <cell r="AM925">
            <v>2371</v>
          </cell>
          <cell r="AN925" t="str">
            <v>TATLEY AALI BRANCH</v>
          </cell>
          <cell r="AO925" t="str">
            <v>Model Town - Gujranwala</v>
          </cell>
          <cell r="AP925" t="str">
            <v>GUJRANWALA</v>
          </cell>
        </row>
        <row r="926">
          <cell r="AM926">
            <v>2400</v>
          </cell>
          <cell r="AN926" t="str">
            <v>G T ROAD ALLAHABAD B</v>
          </cell>
          <cell r="AO926" t="str">
            <v>Katchery Chowk Wazirabad</v>
          </cell>
          <cell r="AP926" t="str">
            <v>GUJRANWALA</v>
          </cell>
        </row>
        <row r="927">
          <cell r="AM927">
            <v>2415</v>
          </cell>
          <cell r="AN927" t="str">
            <v>MILLAT TRACTOR BRANC</v>
          </cell>
          <cell r="AO927" t="str">
            <v>Shahdara</v>
          </cell>
          <cell r="AP927" t="str">
            <v>GUJRANWALA</v>
          </cell>
        </row>
        <row r="928">
          <cell r="AM928">
            <v>2425</v>
          </cell>
          <cell r="AN928" t="str">
            <v>BATTI CHOWK, SHEIKHUPURA</v>
          </cell>
          <cell r="AO928" t="str">
            <v>Railway Road Sheikhupura</v>
          </cell>
          <cell r="AP928" t="str">
            <v>GUJRANWALA</v>
          </cell>
        </row>
        <row r="929">
          <cell r="AM929">
            <v>111</v>
          </cell>
          <cell r="AN929" t="str">
            <v>CIRCULAR ROAD BR GUJ</v>
          </cell>
          <cell r="AO929" t="str">
            <v>Gujrat City Area</v>
          </cell>
          <cell r="AP929" t="str">
            <v>GUJRAT</v>
          </cell>
        </row>
        <row r="930">
          <cell r="AM930">
            <v>177</v>
          </cell>
          <cell r="AN930" t="str">
            <v>KUTCHERY RD, MANDI BAHAUDDIN</v>
          </cell>
          <cell r="AO930" t="str">
            <v>M B Din Area</v>
          </cell>
          <cell r="AP930" t="str">
            <v>GUJRAT</v>
          </cell>
        </row>
        <row r="931">
          <cell r="AM931">
            <v>257</v>
          </cell>
          <cell r="AN931" t="str">
            <v>GULYANA</v>
          </cell>
          <cell r="AO931" t="str">
            <v>G T Road Lalamusa Area</v>
          </cell>
          <cell r="AP931" t="str">
            <v>GUJRAT</v>
          </cell>
        </row>
        <row r="932">
          <cell r="AM932">
            <v>290</v>
          </cell>
          <cell r="AN932" t="str">
            <v>KUTCHERY CHOWK GUJRAT</v>
          </cell>
          <cell r="AO932" t="str">
            <v>Kutchery Chowk</v>
          </cell>
          <cell r="AP932" t="str">
            <v>GUJRAT</v>
          </cell>
        </row>
        <row r="933">
          <cell r="AM933">
            <v>303</v>
          </cell>
          <cell r="AN933" t="str">
            <v>MANGAT</v>
          </cell>
          <cell r="AO933" t="str">
            <v>M B Din Area</v>
          </cell>
          <cell r="AP933" t="str">
            <v>GUJRAT</v>
          </cell>
        </row>
        <row r="934">
          <cell r="AM934">
            <v>309</v>
          </cell>
          <cell r="AN934" t="str">
            <v>GHURKO</v>
          </cell>
          <cell r="AO934" t="str">
            <v>Kharian Cantt Area</v>
          </cell>
          <cell r="AP934" t="str">
            <v>GUJRAT</v>
          </cell>
        </row>
        <row r="935">
          <cell r="AM935">
            <v>375</v>
          </cell>
          <cell r="AN935" t="str">
            <v>DHUNNI</v>
          </cell>
          <cell r="AO935" t="str">
            <v>Kharian Cantt Area</v>
          </cell>
          <cell r="AP935" t="str">
            <v>GUJRAT</v>
          </cell>
        </row>
        <row r="936">
          <cell r="AM936">
            <v>378</v>
          </cell>
          <cell r="AN936" t="str">
            <v>KHARIAN CITY</v>
          </cell>
          <cell r="AO936" t="str">
            <v>Kharian Cantt Area</v>
          </cell>
          <cell r="AP936" t="str">
            <v>GUJRAT</v>
          </cell>
        </row>
        <row r="937">
          <cell r="AM937">
            <v>385</v>
          </cell>
          <cell r="AN937" t="str">
            <v>HARIAWALA</v>
          </cell>
          <cell r="AO937" t="str">
            <v>Kutchery Chowk</v>
          </cell>
          <cell r="AP937" t="str">
            <v>GUJRAT</v>
          </cell>
        </row>
        <row r="938">
          <cell r="AM938">
            <v>396</v>
          </cell>
          <cell r="AN938" t="str">
            <v>JALALPUR JATTAN-MAIN</v>
          </cell>
          <cell r="AO938" t="str">
            <v>Jalalpur Jattan Area</v>
          </cell>
          <cell r="AP938" t="str">
            <v>GUJRAT</v>
          </cell>
        </row>
        <row r="939">
          <cell r="AM939">
            <v>405</v>
          </cell>
          <cell r="AN939" t="str">
            <v>RAILWAY ROAD, GUJRAT</v>
          </cell>
          <cell r="AO939" t="str">
            <v>Gujrat City Area</v>
          </cell>
          <cell r="AP939" t="str">
            <v>GUJRAT</v>
          </cell>
        </row>
        <row r="940">
          <cell r="AM940">
            <v>466</v>
          </cell>
          <cell r="AN940" t="str">
            <v>LALA MUSA G.T. ROAD</v>
          </cell>
          <cell r="AO940" t="str">
            <v>G T Road Lalamusa Area</v>
          </cell>
          <cell r="AP940" t="str">
            <v>GUJRAT</v>
          </cell>
        </row>
        <row r="941">
          <cell r="AM941">
            <v>560</v>
          </cell>
          <cell r="AN941" t="str">
            <v>GOJRA DISTT. MANDI BAHAUDDIN</v>
          </cell>
          <cell r="AO941" t="str">
            <v>M B Din Area</v>
          </cell>
          <cell r="AP941" t="str">
            <v>GUJRAT</v>
          </cell>
        </row>
        <row r="942">
          <cell r="AM942">
            <v>592</v>
          </cell>
          <cell r="AN942" t="str">
            <v>DAULAT NAGAR</v>
          </cell>
          <cell r="AO942" t="str">
            <v>Jalalpur Jattan Area</v>
          </cell>
          <cell r="AP942" t="str">
            <v>GUJRAT</v>
          </cell>
        </row>
        <row r="943">
          <cell r="AM943">
            <v>624</v>
          </cell>
          <cell r="AN943" t="str">
            <v>KUTHIALA SAIDAN,SHAH</v>
          </cell>
          <cell r="AO943" t="str">
            <v>M B Din Area</v>
          </cell>
          <cell r="AP943" t="str">
            <v>GUJRAT</v>
          </cell>
        </row>
        <row r="944">
          <cell r="AM944">
            <v>658</v>
          </cell>
          <cell r="AN944" t="str">
            <v>SARAI ALAMGIR-MAIN BAZAR</v>
          </cell>
          <cell r="AO944" t="str">
            <v>Sarai Alamgir Area</v>
          </cell>
          <cell r="AP944" t="str">
            <v>GUJRAT</v>
          </cell>
        </row>
        <row r="945">
          <cell r="AM945">
            <v>823</v>
          </cell>
          <cell r="AN945" t="str">
            <v>MANGOWAL</v>
          </cell>
          <cell r="AO945" t="str">
            <v>Mangowal</v>
          </cell>
          <cell r="AP945" t="str">
            <v>GUJRAT</v>
          </cell>
        </row>
        <row r="946">
          <cell r="AM946">
            <v>867</v>
          </cell>
          <cell r="AN946" t="str">
            <v>SOHAWA BOLANI</v>
          </cell>
          <cell r="AO946" t="str">
            <v>M B Din Area</v>
          </cell>
          <cell r="AP946" t="str">
            <v>GUJRAT</v>
          </cell>
        </row>
        <row r="947">
          <cell r="AM947">
            <v>957</v>
          </cell>
          <cell r="AN947" t="str">
            <v>KOTLA, KHARIAN</v>
          </cell>
          <cell r="AO947" t="str">
            <v>Kutchery Chowk</v>
          </cell>
          <cell r="AP947" t="str">
            <v>GUJRAT</v>
          </cell>
        </row>
        <row r="948">
          <cell r="AM948">
            <v>1010</v>
          </cell>
          <cell r="AN948" t="str">
            <v>PERO SHAH</v>
          </cell>
          <cell r="AO948" t="str">
            <v>Jalalpur Jattan Area</v>
          </cell>
          <cell r="AP948" t="str">
            <v>GUJRAT</v>
          </cell>
        </row>
        <row r="949">
          <cell r="AM949">
            <v>1036</v>
          </cell>
          <cell r="AN949" t="str">
            <v>CHAK KALA</v>
          </cell>
          <cell r="AO949" t="str">
            <v>Kutchery Chowk</v>
          </cell>
          <cell r="AP949" t="str">
            <v>GUJRAT</v>
          </cell>
        </row>
        <row r="950">
          <cell r="AM950">
            <v>1045</v>
          </cell>
          <cell r="AN950" t="str">
            <v>MANDIR</v>
          </cell>
          <cell r="AO950" t="str">
            <v>Sarai Alamgir Area</v>
          </cell>
          <cell r="AP950" t="str">
            <v>GUJRAT</v>
          </cell>
        </row>
        <row r="951">
          <cell r="AM951">
            <v>1064</v>
          </cell>
          <cell r="AN951" t="str">
            <v>DINGA</v>
          </cell>
          <cell r="AO951" t="str">
            <v>Mangowal</v>
          </cell>
          <cell r="AP951" t="str">
            <v>GUJRAT</v>
          </cell>
        </row>
        <row r="952">
          <cell r="AM952">
            <v>1071</v>
          </cell>
          <cell r="AN952" t="str">
            <v>PANJAN KASSANA</v>
          </cell>
          <cell r="AO952" t="str">
            <v>G T Road Lalamusa Area</v>
          </cell>
          <cell r="AP952" t="str">
            <v>GUJRAT</v>
          </cell>
        </row>
        <row r="953">
          <cell r="AM953">
            <v>1128</v>
          </cell>
          <cell r="AN953" t="str">
            <v>KHOHAR, SARAI ALAMGI</v>
          </cell>
          <cell r="AO953" t="str">
            <v>Sarai Alamgir Area</v>
          </cell>
          <cell r="AP953" t="str">
            <v>GUJRAT</v>
          </cell>
        </row>
        <row r="954">
          <cell r="AM954">
            <v>1144</v>
          </cell>
          <cell r="AN954" t="str">
            <v>BHAKREY  WALI</v>
          </cell>
          <cell r="AO954" t="str">
            <v>Jalalpur Jattan Area</v>
          </cell>
          <cell r="AP954" t="str">
            <v>GUJRAT</v>
          </cell>
        </row>
        <row r="955">
          <cell r="AM955">
            <v>1170</v>
          </cell>
          <cell r="AN955" t="str">
            <v>NAROWALI SARGODHA RD, GUJRAT</v>
          </cell>
          <cell r="AO955" t="str">
            <v>Kutchery Chowk</v>
          </cell>
          <cell r="AP955" t="str">
            <v>GUJRAT</v>
          </cell>
        </row>
        <row r="956">
          <cell r="AM956">
            <v>1173</v>
          </cell>
          <cell r="AN956" t="str">
            <v>SAADATPUR, SARAI ALA</v>
          </cell>
          <cell r="AO956" t="str">
            <v>Sarai Alamgir Area</v>
          </cell>
          <cell r="AP956" t="str">
            <v>GUJRAT</v>
          </cell>
        </row>
        <row r="957">
          <cell r="AM957">
            <v>1175</v>
          </cell>
          <cell r="AN957" t="str">
            <v>AWAN SHARIF</v>
          </cell>
          <cell r="AO957" t="str">
            <v>Jalalpur Jattan Area</v>
          </cell>
          <cell r="AP957" t="str">
            <v>GUJRAT</v>
          </cell>
        </row>
        <row r="958">
          <cell r="AM958">
            <v>1196</v>
          </cell>
          <cell r="AN958" t="str">
            <v>QASBA KARYALI</v>
          </cell>
          <cell r="AO958" t="str">
            <v>Sarai Alamgir Area</v>
          </cell>
          <cell r="AP958" t="str">
            <v>GUJRAT</v>
          </cell>
        </row>
        <row r="959">
          <cell r="AM959">
            <v>1199</v>
          </cell>
          <cell r="AN959" t="str">
            <v>BULANI, SARAI ALAMGI</v>
          </cell>
          <cell r="AO959" t="str">
            <v>Sarai Alamgir Area</v>
          </cell>
          <cell r="AP959" t="str">
            <v>GUJRAT</v>
          </cell>
        </row>
        <row r="960">
          <cell r="AM960">
            <v>1228</v>
          </cell>
          <cell r="AN960" t="str">
            <v>KHARIAN CANTT.</v>
          </cell>
          <cell r="AO960" t="str">
            <v>Kharian Cantt Area</v>
          </cell>
          <cell r="AP960" t="str">
            <v>GUJRAT</v>
          </cell>
        </row>
        <row r="961">
          <cell r="AM961">
            <v>1231</v>
          </cell>
          <cell r="AN961" t="str">
            <v>PAKISTAN CHOWK. GUJRAT</v>
          </cell>
          <cell r="AO961" t="str">
            <v>Gujrat City Area</v>
          </cell>
          <cell r="AP961" t="str">
            <v>GUJRAT</v>
          </cell>
        </row>
        <row r="962">
          <cell r="AM962">
            <v>1370</v>
          </cell>
          <cell r="AN962" t="str">
            <v>SERVICE MORE GUJRAT</v>
          </cell>
          <cell r="AO962" t="str">
            <v>Gujrat City Area</v>
          </cell>
          <cell r="AP962" t="str">
            <v>GUJRAT</v>
          </cell>
        </row>
        <row r="963">
          <cell r="AM963">
            <v>1375</v>
          </cell>
          <cell r="AN963" t="str">
            <v>HELAN</v>
          </cell>
          <cell r="AO963" t="str">
            <v>Mangowal</v>
          </cell>
          <cell r="AP963" t="str">
            <v>GUJRAT</v>
          </cell>
        </row>
        <row r="964">
          <cell r="AM964">
            <v>1381</v>
          </cell>
          <cell r="AN964" t="str">
            <v>SAROKI</v>
          </cell>
          <cell r="AO964" t="str">
            <v>Mangowal</v>
          </cell>
          <cell r="AP964" t="str">
            <v>GUJRAT</v>
          </cell>
        </row>
        <row r="965">
          <cell r="AM965">
            <v>1420</v>
          </cell>
          <cell r="AN965" t="str">
            <v>SMALL INDUSTRIAL ESTATE GUJRAT</v>
          </cell>
          <cell r="AO965" t="str">
            <v>Gujrat City Area</v>
          </cell>
          <cell r="AP965" t="str">
            <v>GUJRAT</v>
          </cell>
        </row>
        <row r="966">
          <cell r="AM966">
            <v>1449</v>
          </cell>
          <cell r="AN966" t="str">
            <v>GUJRAT-G.T. ROAD</v>
          </cell>
          <cell r="AO966" t="str">
            <v>Kutchery Chowk</v>
          </cell>
          <cell r="AP966" t="str">
            <v>GUJRAT</v>
          </cell>
        </row>
        <row r="967">
          <cell r="AM967">
            <v>1451</v>
          </cell>
          <cell r="AN967" t="str">
            <v>GUJRAT-FAISAL GATE</v>
          </cell>
          <cell r="AO967" t="str">
            <v>Gujrat City Area</v>
          </cell>
          <cell r="AP967" t="str">
            <v>GUJRAT</v>
          </cell>
        </row>
        <row r="968">
          <cell r="AM968">
            <v>1452</v>
          </cell>
          <cell r="AN968" t="str">
            <v>KABLI GATE, GUJRAT</v>
          </cell>
          <cell r="AO968" t="str">
            <v>Kutchery Chowk</v>
          </cell>
          <cell r="AP968" t="str">
            <v>GUJRAT</v>
          </cell>
        </row>
        <row r="969">
          <cell r="AM969">
            <v>1563</v>
          </cell>
          <cell r="AN969" t="str">
            <v>CHOA KARYALA</v>
          </cell>
          <cell r="AO969" t="str">
            <v>Sarai Alamgir Area</v>
          </cell>
          <cell r="AP969" t="str">
            <v>GUJRAT</v>
          </cell>
        </row>
        <row r="970">
          <cell r="AM970">
            <v>1570</v>
          </cell>
          <cell r="AN970" t="str">
            <v>CHAK KAMAL</v>
          </cell>
          <cell r="AO970" t="str">
            <v>Kharian Cantt Area</v>
          </cell>
          <cell r="AP970" t="str">
            <v>GUJRAT</v>
          </cell>
        </row>
        <row r="971">
          <cell r="AM971">
            <v>1591</v>
          </cell>
          <cell r="AN971" t="str">
            <v>HAJIWALA</v>
          </cell>
          <cell r="AO971" t="str">
            <v>Jalalpur Jattan Area</v>
          </cell>
          <cell r="AP971" t="str">
            <v>GUJRAT</v>
          </cell>
        </row>
        <row r="972">
          <cell r="AM972">
            <v>1592</v>
          </cell>
          <cell r="AN972" t="str">
            <v>GHAKHAR</v>
          </cell>
          <cell r="AO972" t="str">
            <v>Kharian Cantt Area</v>
          </cell>
          <cell r="AP972" t="str">
            <v>GUJRAT</v>
          </cell>
        </row>
        <row r="973">
          <cell r="AM973">
            <v>1621</v>
          </cell>
          <cell r="AN973" t="str">
            <v>BANNIA</v>
          </cell>
          <cell r="AO973" t="str">
            <v>G T Road Lalamusa Area</v>
          </cell>
          <cell r="AP973" t="str">
            <v>GUJRAT</v>
          </cell>
        </row>
        <row r="974">
          <cell r="AM974">
            <v>1622</v>
          </cell>
          <cell r="AN974" t="str">
            <v>KUNJAH</v>
          </cell>
          <cell r="AO974" t="str">
            <v>Mangowal</v>
          </cell>
          <cell r="AP974" t="str">
            <v>GUJRAT</v>
          </cell>
        </row>
        <row r="975">
          <cell r="AM975">
            <v>1623</v>
          </cell>
          <cell r="AN975" t="str">
            <v>MALIKWAL</v>
          </cell>
          <cell r="AO975" t="str">
            <v>M B Din Area</v>
          </cell>
          <cell r="AP975" t="str">
            <v>GUJRAT</v>
          </cell>
        </row>
        <row r="976">
          <cell r="AM976">
            <v>1624</v>
          </cell>
          <cell r="AN976" t="str">
            <v>MAIN BAZAR, LALA MUSA</v>
          </cell>
          <cell r="AO976" t="str">
            <v>G T Road Lalamusa Area</v>
          </cell>
          <cell r="AP976" t="str">
            <v>GUJRAT</v>
          </cell>
        </row>
        <row r="977">
          <cell r="AM977">
            <v>1685</v>
          </cell>
          <cell r="AN977" t="str">
            <v>MOTA, (TANDA)</v>
          </cell>
          <cell r="AO977" t="str">
            <v>Jalalpur Jattan Area</v>
          </cell>
          <cell r="AP977" t="str">
            <v>GUJRAT</v>
          </cell>
        </row>
        <row r="978">
          <cell r="AM978">
            <v>1705</v>
          </cell>
          <cell r="AN978" t="str">
            <v>HEAD FAQIRIAN</v>
          </cell>
          <cell r="AO978" t="str">
            <v>M B Din Area</v>
          </cell>
          <cell r="AP978" t="str">
            <v>GUJRAT</v>
          </cell>
        </row>
        <row r="979">
          <cell r="AM979">
            <v>1707</v>
          </cell>
          <cell r="AN979" t="str">
            <v>BANGIAL DISTT. GUJRA</v>
          </cell>
          <cell r="AO979" t="str">
            <v>G T Road Lalamusa Area</v>
          </cell>
          <cell r="AP979" t="str">
            <v>GUJRAT</v>
          </cell>
        </row>
        <row r="980">
          <cell r="AM980">
            <v>1709</v>
          </cell>
          <cell r="AN980" t="str">
            <v>LALA MUSA-CHANDNI CH</v>
          </cell>
          <cell r="AO980" t="str">
            <v>G T Road Lalamusa Area</v>
          </cell>
          <cell r="AP980" t="str">
            <v>GUJRAT</v>
          </cell>
        </row>
        <row r="981">
          <cell r="AM981">
            <v>1710</v>
          </cell>
          <cell r="AN981" t="str">
            <v>KHANPUR KHAMBI</v>
          </cell>
          <cell r="AO981" t="str">
            <v>Sarai Alamgir Area</v>
          </cell>
          <cell r="AP981" t="str">
            <v>GUJRAT</v>
          </cell>
        </row>
        <row r="982">
          <cell r="AM982">
            <v>1723</v>
          </cell>
          <cell r="AN982" t="str">
            <v>MAIN BAZAL SATTARPURA</v>
          </cell>
          <cell r="AO982" t="str">
            <v>Kharian Cantt Area</v>
          </cell>
          <cell r="AP982" t="str">
            <v>GUJRAT</v>
          </cell>
        </row>
        <row r="983">
          <cell r="AM983">
            <v>1870</v>
          </cell>
          <cell r="AN983" t="str">
            <v>BHATTIAN</v>
          </cell>
          <cell r="AO983" t="str">
            <v>G T Road Lalamusa Area</v>
          </cell>
          <cell r="AP983" t="str">
            <v>GUJRAT</v>
          </cell>
        </row>
        <row r="984">
          <cell r="AM984">
            <v>1871</v>
          </cell>
          <cell r="AN984" t="str">
            <v>KARNANA</v>
          </cell>
          <cell r="AO984" t="str">
            <v>Kharian Cantt Area</v>
          </cell>
          <cell r="AP984" t="str">
            <v>GUJRAT</v>
          </cell>
        </row>
        <row r="985">
          <cell r="AM985">
            <v>1873</v>
          </cell>
          <cell r="AN985" t="str">
            <v>MOJIANWALA</v>
          </cell>
          <cell r="AO985" t="str">
            <v>M B Din Area</v>
          </cell>
          <cell r="AP985" t="str">
            <v>GUJRAT</v>
          </cell>
        </row>
        <row r="986">
          <cell r="AM986">
            <v>1949</v>
          </cell>
          <cell r="AN986" t="str">
            <v>LANGAY</v>
          </cell>
          <cell r="AO986" t="str">
            <v>Mangowal</v>
          </cell>
          <cell r="AP986" t="str">
            <v>GUJRAT</v>
          </cell>
        </row>
        <row r="987">
          <cell r="AM987">
            <v>1954</v>
          </cell>
          <cell r="AN987" t="str">
            <v>KHOJA</v>
          </cell>
          <cell r="AO987" t="str">
            <v>Mangowal</v>
          </cell>
          <cell r="AP987" t="str">
            <v>GUJRAT</v>
          </cell>
        </row>
        <row r="988">
          <cell r="AM988">
            <v>1989</v>
          </cell>
          <cell r="AN988" t="str">
            <v>MAIN BAZAR, PHALIA</v>
          </cell>
          <cell r="AO988" t="str">
            <v>Mangowal</v>
          </cell>
          <cell r="AP988" t="str">
            <v>GUJRAT</v>
          </cell>
        </row>
        <row r="989">
          <cell r="AM989">
            <v>2222</v>
          </cell>
          <cell r="AN989" t="str">
            <v>SARAI ALAMGIR-PAKIST</v>
          </cell>
          <cell r="AO989" t="str">
            <v>Sarai Alamgir Area</v>
          </cell>
          <cell r="AP989" t="str">
            <v>GUJRAT</v>
          </cell>
        </row>
        <row r="990">
          <cell r="AM990">
            <v>2236</v>
          </cell>
          <cell r="AN990" t="str">
            <v>KOTLI KOHALA</v>
          </cell>
          <cell r="AO990" t="str">
            <v>Jalalpur Jattan Area</v>
          </cell>
          <cell r="AP990" t="str">
            <v>GUJRAT</v>
          </cell>
        </row>
        <row r="991">
          <cell r="AM991">
            <v>2260</v>
          </cell>
          <cell r="AN991" t="str">
            <v>MANDI BAHAUDDIN-PHAL</v>
          </cell>
          <cell r="AO991" t="str">
            <v>M B Din Area</v>
          </cell>
          <cell r="AP991" t="str">
            <v>GUJRAT</v>
          </cell>
        </row>
        <row r="992">
          <cell r="AM992">
            <v>2288</v>
          </cell>
          <cell r="AN992" t="str">
            <v>FURNITURE MARKET BRA</v>
          </cell>
          <cell r="AO992" t="str">
            <v>Gujrat City Area</v>
          </cell>
          <cell r="AP992" t="str">
            <v>GUJRAT</v>
          </cell>
        </row>
        <row r="993">
          <cell r="AM993">
            <v>2296</v>
          </cell>
          <cell r="AN993" t="str">
            <v>MAHLOO KHOKHAR</v>
          </cell>
          <cell r="AO993" t="str">
            <v>Kutchery Chowk</v>
          </cell>
          <cell r="AP993" t="str">
            <v>GUJRAT</v>
          </cell>
        </row>
        <row r="994">
          <cell r="AM994">
            <v>2316</v>
          </cell>
          <cell r="AN994" t="str">
            <v>KARIANWALA BRANCH</v>
          </cell>
          <cell r="AO994" t="str">
            <v>Jalalpur Jattan Area</v>
          </cell>
          <cell r="AP994" t="str">
            <v>GUJRAT</v>
          </cell>
        </row>
        <row r="995">
          <cell r="AM995">
            <v>2351</v>
          </cell>
          <cell r="AN995" t="str">
            <v>Pahrinwali Mandi Bah</v>
          </cell>
          <cell r="AO995" t="str">
            <v>Mangowal</v>
          </cell>
          <cell r="AP995" t="str">
            <v>GUJRAT</v>
          </cell>
        </row>
        <row r="996">
          <cell r="AM996">
            <v>2368</v>
          </cell>
          <cell r="AN996" t="str">
            <v>FATEHPUR BRANCH</v>
          </cell>
          <cell r="AO996" t="str">
            <v>Kutchery Chowk</v>
          </cell>
          <cell r="AP996" t="str">
            <v>GUJRAT</v>
          </cell>
        </row>
        <row r="997">
          <cell r="AM997">
            <v>2402</v>
          </cell>
          <cell r="AN997" t="str">
            <v>DINDY NIZAM BRANCH</v>
          </cell>
          <cell r="AO997" t="str">
            <v>Sarai Alamgir Area</v>
          </cell>
          <cell r="AP997" t="str">
            <v>GUJRAT</v>
          </cell>
        </row>
        <row r="998">
          <cell r="AM998">
            <v>2422</v>
          </cell>
          <cell r="AN998" t="str">
            <v>UNIVERSITY ROAD BRAN</v>
          </cell>
          <cell r="AO998" t="str">
            <v>Kutchery Chowk</v>
          </cell>
          <cell r="AP998" t="str">
            <v>GUJRAT</v>
          </cell>
        </row>
        <row r="999">
          <cell r="AM999">
            <v>115</v>
          </cell>
          <cell r="AN999" t="str">
            <v>G.T. Road Branch Jhelum</v>
          </cell>
          <cell r="AO999" t="str">
            <v>Jhelum-Cantt</v>
          </cell>
          <cell r="AP999" t="str">
            <v>JHELUM</v>
          </cell>
        </row>
        <row r="1000">
          <cell r="AM1000">
            <v>116</v>
          </cell>
          <cell r="AN1000" t="str">
            <v>Main Branch Jhleum</v>
          </cell>
          <cell r="AO1000" t="str">
            <v>Ram Din Bazar</v>
          </cell>
          <cell r="AP1000" t="str">
            <v>JHELUM</v>
          </cell>
        </row>
        <row r="1001">
          <cell r="AM1001">
            <v>168</v>
          </cell>
          <cell r="AN1001" t="str">
            <v>TALAGANG</v>
          </cell>
          <cell r="AO1001" t="str">
            <v>Talagang</v>
          </cell>
          <cell r="AP1001" t="str">
            <v>JHELUM</v>
          </cell>
        </row>
        <row r="1002">
          <cell r="AM1002">
            <v>189</v>
          </cell>
          <cell r="AN1002" t="str">
            <v>PINDI GHEB</v>
          </cell>
          <cell r="AO1002" t="str">
            <v>Pindi Gheb</v>
          </cell>
          <cell r="AP1002" t="str">
            <v>JHELUM</v>
          </cell>
        </row>
        <row r="1003">
          <cell r="AM1003">
            <v>318</v>
          </cell>
          <cell r="AN1003" t="str">
            <v>LARKARMAR, JAND</v>
          </cell>
          <cell r="AO1003" t="str">
            <v>Pindi Gheb</v>
          </cell>
          <cell r="AP1003" t="str">
            <v>JHELUM</v>
          </cell>
        </row>
        <row r="1004">
          <cell r="AM1004">
            <v>319</v>
          </cell>
          <cell r="AN1004" t="str">
            <v>THATTA DISTT. ATTOCK</v>
          </cell>
          <cell r="AO1004" t="str">
            <v>Pindi Gheb</v>
          </cell>
          <cell r="AP1004" t="str">
            <v>JHELUM</v>
          </cell>
        </row>
        <row r="1005">
          <cell r="AM1005">
            <v>322</v>
          </cell>
          <cell r="AN1005" t="str">
            <v>THOA MEHRAM KHAN</v>
          </cell>
          <cell r="AO1005" t="str">
            <v>Talagang</v>
          </cell>
          <cell r="AP1005" t="str">
            <v>JHELUM</v>
          </cell>
        </row>
        <row r="1006">
          <cell r="AM1006">
            <v>372</v>
          </cell>
          <cell r="AN1006" t="str">
            <v>OUDHARWAL</v>
          </cell>
          <cell r="AO1006" t="str">
            <v>Bhoun Chowk Chakwal</v>
          </cell>
          <cell r="AP1006" t="str">
            <v>JHELUM</v>
          </cell>
        </row>
        <row r="1007">
          <cell r="AM1007">
            <v>388</v>
          </cell>
          <cell r="AN1007" t="str">
            <v>MOTA GHARBI</v>
          </cell>
          <cell r="AO1007" t="str">
            <v>Dina</v>
          </cell>
          <cell r="AP1007" t="str">
            <v>JHELUM</v>
          </cell>
        </row>
        <row r="1008">
          <cell r="AM1008">
            <v>394</v>
          </cell>
          <cell r="AN1008" t="str">
            <v>MAMYAN, JHELUM</v>
          </cell>
          <cell r="AO1008" t="str">
            <v>Jhelum-Cantt</v>
          </cell>
          <cell r="AP1008" t="str">
            <v>JHELUM</v>
          </cell>
        </row>
        <row r="1009">
          <cell r="AM1009">
            <v>427</v>
          </cell>
          <cell r="AN1009" t="str">
            <v>G.T. ROAD, GUJAR KHAN</v>
          </cell>
          <cell r="AO1009" t="str">
            <v>G.T. Road Gujar Khan</v>
          </cell>
          <cell r="AP1009" t="str">
            <v>JHELUM</v>
          </cell>
        </row>
        <row r="1010">
          <cell r="AM1010">
            <v>467</v>
          </cell>
          <cell r="AN1010" t="str">
            <v>BEWAL</v>
          </cell>
          <cell r="AO1010" t="str">
            <v>Kallar Saiday</v>
          </cell>
          <cell r="AP1010" t="str">
            <v>JHELUM</v>
          </cell>
        </row>
        <row r="1011">
          <cell r="AM1011">
            <v>488</v>
          </cell>
          <cell r="AN1011" t="str">
            <v>DINA</v>
          </cell>
          <cell r="AO1011" t="str">
            <v>Dina</v>
          </cell>
          <cell r="AP1011" t="str">
            <v>JHELUM</v>
          </cell>
        </row>
        <row r="1012">
          <cell r="AM1012">
            <v>491</v>
          </cell>
          <cell r="AN1012" t="str">
            <v>KHUKHA</v>
          </cell>
          <cell r="AO1012" t="str">
            <v>Dina</v>
          </cell>
          <cell r="AP1012" t="str">
            <v>JHELUM</v>
          </cell>
        </row>
        <row r="1013">
          <cell r="AM1013">
            <v>534</v>
          </cell>
          <cell r="AN1013" t="str">
            <v>BHOUN CHOWK, CHAKWAL</v>
          </cell>
          <cell r="AO1013" t="str">
            <v>Bhoun Chowk Chakwal</v>
          </cell>
          <cell r="AP1013" t="str">
            <v>JHELUM</v>
          </cell>
        </row>
        <row r="1014">
          <cell r="AM1014">
            <v>655</v>
          </cell>
          <cell r="AN1014" t="str">
            <v>JHUNGLE, GUJAR KHAN</v>
          </cell>
          <cell r="AO1014" t="str">
            <v>G.T. Road Gujar Khan</v>
          </cell>
          <cell r="AP1014" t="str">
            <v>JHELUM</v>
          </cell>
        </row>
        <row r="1015">
          <cell r="AM1015">
            <v>659</v>
          </cell>
          <cell r="AN1015" t="str">
            <v>ISLAMPUR JABBAR</v>
          </cell>
          <cell r="AO1015" t="str">
            <v>Kallar Saiday</v>
          </cell>
          <cell r="AP1015" t="str">
            <v>JHELUM</v>
          </cell>
        </row>
        <row r="1016">
          <cell r="AM1016">
            <v>816</v>
          </cell>
          <cell r="AN1016" t="str">
            <v>BUCHAL KALAN</v>
          </cell>
          <cell r="AO1016" t="str">
            <v>Bhoun Chowk Chakwal</v>
          </cell>
          <cell r="AP1016" t="str">
            <v>JHELUM</v>
          </cell>
        </row>
        <row r="1017">
          <cell r="AM1017">
            <v>817</v>
          </cell>
          <cell r="AN1017" t="str">
            <v>DOMELI</v>
          </cell>
          <cell r="AO1017" t="str">
            <v>Dina</v>
          </cell>
          <cell r="AP1017" t="str">
            <v>JHELUM</v>
          </cell>
        </row>
        <row r="1018">
          <cell r="AM1018">
            <v>820</v>
          </cell>
          <cell r="AN1018" t="str">
            <v>PADSHAHAN, CHAKWAL</v>
          </cell>
          <cell r="AO1018" t="str">
            <v>Bhoun Chowk Chakwal</v>
          </cell>
          <cell r="AP1018" t="str">
            <v>JHELUM</v>
          </cell>
        </row>
        <row r="1019">
          <cell r="AM1019">
            <v>843</v>
          </cell>
          <cell r="AN1019" t="str">
            <v>SABZI MANDI, GUJAR KHAN</v>
          </cell>
          <cell r="AO1019" t="str">
            <v>G.T. Road Gujar Khan</v>
          </cell>
          <cell r="AP1019" t="str">
            <v>JHELUM</v>
          </cell>
        </row>
        <row r="1020">
          <cell r="AM1020">
            <v>868</v>
          </cell>
          <cell r="AN1020" t="str">
            <v>JHELUM-MACHINE MOHAL</v>
          </cell>
          <cell r="AO1020" t="str">
            <v>Ram Din Bazar</v>
          </cell>
          <cell r="AP1020" t="str">
            <v>JHELUM</v>
          </cell>
        </row>
        <row r="1021">
          <cell r="AM1021">
            <v>886</v>
          </cell>
          <cell r="AN1021" t="str">
            <v>KHAUR</v>
          </cell>
          <cell r="AO1021" t="str">
            <v>Pindi Gheb</v>
          </cell>
          <cell r="AP1021" t="str">
            <v>JHELUM</v>
          </cell>
        </row>
        <row r="1022">
          <cell r="AM1022">
            <v>919</v>
          </cell>
          <cell r="AN1022" t="str">
            <v>MIRIGALA MANGRAL</v>
          </cell>
          <cell r="AO1022" t="str">
            <v>Kallar Saiday</v>
          </cell>
          <cell r="AP1022" t="str">
            <v>JHELUM</v>
          </cell>
        </row>
        <row r="1023">
          <cell r="AM1023">
            <v>925</v>
          </cell>
          <cell r="AN1023" t="str">
            <v>BASALI, RAWALPINDI</v>
          </cell>
          <cell r="AO1023" t="str">
            <v>G.T. Road Gujar Khan</v>
          </cell>
          <cell r="AP1023" t="str">
            <v>JHELUM</v>
          </cell>
        </row>
        <row r="1024">
          <cell r="AM1024">
            <v>946</v>
          </cell>
          <cell r="AN1024" t="str">
            <v>MAIRA</v>
          </cell>
          <cell r="AO1024" t="str">
            <v>Dina</v>
          </cell>
          <cell r="AP1024" t="str">
            <v>JHELUM</v>
          </cell>
        </row>
        <row r="1025">
          <cell r="AM1025">
            <v>958</v>
          </cell>
          <cell r="AN1025" t="str">
            <v>DARYALA JALAP</v>
          </cell>
          <cell r="AO1025" t="str">
            <v>Jhelum-Cantt</v>
          </cell>
          <cell r="AP1025" t="str">
            <v>JHELUM</v>
          </cell>
        </row>
        <row r="1026">
          <cell r="AM1026">
            <v>960</v>
          </cell>
          <cell r="AN1026" t="str">
            <v>SANGHOI</v>
          </cell>
          <cell r="AO1026" t="str">
            <v>Jhelum-Cantt</v>
          </cell>
          <cell r="AP1026" t="str">
            <v>JHELUM</v>
          </cell>
        </row>
        <row r="1027">
          <cell r="AM1027">
            <v>967</v>
          </cell>
          <cell r="AN1027" t="str">
            <v>KALLAR  SAIDAN, DARK</v>
          </cell>
          <cell r="AO1027" t="str">
            <v>Kallar Saiday</v>
          </cell>
          <cell r="AP1027" t="str">
            <v>JHELUM</v>
          </cell>
        </row>
        <row r="1028">
          <cell r="AM1028">
            <v>971</v>
          </cell>
          <cell r="AN1028" t="str">
            <v>CHOWK SHANDAR, JHELUM</v>
          </cell>
          <cell r="AO1028" t="str">
            <v>Ram Din Bazar</v>
          </cell>
          <cell r="AP1028" t="str">
            <v>JHELUM</v>
          </cell>
        </row>
        <row r="1029">
          <cell r="AM1029">
            <v>988</v>
          </cell>
          <cell r="AN1029" t="str">
            <v>KHARALA</v>
          </cell>
          <cell r="AO1029" t="str">
            <v>Ram Din Bazar</v>
          </cell>
          <cell r="AP1029" t="str">
            <v>JHELUM</v>
          </cell>
        </row>
        <row r="1030">
          <cell r="AM1030">
            <v>989</v>
          </cell>
          <cell r="AN1030" t="str">
            <v>KHANPUR DISTT. CHAKW</v>
          </cell>
          <cell r="AO1030" t="str">
            <v>Bhoun Chowk Chakwal</v>
          </cell>
          <cell r="AP1030" t="str">
            <v>JHELUM</v>
          </cell>
        </row>
        <row r="1031">
          <cell r="AM1031">
            <v>1028</v>
          </cell>
          <cell r="AN1031" t="str">
            <v>NARAR</v>
          </cell>
          <cell r="AO1031" t="str">
            <v>Kallar Saiday</v>
          </cell>
          <cell r="AP1031" t="str">
            <v>JHELUM</v>
          </cell>
        </row>
        <row r="1032">
          <cell r="AM1032">
            <v>1035</v>
          </cell>
          <cell r="AN1032" t="str">
            <v>CHOA SAIDAN SHAH</v>
          </cell>
          <cell r="AO1032" t="str">
            <v>Bhoun Chowk Chakwal</v>
          </cell>
          <cell r="AP1032" t="str">
            <v>JHELUM</v>
          </cell>
        </row>
        <row r="1033">
          <cell r="AM1033">
            <v>1056</v>
          </cell>
          <cell r="AN1033" t="str">
            <v>HAYAL PANDORA</v>
          </cell>
          <cell r="AO1033" t="str">
            <v>Kallar Saiday</v>
          </cell>
          <cell r="AP1033" t="str">
            <v>JHELUM</v>
          </cell>
        </row>
        <row r="1034">
          <cell r="AM1034">
            <v>1067</v>
          </cell>
          <cell r="AN1034" t="str">
            <v>SOHAWA</v>
          </cell>
          <cell r="AO1034" t="str">
            <v>Dina</v>
          </cell>
          <cell r="AP1034" t="str">
            <v>JHELUM</v>
          </cell>
        </row>
        <row r="1035">
          <cell r="AM1035">
            <v>1114</v>
          </cell>
          <cell r="AN1035" t="str">
            <v>KAHUTA DISTT. RAWALPINDI</v>
          </cell>
          <cell r="AO1035" t="str">
            <v>Kallar Saiday</v>
          </cell>
          <cell r="AP1035" t="str">
            <v>JHELUM</v>
          </cell>
        </row>
        <row r="1036">
          <cell r="AM1036">
            <v>1125</v>
          </cell>
          <cell r="AN1036" t="str">
            <v>JHELUM-THATHI GUJRAN</v>
          </cell>
          <cell r="AO1036" t="str">
            <v>Jhelum-Cantt</v>
          </cell>
          <cell r="AP1036" t="str">
            <v>JHELUM</v>
          </cell>
        </row>
        <row r="1037">
          <cell r="AM1037">
            <v>1129</v>
          </cell>
          <cell r="AN1037" t="str">
            <v>LADHER MINARA</v>
          </cell>
          <cell r="AO1037" t="str">
            <v>Dina</v>
          </cell>
          <cell r="AP1037" t="str">
            <v>JHELUM</v>
          </cell>
        </row>
        <row r="1038">
          <cell r="AM1038">
            <v>1146</v>
          </cell>
          <cell r="AN1038" t="str">
            <v>BOHRIAN DULYAL</v>
          </cell>
          <cell r="AO1038" t="str">
            <v>Dina</v>
          </cell>
          <cell r="AP1038" t="str">
            <v>JHELUM</v>
          </cell>
        </row>
        <row r="1039">
          <cell r="AM1039">
            <v>1166</v>
          </cell>
          <cell r="AN1039" t="str">
            <v>BHALL, RAWALPINDI</v>
          </cell>
          <cell r="AO1039" t="str">
            <v>G.T. Road Gujar Khan</v>
          </cell>
          <cell r="AP1039" t="str">
            <v>JHELUM</v>
          </cell>
        </row>
        <row r="1040">
          <cell r="AM1040">
            <v>1167</v>
          </cell>
          <cell r="AN1040" t="str">
            <v>BHANGALI  GUJAR</v>
          </cell>
          <cell r="AO1040" t="str">
            <v>G.T. Road Gujar Khan</v>
          </cell>
          <cell r="AP1040" t="str">
            <v>JHELUM</v>
          </cell>
        </row>
        <row r="1041">
          <cell r="AM1041">
            <v>1168</v>
          </cell>
          <cell r="AN1041" t="str">
            <v>JHATLA, TALAGANG</v>
          </cell>
          <cell r="AO1041" t="str">
            <v>Talagang</v>
          </cell>
          <cell r="AP1041" t="str">
            <v>JHELUM</v>
          </cell>
        </row>
        <row r="1042">
          <cell r="AM1042">
            <v>1177</v>
          </cell>
          <cell r="AN1042" t="str">
            <v>JHELUM CANTT.</v>
          </cell>
          <cell r="AO1042" t="str">
            <v>Jhelum-Cantt</v>
          </cell>
          <cell r="AP1042" t="str">
            <v>JHELUM</v>
          </cell>
        </row>
        <row r="1043">
          <cell r="AM1043">
            <v>1183</v>
          </cell>
          <cell r="AN1043" t="str">
            <v>BAJWALA VILLAGE, JHE</v>
          </cell>
          <cell r="AO1043" t="str">
            <v>Jhelum-Cantt</v>
          </cell>
          <cell r="AP1043" t="str">
            <v>JHELUM</v>
          </cell>
        </row>
        <row r="1044">
          <cell r="AM1044">
            <v>1206</v>
          </cell>
          <cell r="AN1044" t="str">
            <v>RAKH RAWAN</v>
          </cell>
          <cell r="AO1044" t="str">
            <v>Ram Din Bazar</v>
          </cell>
          <cell r="AP1044" t="str">
            <v>JHELUM</v>
          </cell>
        </row>
        <row r="1045">
          <cell r="AM1045">
            <v>1207</v>
          </cell>
          <cell r="AN1045" t="str">
            <v>PIND DADAN KHAN</v>
          </cell>
          <cell r="AO1045" t="str">
            <v>Jhelum-Cantt</v>
          </cell>
          <cell r="AP1045" t="str">
            <v>JHELUM</v>
          </cell>
        </row>
        <row r="1046">
          <cell r="AM1046">
            <v>1229</v>
          </cell>
          <cell r="AN1046" t="str">
            <v>MANGLA CANTT.</v>
          </cell>
          <cell r="AO1046" t="str">
            <v>Dina</v>
          </cell>
          <cell r="AP1046" t="str">
            <v>JHELUM</v>
          </cell>
        </row>
        <row r="1047">
          <cell r="AM1047">
            <v>1278</v>
          </cell>
          <cell r="AN1047" t="str">
            <v>KHEWRA</v>
          </cell>
          <cell r="AO1047" t="str">
            <v>Jhelum-Cantt</v>
          </cell>
          <cell r="AP1047" t="str">
            <v>JHELUM</v>
          </cell>
        </row>
        <row r="1048">
          <cell r="AM1048">
            <v>1287</v>
          </cell>
          <cell r="AN1048" t="str">
            <v>DHUDHIAL</v>
          </cell>
          <cell r="AO1048" t="str">
            <v>Bhoun Chowk Chakwal</v>
          </cell>
          <cell r="AP1048" t="str">
            <v>JHELUM</v>
          </cell>
        </row>
        <row r="1049">
          <cell r="AM1049">
            <v>1293</v>
          </cell>
          <cell r="AN1049" t="str">
            <v>PINDI SAIDPUR</v>
          </cell>
          <cell r="AO1049" t="str">
            <v>Jhelum-Cantt</v>
          </cell>
          <cell r="AP1049" t="str">
            <v>JHELUM</v>
          </cell>
        </row>
        <row r="1050">
          <cell r="AM1050">
            <v>1306</v>
          </cell>
          <cell r="AN1050" t="str">
            <v>GHARMALA</v>
          </cell>
          <cell r="AO1050" t="str">
            <v>Jhelum-Cantt</v>
          </cell>
          <cell r="AP1050" t="str">
            <v>JHELUM</v>
          </cell>
        </row>
        <row r="1051">
          <cell r="AM1051">
            <v>1321</v>
          </cell>
          <cell r="AN1051" t="str">
            <v>PUNJAR, KAHUTA</v>
          </cell>
          <cell r="AO1051" t="str">
            <v>Kallar Saiday</v>
          </cell>
          <cell r="AP1051" t="str">
            <v>JHELUM</v>
          </cell>
        </row>
        <row r="1052">
          <cell r="AM1052">
            <v>1363</v>
          </cell>
          <cell r="AN1052" t="str">
            <v>KARRIALA</v>
          </cell>
          <cell r="AO1052" t="str">
            <v>Bhoun Chowk Chakwal</v>
          </cell>
          <cell r="AP1052" t="str">
            <v>JHELUM</v>
          </cell>
        </row>
        <row r="1053">
          <cell r="AM1053">
            <v>1447</v>
          </cell>
          <cell r="AN1053" t="str">
            <v>DAULTALA</v>
          </cell>
          <cell r="AO1053" t="str">
            <v>G.T. Road Gujar Khan</v>
          </cell>
          <cell r="AP1053" t="str">
            <v>JHELUM</v>
          </cell>
        </row>
        <row r="1054">
          <cell r="AM1054">
            <v>1497</v>
          </cell>
          <cell r="AN1054" t="str">
            <v>BARA GOA, SOHAWA</v>
          </cell>
          <cell r="AO1054" t="str">
            <v>Dina</v>
          </cell>
          <cell r="AP1054" t="str">
            <v>JHELUM</v>
          </cell>
        </row>
        <row r="1055">
          <cell r="AM1055">
            <v>1559</v>
          </cell>
          <cell r="AN1055" t="str">
            <v>DEWAN-E-HAZOORI, SOH</v>
          </cell>
          <cell r="AO1055" t="str">
            <v>Dina</v>
          </cell>
          <cell r="AP1055" t="str">
            <v>JHELUM</v>
          </cell>
        </row>
        <row r="1056">
          <cell r="AM1056">
            <v>1581</v>
          </cell>
          <cell r="AN1056" t="str">
            <v>THOHA BAHADAR</v>
          </cell>
          <cell r="AO1056" t="str">
            <v>Bhoun Chowk Chakwal</v>
          </cell>
          <cell r="AP1056" t="str">
            <v>JHELUM</v>
          </cell>
        </row>
        <row r="1057">
          <cell r="AM1057">
            <v>1583</v>
          </cell>
          <cell r="AN1057" t="str">
            <v>DEVE, GUJAR KHAN</v>
          </cell>
          <cell r="AO1057" t="str">
            <v>Bhoun Chowk Chakwal</v>
          </cell>
          <cell r="AP1057" t="str">
            <v>JHELUM</v>
          </cell>
        </row>
        <row r="1058">
          <cell r="AM1058">
            <v>1599</v>
          </cell>
          <cell r="AN1058" t="str">
            <v>DHOONG, GUJAR KHAN</v>
          </cell>
          <cell r="AO1058" t="str">
            <v>G.T. Road Gujar Khan</v>
          </cell>
          <cell r="AP1058" t="str">
            <v>JHELUM</v>
          </cell>
        </row>
        <row r="1059">
          <cell r="AM1059">
            <v>1600</v>
          </cell>
          <cell r="AN1059" t="str">
            <v>JAND</v>
          </cell>
          <cell r="AO1059" t="str">
            <v>Pindi Gheb</v>
          </cell>
          <cell r="AP1059" t="str">
            <v>JHELUM</v>
          </cell>
        </row>
        <row r="1060">
          <cell r="AM1060">
            <v>1639</v>
          </cell>
          <cell r="AN1060" t="str">
            <v>MANDRA</v>
          </cell>
          <cell r="AO1060" t="str">
            <v>G.T. Road Gujar Khan</v>
          </cell>
          <cell r="AP1060" t="str">
            <v>JHELUM</v>
          </cell>
        </row>
        <row r="1061">
          <cell r="AM1061">
            <v>1847</v>
          </cell>
          <cell r="AN1061" t="str">
            <v>MIANWALA ADDA, PINDI</v>
          </cell>
          <cell r="AO1061" t="str">
            <v>Pindi Gheb</v>
          </cell>
          <cell r="AP1061" t="str">
            <v>JHELUM</v>
          </cell>
        </row>
        <row r="1062">
          <cell r="AM1062">
            <v>1851</v>
          </cell>
          <cell r="AN1062" t="str">
            <v>SAGHAR</v>
          </cell>
          <cell r="AO1062" t="str">
            <v>Talagang</v>
          </cell>
          <cell r="AP1062" t="str">
            <v>JHELUM</v>
          </cell>
        </row>
        <row r="1063">
          <cell r="AM1063">
            <v>1872</v>
          </cell>
          <cell r="AN1063" t="str">
            <v>NATHIAN ADDA, PINDI</v>
          </cell>
          <cell r="AO1063" t="str">
            <v>Pindi Gheb</v>
          </cell>
          <cell r="AP1063" t="str">
            <v>JHELUM</v>
          </cell>
        </row>
        <row r="1064">
          <cell r="AM1064">
            <v>1882</v>
          </cell>
          <cell r="AN1064" t="str">
            <v>BANGIAL DISTT. JHELU</v>
          </cell>
          <cell r="AO1064" t="str">
            <v>Dina</v>
          </cell>
          <cell r="AP1064" t="str">
            <v>JHELUM</v>
          </cell>
        </row>
        <row r="1065">
          <cell r="AM1065">
            <v>1883</v>
          </cell>
          <cell r="AN1065" t="str">
            <v>KOHALI, JHELUM</v>
          </cell>
          <cell r="AO1065" t="str">
            <v>Dina</v>
          </cell>
          <cell r="AP1065" t="str">
            <v>JHELUM</v>
          </cell>
        </row>
        <row r="1066">
          <cell r="AM1066">
            <v>1903</v>
          </cell>
          <cell r="AN1066" t="str">
            <v>MANKIALA</v>
          </cell>
          <cell r="AO1066" t="str">
            <v>Kallar Saiday</v>
          </cell>
          <cell r="AP1066" t="str">
            <v>JHELUM</v>
          </cell>
        </row>
        <row r="1067">
          <cell r="AM1067">
            <v>1924</v>
          </cell>
          <cell r="AN1067" t="str">
            <v>SANG KALAN</v>
          </cell>
          <cell r="AO1067" t="str">
            <v>Bhoun Chowk Chakwal</v>
          </cell>
          <cell r="AP1067" t="str">
            <v>JHELUM</v>
          </cell>
        </row>
        <row r="1068">
          <cell r="AM1068">
            <v>1935</v>
          </cell>
          <cell r="AN1068" t="str">
            <v>GAHI CHOWK, KALLAR K</v>
          </cell>
          <cell r="AO1068" t="str">
            <v>Bhoun Chowk Chakwal</v>
          </cell>
          <cell r="AP1068" t="str">
            <v>JHELUM</v>
          </cell>
        </row>
        <row r="1069">
          <cell r="AM1069">
            <v>1940</v>
          </cell>
          <cell r="AN1069" t="str">
            <v>CHOTALA</v>
          </cell>
          <cell r="AO1069" t="str">
            <v>Jhelum-Cantt</v>
          </cell>
          <cell r="AP1069" t="str">
            <v>JHELUM</v>
          </cell>
        </row>
        <row r="1070">
          <cell r="AM1070">
            <v>1944</v>
          </cell>
          <cell r="AN1070" t="str">
            <v>PARHIAL</v>
          </cell>
          <cell r="AO1070" t="str">
            <v>Talagang</v>
          </cell>
          <cell r="AP1070" t="str">
            <v>JHELUM</v>
          </cell>
        </row>
        <row r="1071">
          <cell r="AM1071">
            <v>1990</v>
          </cell>
          <cell r="AN1071" t="str">
            <v>Civil Lines Jhelum</v>
          </cell>
          <cell r="AO1071" t="str">
            <v>Ram Din Bazar</v>
          </cell>
          <cell r="AP1071" t="str">
            <v>JHELUM</v>
          </cell>
        </row>
        <row r="1072">
          <cell r="AM1072">
            <v>2251</v>
          </cell>
          <cell r="AN1072" t="str">
            <v>RAWAT</v>
          </cell>
          <cell r="AO1072" t="str">
            <v>G.T. Road Gujar Khan</v>
          </cell>
          <cell r="AP1072" t="str">
            <v>JHELUM</v>
          </cell>
        </row>
        <row r="1073">
          <cell r="AM1073">
            <v>2409</v>
          </cell>
          <cell r="AN1073" t="str">
            <v>SABZI MANDI BRANCH</v>
          </cell>
          <cell r="AO1073" t="str">
            <v>Bhoun Chowk Chakwal</v>
          </cell>
          <cell r="AP1073" t="str">
            <v>JHELUM</v>
          </cell>
        </row>
        <row r="1074">
          <cell r="AM1074">
            <v>2427</v>
          </cell>
          <cell r="AN1074" t="str">
            <v>KALLAR KAHAR BRANCH</v>
          </cell>
          <cell r="AO1074" t="str">
            <v>Bhoun Chowk Chakwal</v>
          </cell>
          <cell r="AP1074" t="str">
            <v>JHELUM</v>
          </cell>
        </row>
        <row r="1075">
          <cell r="AM1075">
            <v>2495</v>
          </cell>
          <cell r="AN1075" t="str">
            <v>Village Chak Beli</v>
          </cell>
          <cell r="AO1075" t="str">
            <v>G.T. Road Gujar Khan</v>
          </cell>
          <cell r="AP1075" t="str">
            <v>JHELUM</v>
          </cell>
        </row>
        <row r="1076">
          <cell r="AM1076">
            <v>113</v>
          </cell>
          <cell r="AN1076" t="str">
            <v>JAUHARABAD, KHUSHAB</v>
          </cell>
          <cell r="AO1076" t="str">
            <v>KHUSHAB AREA</v>
          </cell>
          <cell r="AP1076" t="str">
            <v>SARGODHA</v>
          </cell>
        </row>
        <row r="1077">
          <cell r="AM1077">
            <v>114</v>
          </cell>
          <cell r="AN1077" t="str">
            <v>SHAHEED ROAD, JHANG</v>
          </cell>
          <cell r="AO1077" t="str">
            <v>JHANG AREA</v>
          </cell>
          <cell r="AP1077" t="str">
            <v>SARGODHA</v>
          </cell>
        </row>
        <row r="1078">
          <cell r="AM1078">
            <v>120</v>
          </cell>
          <cell r="AN1078" t="str">
            <v>BANK SQUARE, KHUSHAB</v>
          </cell>
          <cell r="AO1078" t="str">
            <v>KHUSHAB AREA</v>
          </cell>
          <cell r="AP1078" t="str">
            <v>SARGODHA</v>
          </cell>
        </row>
        <row r="1079">
          <cell r="AM1079">
            <v>140</v>
          </cell>
          <cell r="AN1079" t="str">
            <v>LIAQUATABAD  THALL,</v>
          </cell>
          <cell r="AO1079" t="str">
            <v>MIANWALI AREA</v>
          </cell>
          <cell r="AP1079" t="str">
            <v>SARGODHA</v>
          </cell>
        </row>
        <row r="1080">
          <cell r="AM1080">
            <v>153</v>
          </cell>
          <cell r="AN1080" t="str">
            <v>PHULERWAN, BHALWAL</v>
          </cell>
          <cell r="AO1080" t="str">
            <v>KUTCHERY BAZAR AREA</v>
          </cell>
          <cell r="AP1080" t="str">
            <v>SARGODHA</v>
          </cell>
        </row>
        <row r="1081">
          <cell r="AM1081">
            <v>162</v>
          </cell>
          <cell r="AN1081" t="str">
            <v>KUTCHERY BAZAR, SARGODHA</v>
          </cell>
          <cell r="AO1081" t="str">
            <v>KUTCHERY BAZAR AREA</v>
          </cell>
          <cell r="AP1081" t="str">
            <v>SARGODHA</v>
          </cell>
        </row>
        <row r="1082">
          <cell r="AM1082">
            <v>163</v>
          </cell>
          <cell r="AN1082" t="str">
            <v>SARGODHA-GRAIN MARKE</v>
          </cell>
          <cell r="AO1082" t="str">
            <v>PAF AREA</v>
          </cell>
          <cell r="AP1082" t="str">
            <v>SARGODHA</v>
          </cell>
        </row>
        <row r="1083">
          <cell r="AM1083">
            <v>164</v>
          </cell>
          <cell r="AN1083" t="str">
            <v>CITY, SHORKOT</v>
          </cell>
          <cell r="AO1083" t="str">
            <v>JHANG AREA</v>
          </cell>
          <cell r="AP1083" t="str">
            <v>SARGODHA</v>
          </cell>
        </row>
        <row r="1084">
          <cell r="AM1084">
            <v>184</v>
          </cell>
          <cell r="AN1084" t="str">
            <v>ZAKA CENTRE, MIANWALI</v>
          </cell>
          <cell r="AO1084" t="str">
            <v>MIANWALI AREA</v>
          </cell>
          <cell r="AP1084" t="str">
            <v>SARGODHA</v>
          </cell>
        </row>
        <row r="1085">
          <cell r="AM1085">
            <v>188</v>
          </cell>
          <cell r="AN1085" t="str">
            <v>ISKANDARABAD</v>
          </cell>
          <cell r="AO1085" t="str">
            <v>MIANWALI AREA</v>
          </cell>
          <cell r="AP1085" t="str">
            <v>SARGODHA</v>
          </cell>
        </row>
        <row r="1086">
          <cell r="AM1086">
            <v>205</v>
          </cell>
          <cell r="AN1086" t="str">
            <v>ISA KHEL</v>
          </cell>
          <cell r="AO1086" t="str">
            <v>MIANWALI AREA</v>
          </cell>
          <cell r="AP1086" t="str">
            <v>SARGODHA</v>
          </cell>
        </row>
        <row r="1087">
          <cell r="AM1087">
            <v>206</v>
          </cell>
          <cell r="AN1087" t="str">
            <v>SHAHPUR SADDAR</v>
          </cell>
          <cell r="AO1087" t="str">
            <v>KHUSHAB AREA</v>
          </cell>
          <cell r="AP1087" t="str">
            <v>SARGODHA</v>
          </cell>
        </row>
        <row r="1088">
          <cell r="AM1088">
            <v>213</v>
          </cell>
          <cell r="AN1088" t="str">
            <v>CHASHMA BARRAGE COLONY</v>
          </cell>
          <cell r="AO1088" t="str">
            <v>MIANWALI AREA</v>
          </cell>
          <cell r="AP1088" t="str">
            <v>SARGODHA</v>
          </cell>
        </row>
        <row r="1089">
          <cell r="AM1089">
            <v>227</v>
          </cell>
          <cell r="AN1089" t="str">
            <v>CHAK NO.47/MB, KHUSH</v>
          </cell>
          <cell r="AO1089" t="str">
            <v>KHUSHAB AREA</v>
          </cell>
          <cell r="AP1089" t="str">
            <v>SARGODHA</v>
          </cell>
        </row>
        <row r="1090">
          <cell r="AM1090">
            <v>266</v>
          </cell>
          <cell r="AN1090" t="str">
            <v>HERNOLI, LARI ADDA</v>
          </cell>
          <cell r="AO1090" t="str">
            <v>MIANWALI AREA</v>
          </cell>
          <cell r="AP1090" t="str">
            <v>SARGODHA</v>
          </cell>
        </row>
        <row r="1091">
          <cell r="AM1091">
            <v>307</v>
          </cell>
          <cell r="AN1091" t="str">
            <v>ADDA RODU SULTAN</v>
          </cell>
          <cell r="AO1091" t="str">
            <v>JHANG AREA</v>
          </cell>
          <cell r="AP1091" t="str">
            <v>SARGODHA</v>
          </cell>
        </row>
        <row r="1092">
          <cell r="AM1092">
            <v>423</v>
          </cell>
          <cell r="AN1092" t="str">
            <v>UNIVERSITY OF SARGODHA</v>
          </cell>
          <cell r="AO1092" t="str">
            <v>PAF AREA</v>
          </cell>
          <cell r="AP1092" t="str">
            <v>SARGODHA</v>
          </cell>
        </row>
        <row r="1093">
          <cell r="AM1093">
            <v>428</v>
          </cell>
          <cell r="AN1093" t="str">
            <v>JHAWARIAN, SHAHPUR S</v>
          </cell>
          <cell r="AO1093" t="str">
            <v>KHUSHAB AREA</v>
          </cell>
          <cell r="AP1093" t="str">
            <v>SARGODHA</v>
          </cell>
        </row>
        <row r="1094">
          <cell r="AM1094">
            <v>451</v>
          </cell>
          <cell r="AN1094" t="str">
            <v>NOWSHERA DISTT. KHUS</v>
          </cell>
          <cell r="AO1094" t="str">
            <v>KHUSHAB AREA</v>
          </cell>
          <cell r="AP1094" t="str">
            <v>SARGODHA</v>
          </cell>
        </row>
        <row r="1095">
          <cell r="AM1095">
            <v>465</v>
          </cell>
          <cell r="AN1095" t="str">
            <v>GARH MAHARAJA MORE</v>
          </cell>
          <cell r="AO1095" t="str">
            <v>JHANG AREA</v>
          </cell>
          <cell r="AP1095" t="str">
            <v>SARGODHA</v>
          </cell>
        </row>
        <row r="1096">
          <cell r="AM1096">
            <v>483</v>
          </cell>
          <cell r="AN1096" t="str">
            <v>SHORKOT CANTT.</v>
          </cell>
          <cell r="AO1096" t="str">
            <v>JHANG AREA</v>
          </cell>
          <cell r="AP1096" t="str">
            <v>SARGODHA</v>
          </cell>
        </row>
        <row r="1097">
          <cell r="AM1097">
            <v>503</v>
          </cell>
          <cell r="AN1097" t="str">
            <v>P.A.F. SHAHEEN, SARGODHA</v>
          </cell>
          <cell r="AO1097" t="str">
            <v>PAF AREA</v>
          </cell>
          <cell r="AP1097" t="str">
            <v>SARGODHA</v>
          </cell>
        </row>
        <row r="1098">
          <cell r="AM1098">
            <v>549</v>
          </cell>
          <cell r="AN1098" t="str">
            <v>WAN BHACHRAN</v>
          </cell>
          <cell r="AO1098" t="str">
            <v>MIANWALI AREA</v>
          </cell>
          <cell r="AP1098" t="str">
            <v>SARGODHA</v>
          </cell>
        </row>
        <row r="1099">
          <cell r="AM1099">
            <v>586</v>
          </cell>
          <cell r="AN1099" t="str">
            <v>AHMED PUR SIAL</v>
          </cell>
          <cell r="AO1099" t="str">
            <v>JHANG AREA</v>
          </cell>
          <cell r="AP1099" t="str">
            <v>SARGODHA</v>
          </cell>
        </row>
        <row r="1100">
          <cell r="AM1100">
            <v>589</v>
          </cell>
          <cell r="AN1100" t="str">
            <v>SHAHRAH-E-LIAQUAT A. KHAN, BHALWAL</v>
          </cell>
          <cell r="AO1100" t="str">
            <v>KUTCHERY BAZAR AREA</v>
          </cell>
          <cell r="AP1100" t="str">
            <v>SARGODHA</v>
          </cell>
        </row>
        <row r="1101">
          <cell r="AM1101">
            <v>625</v>
          </cell>
          <cell r="AN1101" t="str">
            <v>SILANWALI</v>
          </cell>
          <cell r="AO1101" t="str">
            <v>PAF AREA</v>
          </cell>
          <cell r="AP1101" t="str">
            <v>SARGODHA</v>
          </cell>
        </row>
        <row r="1102">
          <cell r="AM1102">
            <v>627</v>
          </cell>
          <cell r="AN1102" t="str">
            <v>NAHANG</v>
          </cell>
          <cell r="AO1102" t="str">
            <v>PAF AREA</v>
          </cell>
          <cell r="AP1102" t="str">
            <v>SARGODHA</v>
          </cell>
        </row>
        <row r="1103">
          <cell r="AM1103">
            <v>654</v>
          </cell>
          <cell r="AN1103" t="str">
            <v>NOORPUR THAL</v>
          </cell>
          <cell r="AO1103" t="str">
            <v>KHUSHAB AREA</v>
          </cell>
          <cell r="AP1103" t="str">
            <v>SARGODHA</v>
          </cell>
        </row>
        <row r="1104">
          <cell r="AM1104">
            <v>665</v>
          </cell>
          <cell r="AN1104" t="str">
            <v>CHAK NO.10/NB, QUDRA</v>
          </cell>
          <cell r="AO1104" t="str">
            <v>KUTCHERY BAZAR AREA</v>
          </cell>
          <cell r="AP1104" t="str">
            <v>SARGODHA</v>
          </cell>
        </row>
        <row r="1105">
          <cell r="AM1105">
            <v>691</v>
          </cell>
          <cell r="AN1105" t="str">
            <v>MARI</v>
          </cell>
          <cell r="AO1105" t="str">
            <v>GILWALA AREA</v>
          </cell>
          <cell r="AP1105" t="str">
            <v>SARGODHA</v>
          </cell>
        </row>
        <row r="1106">
          <cell r="AM1106">
            <v>838</v>
          </cell>
          <cell r="AN1106" t="str">
            <v>WARYAM</v>
          </cell>
          <cell r="AO1106" t="str">
            <v>JHANG AREA</v>
          </cell>
          <cell r="AP1106" t="str">
            <v>SARGODHA</v>
          </cell>
        </row>
        <row r="1107">
          <cell r="AM1107">
            <v>845</v>
          </cell>
          <cell r="AN1107" t="str">
            <v>JALIANWALA MORE BR</v>
          </cell>
          <cell r="AO1107" t="str">
            <v>PAF AREA</v>
          </cell>
          <cell r="AP1107" t="str">
            <v>SARGODHA</v>
          </cell>
        </row>
        <row r="1108">
          <cell r="AM1108">
            <v>859</v>
          </cell>
          <cell r="AN1108" t="str">
            <v>JHANG-CITY</v>
          </cell>
          <cell r="AO1108" t="str">
            <v>JHANG AREA</v>
          </cell>
          <cell r="AP1108" t="str">
            <v>SARGODHA</v>
          </cell>
        </row>
        <row r="1109">
          <cell r="AM1109">
            <v>894</v>
          </cell>
          <cell r="AN1109" t="str">
            <v>SARGODHA-GILWALA</v>
          </cell>
          <cell r="AO1109" t="str">
            <v>GILWALA AREA</v>
          </cell>
          <cell r="AP1109" t="str">
            <v>SARGODHA</v>
          </cell>
        </row>
        <row r="1110">
          <cell r="AM1110">
            <v>904</v>
          </cell>
          <cell r="AN1110" t="str">
            <v>HAVELI BAHADUR SHAH</v>
          </cell>
          <cell r="AO1110" t="str">
            <v>JHANG AREA</v>
          </cell>
          <cell r="AP1110" t="str">
            <v>SARGODHA</v>
          </cell>
        </row>
        <row r="1111">
          <cell r="AM1111">
            <v>906</v>
          </cell>
          <cell r="AN1111" t="str">
            <v>MUSLIM BAZAR, SARGODHA</v>
          </cell>
          <cell r="AO1111" t="str">
            <v>KUTCHERY BAZAR AREA</v>
          </cell>
          <cell r="AP1111" t="str">
            <v>SARGODHA</v>
          </cell>
        </row>
        <row r="1112">
          <cell r="AM1112">
            <v>908</v>
          </cell>
          <cell r="AN1112" t="str">
            <v>CHENAB NAGAR (RABWAH), CHINNIOT</v>
          </cell>
          <cell r="AO1112" t="str">
            <v>PAF AREA</v>
          </cell>
          <cell r="AP1112" t="str">
            <v>SARGODHA</v>
          </cell>
        </row>
        <row r="1113">
          <cell r="AM1113">
            <v>1047</v>
          </cell>
          <cell r="AN1113" t="str">
            <v>SARGODHA-FATIMA JINN</v>
          </cell>
          <cell r="AO1113" t="str">
            <v>GILWALA AREA</v>
          </cell>
          <cell r="AP1113" t="str">
            <v>SARGODHA</v>
          </cell>
        </row>
        <row r="1114">
          <cell r="AM1114">
            <v>1062</v>
          </cell>
          <cell r="AN1114" t="str">
            <v>BAGH DISTT. JHANG</v>
          </cell>
          <cell r="AO1114" t="str">
            <v>JHANG AREA</v>
          </cell>
          <cell r="AP1114" t="str">
            <v>SARGODHA</v>
          </cell>
        </row>
        <row r="1115">
          <cell r="AM1115">
            <v>1145</v>
          </cell>
          <cell r="AN1115" t="str">
            <v>PAI KHEL, MIANWALI</v>
          </cell>
          <cell r="AO1115" t="str">
            <v>MIANWALI AREA</v>
          </cell>
          <cell r="AP1115" t="str">
            <v>SARGODHA</v>
          </cell>
        </row>
        <row r="1116">
          <cell r="AM1116">
            <v>1160</v>
          </cell>
          <cell r="AN1116" t="str">
            <v>CHAK NO.45/SB</v>
          </cell>
          <cell r="AO1116" t="str">
            <v>PAF AREA</v>
          </cell>
          <cell r="AP1116" t="str">
            <v>SARGODHA</v>
          </cell>
        </row>
        <row r="1117">
          <cell r="AM1117">
            <v>1176</v>
          </cell>
          <cell r="AN1117" t="str">
            <v>ANGA, KHUSHAB</v>
          </cell>
          <cell r="AO1117" t="str">
            <v>KHUSHAB AREA</v>
          </cell>
          <cell r="AP1117" t="str">
            <v>SARGODHA</v>
          </cell>
        </row>
        <row r="1118">
          <cell r="AM1118">
            <v>1200</v>
          </cell>
          <cell r="AN1118" t="str">
            <v>P.A.F. COLONY, MIANWALI</v>
          </cell>
          <cell r="AO1118" t="str">
            <v>MIANWALI AREA</v>
          </cell>
          <cell r="AP1118" t="str">
            <v>SARGODHA</v>
          </cell>
        </row>
        <row r="1119">
          <cell r="AM1119">
            <v>1201</v>
          </cell>
          <cell r="AN1119" t="str">
            <v>BHERA</v>
          </cell>
          <cell r="AO1119" t="str">
            <v>KUTCHERY BAZAR AREA</v>
          </cell>
          <cell r="AP1119" t="str">
            <v>SARGODHA</v>
          </cell>
        </row>
        <row r="1120">
          <cell r="AM1120">
            <v>1256</v>
          </cell>
          <cell r="AN1120" t="str">
            <v>BHALWAL-MAIN BAZAR</v>
          </cell>
          <cell r="AO1120" t="str">
            <v>KUTCHERY BAZAR AREA</v>
          </cell>
          <cell r="AP1120" t="str">
            <v>SARGODHA</v>
          </cell>
        </row>
        <row r="1121">
          <cell r="AM1121">
            <v>1257</v>
          </cell>
          <cell r="AN1121" t="str">
            <v>KALA BAGH-MAIN BAZAR</v>
          </cell>
          <cell r="AO1121" t="str">
            <v>MIANWALI AREA</v>
          </cell>
          <cell r="AP1121" t="str">
            <v>SARGODHA</v>
          </cell>
        </row>
        <row r="1122">
          <cell r="AM1122">
            <v>1258</v>
          </cell>
          <cell r="AN1122" t="str">
            <v>QUAIDABAD</v>
          </cell>
          <cell r="AO1122" t="str">
            <v>KHUSHAB AREA</v>
          </cell>
          <cell r="AP1122" t="str">
            <v>SARGODHA</v>
          </cell>
        </row>
        <row r="1123">
          <cell r="AM1123">
            <v>1292</v>
          </cell>
          <cell r="AN1123" t="str">
            <v>CHAK NO.24/SB, BHAGT</v>
          </cell>
          <cell r="AO1123" t="str">
            <v>GILWALA AREA</v>
          </cell>
          <cell r="AP1123" t="str">
            <v>SARGODHA</v>
          </cell>
        </row>
        <row r="1124">
          <cell r="AM1124">
            <v>1294</v>
          </cell>
          <cell r="AN1124" t="str">
            <v>TRUG</v>
          </cell>
          <cell r="AO1124" t="str">
            <v>MIANWALI AREA</v>
          </cell>
          <cell r="AP1124" t="str">
            <v>SARGODHA</v>
          </cell>
        </row>
        <row r="1125">
          <cell r="AM1125">
            <v>1311</v>
          </cell>
          <cell r="AN1125" t="str">
            <v>PEER ABDUL REHMAN, A</v>
          </cell>
          <cell r="AO1125" t="str">
            <v>JHANG AREA</v>
          </cell>
          <cell r="AP1125" t="str">
            <v>SARGODHA</v>
          </cell>
        </row>
        <row r="1126">
          <cell r="AM1126">
            <v>1314</v>
          </cell>
          <cell r="AN1126" t="str">
            <v>WADHI</v>
          </cell>
          <cell r="AO1126" t="str">
            <v>KHUSHAB AREA</v>
          </cell>
          <cell r="AP1126" t="str">
            <v>SARGODHA</v>
          </cell>
        </row>
        <row r="1127">
          <cell r="AM1127">
            <v>1372</v>
          </cell>
          <cell r="AN1127" t="str">
            <v>COLLEGE ROAD. SARGODHA</v>
          </cell>
          <cell r="AO1127" t="str">
            <v>GILWALA AREA</v>
          </cell>
          <cell r="AP1127" t="str">
            <v>SARGODHA</v>
          </cell>
        </row>
        <row r="1128">
          <cell r="AM1128">
            <v>1376</v>
          </cell>
          <cell r="AN1128" t="str">
            <v>KOT MOMIN</v>
          </cell>
          <cell r="AO1128" t="str">
            <v>KUTCHERY BAZAR AREA</v>
          </cell>
          <cell r="AP1128" t="str">
            <v>SARGODHA</v>
          </cell>
        </row>
        <row r="1129">
          <cell r="AM1129">
            <v>1432</v>
          </cell>
          <cell r="AN1129" t="str">
            <v>SATELLITE TOWN, SARGODHA</v>
          </cell>
          <cell r="AO1129" t="str">
            <v>KUTCHERY BAZAR AREA</v>
          </cell>
          <cell r="AP1129" t="str">
            <v>SARGODHA</v>
          </cell>
        </row>
        <row r="1130">
          <cell r="AM1130">
            <v>1450</v>
          </cell>
          <cell r="AN1130" t="str">
            <v>OCHALI, KHUSHAB</v>
          </cell>
          <cell r="AO1130" t="str">
            <v>KHUSHAB AREA</v>
          </cell>
          <cell r="AP1130" t="str">
            <v>SARGODHA</v>
          </cell>
        </row>
        <row r="1131">
          <cell r="AM1131">
            <v>1460</v>
          </cell>
          <cell r="AN1131" t="str">
            <v>CHAK NO.84/SB</v>
          </cell>
          <cell r="AO1131" t="str">
            <v>GILWALA AREA</v>
          </cell>
          <cell r="AP1131" t="str">
            <v>SARGODHA</v>
          </cell>
        </row>
        <row r="1132">
          <cell r="AM1132">
            <v>1477</v>
          </cell>
          <cell r="AN1132" t="str">
            <v>SHARIFABAD, AHMEDPUR</v>
          </cell>
          <cell r="AO1132" t="str">
            <v>JHANG AREA</v>
          </cell>
          <cell r="AP1132" t="str">
            <v>SARGODHA</v>
          </cell>
        </row>
        <row r="1133">
          <cell r="AM1133">
            <v>1530</v>
          </cell>
          <cell r="AN1133" t="str">
            <v>MOUZA SHEIKHAN</v>
          </cell>
          <cell r="AO1133" t="str">
            <v>PAF AREA</v>
          </cell>
          <cell r="AP1133" t="str">
            <v>SARGODHA</v>
          </cell>
        </row>
        <row r="1134">
          <cell r="AM1134">
            <v>1531</v>
          </cell>
          <cell r="AN1134" t="str">
            <v>ADDA AKRIANWALA, JHA</v>
          </cell>
          <cell r="AO1134" t="str">
            <v>PAF AREA</v>
          </cell>
          <cell r="AP1134" t="str">
            <v>SARGODHA</v>
          </cell>
        </row>
        <row r="1135">
          <cell r="AM1135">
            <v>1534</v>
          </cell>
          <cell r="AN1135" t="str">
            <v>MERIK SIAL</v>
          </cell>
          <cell r="AO1135" t="str">
            <v>JHANG AREA</v>
          </cell>
          <cell r="AP1135" t="str">
            <v>SARGODHA</v>
          </cell>
        </row>
        <row r="1136">
          <cell r="AM1136">
            <v>1537</v>
          </cell>
          <cell r="AN1136" t="str">
            <v>HAZARI CHOWK-18</v>
          </cell>
          <cell r="AO1136" t="str">
            <v>JHANG AREA</v>
          </cell>
          <cell r="AP1136" t="str">
            <v>SARGODHA</v>
          </cell>
        </row>
        <row r="1137">
          <cell r="AM1137">
            <v>1564</v>
          </cell>
          <cell r="AN1137" t="str">
            <v>SADDAR SESSION CHOWK, JHANG</v>
          </cell>
          <cell r="AO1137" t="str">
            <v>JHANG AREA</v>
          </cell>
          <cell r="AP1137" t="str">
            <v>SARGODHA</v>
          </cell>
        </row>
        <row r="1138">
          <cell r="AM1138">
            <v>1593</v>
          </cell>
          <cell r="AN1138" t="str">
            <v>WAGOWAL, SHAHPUR SAD</v>
          </cell>
          <cell r="AO1138" t="str">
            <v>GILWALA AREA</v>
          </cell>
          <cell r="AP1138" t="str">
            <v>SARGODHA</v>
          </cell>
        </row>
        <row r="1139">
          <cell r="AM1139">
            <v>1601</v>
          </cell>
          <cell r="AN1139" t="str">
            <v>MITHA TIWANA</v>
          </cell>
          <cell r="AO1139" t="str">
            <v>KHUSHAB AREA</v>
          </cell>
          <cell r="AP1139" t="str">
            <v>SARGODHA</v>
          </cell>
        </row>
        <row r="1140">
          <cell r="AM1140">
            <v>1615</v>
          </cell>
          <cell r="AN1140" t="str">
            <v>LILLA BHARWANA, PIND</v>
          </cell>
          <cell r="AO1140" t="str">
            <v>KUTCHERY BAZAR AREA</v>
          </cell>
          <cell r="AP1140" t="str">
            <v>SARGODHA</v>
          </cell>
        </row>
        <row r="1141">
          <cell r="AM1141">
            <v>1641</v>
          </cell>
          <cell r="AN1141" t="str">
            <v>KAMER MUSHANI</v>
          </cell>
          <cell r="AO1141" t="str">
            <v>MIANWALI AREA</v>
          </cell>
          <cell r="AP1141" t="str">
            <v>SARGODHA</v>
          </cell>
        </row>
        <row r="1142">
          <cell r="AM1142">
            <v>1702</v>
          </cell>
          <cell r="AN1142" t="str">
            <v>MAIN ROAD BLOCK NO.27, SARGODHA</v>
          </cell>
          <cell r="AO1142" t="str">
            <v>GILWALA AREA</v>
          </cell>
          <cell r="AP1142" t="str">
            <v>SARGODHA</v>
          </cell>
        </row>
        <row r="1143">
          <cell r="AM1143">
            <v>1703</v>
          </cell>
          <cell r="AN1143" t="str">
            <v>SAHIWAL DISTT. SARGO</v>
          </cell>
          <cell r="AO1143" t="str">
            <v>PAF AREA</v>
          </cell>
          <cell r="AP1143" t="str">
            <v>SARGODHA</v>
          </cell>
        </row>
        <row r="1144">
          <cell r="AM1144">
            <v>1720</v>
          </cell>
          <cell r="AN1144" t="str">
            <v>FAROOKA</v>
          </cell>
          <cell r="AO1144" t="str">
            <v>GILWALA AREA</v>
          </cell>
          <cell r="AP1144" t="str">
            <v>SARGODHA</v>
          </cell>
        </row>
        <row r="1145">
          <cell r="AM1145">
            <v>1729</v>
          </cell>
          <cell r="AN1145" t="str">
            <v>DAUD KHEL-CITY</v>
          </cell>
          <cell r="AO1145" t="str">
            <v>MIANWALI AREA</v>
          </cell>
          <cell r="AP1145" t="str">
            <v>SARGODHA</v>
          </cell>
        </row>
        <row r="1146">
          <cell r="AM1146">
            <v>1887</v>
          </cell>
          <cell r="AN1146" t="str">
            <v>DHARNAKA</v>
          </cell>
          <cell r="AO1146" t="str">
            <v>MIANWALI AREA</v>
          </cell>
          <cell r="AP1146" t="str">
            <v>SARGODHA</v>
          </cell>
        </row>
        <row r="1147">
          <cell r="AM1147">
            <v>1951</v>
          </cell>
          <cell r="AN1147" t="str">
            <v>TOBA, PIND DADAN KHA</v>
          </cell>
          <cell r="AO1147" t="str">
            <v>KUTCHERY BAZAR AREA</v>
          </cell>
          <cell r="AP1147" t="str">
            <v>SARGODHA</v>
          </cell>
        </row>
        <row r="1148">
          <cell r="AM1148">
            <v>1960</v>
          </cell>
          <cell r="AN1148" t="str">
            <v>KOT CHANDNA</v>
          </cell>
          <cell r="AO1148" t="str">
            <v>MIANWALI AREA</v>
          </cell>
          <cell r="AP1148" t="str">
            <v>SARGODHA</v>
          </cell>
        </row>
        <row r="1149">
          <cell r="AM1149">
            <v>2257</v>
          </cell>
          <cell r="AN1149" t="str">
            <v>MIANI</v>
          </cell>
          <cell r="AO1149" t="str">
            <v>KUTCHERY BAZAR AREA</v>
          </cell>
          <cell r="AP1149" t="str">
            <v>SARGODHA</v>
          </cell>
        </row>
        <row r="1150">
          <cell r="AM1150">
            <v>2376</v>
          </cell>
          <cell r="AN1150" t="str">
            <v>SATELLITE TOWN BRANC</v>
          </cell>
          <cell r="AO1150" t="str">
            <v>JHANG AREA</v>
          </cell>
          <cell r="AP1150" t="str">
            <v>SARGODHA</v>
          </cell>
        </row>
        <row r="1151">
          <cell r="AM1151">
            <v>2396</v>
          </cell>
          <cell r="AN1151" t="str">
            <v>LAHORE ROAD BRANCH</v>
          </cell>
          <cell r="AO1151" t="str">
            <v>GILWALA AREA</v>
          </cell>
          <cell r="AP1151" t="str">
            <v>SARGODHA</v>
          </cell>
        </row>
        <row r="1152">
          <cell r="AM1152">
            <v>2423</v>
          </cell>
          <cell r="AN1152" t="str">
            <v>QUEENS ROAD BRANCH</v>
          </cell>
          <cell r="AO1152" t="str">
            <v>PAF AREA</v>
          </cell>
          <cell r="AP1152" t="str">
            <v>SARGODHA</v>
          </cell>
        </row>
        <row r="1153">
          <cell r="AM1153">
            <v>90</v>
          </cell>
          <cell r="AN1153" t="str">
            <v>DABGARI GATE, PESHAWAR</v>
          </cell>
          <cell r="AO1153" t="str">
            <v>Peshawar City</v>
          </cell>
          <cell r="AP1153" t="str">
            <v>PESHAWAR</v>
          </cell>
        </row>
        <row r="1154">
          <cell r="AM1154">
            <v>103</v>
          </cell>
          <cell r="AN1154" t="str">
            <v>BHAKKAR-MUSLIM BAZAR</v>
          </cell>
          <cell r="AO1154" t="str">
            <v>D.I. Khan</v>
          </cell>
          <cell r="AP1154" t="str">
            <v>PESHAWAR</v>
          </cell>
        </row>
        <row r="1155">
          <cell r="AM1155">
            <v>216</v>
          </cell>
          <cell r="AN1155" t="str">
            <v>BANNU-INSIDE PREEDY</v>
          </cell>
          <cell r="AO1155" t="str">
            <v>Banu</v>
          </cell>
          <cell r="AP1155" t="str">
            <v>PESHAWAR</v>
          </cell>
        </row>
        <row r="1156">
          <cell r="AM1156">
            <v>218</v>
          </cell>
          <cell r="AN1156" t="str">
            <v>KOHAT CANTT</v>
          </cell>
          <cell r="AO1156" t="str">
            <v>Kohat</v>
          </cell>
          <cell r="AP1156" t="str">
            <v>PESHAWAR</v>
          </cell>
        </row>
        <row r="1157">
          <cell r="AM1157">
            <v>223</v>
          </cell>
          <cell r="AN1157" t="str">
            <v>PESHAWAR CITY</v>
          </cell>
          <cell r="AO1157" t="str">
            <v>Peshawar City</v>
          </cell>
          <cell r="AP1157" t="str">
            <v>PESHAWAR</v>
          </cell>
        </row>
        <row r="1158">
          <cell r="AM1158">
            <v>224</v>
          </cell>
          <cell r="AN1158" t="str">
            <v>PESHAWAR CANTT.</v>
          </cell>
          <cell r="AO1158" t="str">
            <v>Peshawar Cantonment</v>
          </cell>
          <cell r="AP1158" t="str">
            <v>PESHAWAR</v>
          </cell>
        </row>
        <row r="1159">
          <cell r="AM1159">
            <v>225</v>
          </cell>
          <cell r="AN1159" t="str">
            <v>MEWA MANDI, PESHAWAR</v>
          </cell>
          <cell r="AO1159" t="str">
            <v>Peshawar City</v>
          </cell>
          <cell r="AP1159" t="str">
            <v>PESHAWAR</v>
          </cell>
        </row>
        <row r="1160">
          <cell r="AM1160">
            <v>226</v>
          </cell>
          <cell r="AN1160" t="str">
            <v>WARSAK, PESHAWAR</v>
          </cell>
          <cell r="AO1160" t="str">
            <v>University Campus</v>
          </cell>
          <cell r="AP1160" t="str">
            <v>PESHAWAR</v>
          </cell>
        </row>
        <row r="1161">
          <cell r="AM1161">
            <v>231</v>
          </cell>
          <cell r="AN1161" t="str">
            <v>EIDGAH KALAN, D.I.KH</v>
          </cell>
          <cell r="AO1161" t="str">
            <v>D.I. Khan</v>
          </cell>
          <cell r="AP1161" t="str">
            <v>PESHAWAR</v>
          </cell>
        </row>
        <row r="1162">
          <cell r="AM1162">
            <v>232</v>
          </cell>
          <cell r="AN1162" t="str">
            <v>PUNJABI BAZAR, PARAC</v>
          </cell>
          <cell r="AO1162" t="str">
            <v>Parachinar</v>
          </cell>
          <cell r="AP1162" t="str">
            <v>PESHAWAR</v>
          </cell>
        </row>
        <row r="1163">
          <cell r="AM1163">
            <v>233</v>
          </cell>
          <cell r="AN1163" t="str">
            <v>QISSA KHAWANI BAZAR, PESHAWAR.</v>
          </cell>
          <cell r="AO1163" t="str">
            <v>Peshawar City</v>
          </cell>
          <cell r="AP1163" t="str">
            <v>PESHAWAR</v>
          </cell>
        </row>
        <row r="1164">
          <cell r="AM1164">
            <v>234</v>
          </cell>
          <cell r="AN1164" t="str">
            <v>MAIN BAZAR, HANGU</v>
          </cell>
          <cell r="AO1164" t="str">
            <v>Hangu</v>
          </cell>
          <cell r="AP1164" t="str">
            <v>PESHAWAR</v>
          </cell>
        </row>
        <row r="1165">
          <cell r="AM1165">
            <v>235</v>
          </cell>
          <cell r="AN1165" t="str">
            <v>PABBI</v>
          </cell>
          <cell r="AO1165" t="str">
            <v>Peshawar Cantonment</v>
          </cell>
          <cell r="AP1165" t="str">
            <v>PESHAWAR</v>
          </cell>
        </row>
        <row r="1166">
          <cell r="AM1166">
            <v>267</v>
          </cell>
          <cell r="AN1166" t="str">
            <v>TEHKAL BALA, PESHAWAR</v>
          </cell>
          <cell r="AO1166" t="str">
            <v>University Campus</v>
          </cell>
          <cell r="AP1166" t="str">
            <v>PESHAWAR</v>
          </cell>
        </row>
        <row r="1167">
          <cell r="AM1167">
            <v>297</v>
          </cell>
          <cell r="AN1167" t="str">
            <v>HAIDERABAD THALL</v>
          </cell>
          <cell r="AO1167" t="str">
            <v>D.I. Khan</v>
          </cell>
          <cell r="AP1167" t="str">
            <v>PESHAWAR</v>
          </cell>
        </row>
        <row r="1168">
          <cell r="AM1168">
            <v>315</v>
          </cell>
          <cell r="AN1168" t="str">
            <v>LANDI KOTAL</v>
          </cell>
          <cell r="AO1168" t="str">
            <v>University Campus</v>
          </cell>
          <cell r="AP1168" t="str">
            <v>PESHAWAR</v>
          </cell>
        </row>
        <row r="1169">
          <cell r="AM1169">
            <v>324</v>
          </cell>
          <cell r="AN1169" t="str">
            <v>MATHRA, PESHAWAR</v>
          </cell>
          <cell r="AO1169" t="str">
            <v>University Campus</v>
          </cell>
          <cell r="AP1169" t="str">
            <v>PESHAWAR</v>
          </cell>
        </row>
        <row r="1170">
          <cell r="AM1170">
            <v>327</v>
          </cell>
          <cell r="AN1170" t="str">
            <v>AZA KHEL BALA</v>
          </cell>
          <cell r="AO1170" t="str">
            <v>Peshawar Cantonment</v>
          </cell>
          <cell r="AP1170" t="str">
            <v>PESHAWAR</v>
          </cell>
        </row>
        <row r="1171">
          <cell r="AM1171">
            <v>328</v>
          </cell>
          <cell r="AN1171" t="str">
            <v>TAJAZAI</v>
          </cell>
          <cell r="AO1171" t="str">
            <v>D.I. Khan</v>
          </cell>
          <cell r="AP1171" t="str">
            <v>PESHAWAR</v>
          </cell>
        </row>
        <row r="1172">
          <cell r="AM1172">
            <v>331</v>
          </cell>
          <cell r="AN1172" t="str">
            <v>KAKKI</v>
          </cell>
          <cell r="AO1172" t="str">
            <v>Banu</v>
          </cell>
          <cell r="AP1172" t="str">
            <v>PESHAWAR</v>
          </cell>
        </row>
        <row r="1173">
          <cell r="AM1173">
            <v>336</v>
          </cell>
          <cell r="AN1173" t="str">
            <v>PANIALA</v>
          </cell>
          <cell r="AO1173" t="str">
            <v>D.I. Khan</v>
          </cell>
          <cell r="AP1173" t="str">
            <v>PESHAWAR</v>
          </cell>
        </row>
        <row r="1174">
          <cell r="AM1174">
            <v>337</v>
          </cell>
          <cell r="AN1174" t="str">
            <v>IBRAHIMZAI, HANGU</v>
          </cell>
          <cell r="AO1174" t="str">
            <v>Hangu</v>
          </cell>
          <cell r="AP1174" t="str">
            <v>PESHAWAR</v>
          </cell>
        </row>
        <row r="1175">
          <cell r="AM1175">
            <v>338</v>
          </cell>
          <cell r="AN1175" t="str">
            <v>NASRAT KHEL, KOHAT</v>
          </cell>
          <cell r="AO1175" t="str">
            <v>Kohat</v>
          </cell>
          <cell r="AP1175" t="str">
            <v>PESHAWAR</v>
          </cell>
        </row>
        <row r="1176">
          <cell r="AM1176">
            <v>340</v>
          </cell>
          <cell r="AN1176" t="str">
            <v>LATAMBAR</v>
          </cell>
          <cell r="AO1176" t="str">
            <v>Banu</v>
          </cell>
          <cell r="AP1176" t="str">
            <v>PESHAWAR</v>
          </cell>
        </row>
        <row r="1177">
          <cell r="AM1177">
            <v>341</v>
          </cell>
          <cell r="AN1177" t="str">
            <v>SHAKARDARA</v>
          </cell>
          <cell r="AO1177" t="str">
            <v>Kohat</v>
          </cell>
          <cell r="AP1177" t="str">
            <v>PESHAWAR</v>
          </cell>
        </row>
        <row r="1178">
          <cell r="AM1178">
            <v>343</v>
          </cell>
          <cell r="AN1178" t="str">
            <v>KOHAT UNI. OF SCIENC</v>
          </cell>
          <cell r="AO1178" t="str">
            <v>Kohat</v>
          </cell>
          <cell r="AP1178" t="str">
            <v>PESHAWAR</v>
          </cell>
        </row>
        <row r="1179">
          <cell r="AM1179">
            <v>344</v>
          </cell>
          <cell r="AN1179" t="str">
            <v>SADDA, KURRAM AGENCY</v>
          </cell>
          <cell r="AO1179" t="str">
            <v>Parachinar</v>
          </cell>
          <cell r="AP1179" t="str">
            <v>PESHAWAR</v>
          </cell>
        </row>
        <row r="1180">
          <cell r="AM1180">
            <v>346</v>
          </cell>
          <cell r="AN1180" t="str">
            <v>TERRI</v>
          </cell>
          <cell r="AO1180" t="str">
            <v>Banu</v>
          </cell>
          <cell r="AP1180" t="str">
            <v>PESHAWAR</v>
          </cell>
        </row>
        <row r="1181">
          <cell r="AM1181">
            <v>347</v>
          </cell>
          <cell r="AN1181" t="str">
            <v>TOGHSARAI</v>
          </cell>
          <cell r="AO1181" t="str">
            <v>Hangu</v>
          </cell>
          <cell r="AP1181" t="str">
            <v>PESHAWAR</v>
          </cell>
        </row>
        <row r="1182">
          <cell r="AM1182">
            <v>361</v>
          </cell>
          <cell r="AN1182" t="str">
            <v>BARA</v>
          </cell>
          <cell r="AO1182" t="str">
            <v>University Campus</v>
          </cell>
          <cell r="AP1182" t="str">
            <v>PESHAWAR</v>
          </cell>
        </row>
        <row r="1183">
          <cell r="AM1183">
            <v>382</v>
          </cell>
          <cell r="AN1183" t="str">
            <v>BUNEY</v>
          </cell>
          <cell r="AO1183" t="str">
            <v>Chitral</v>
          </cell>
          <cell r="AP1183" t="str">
            <v>PESHAWAR</v>
          </cell>
        </row>
        <row r="1184">
          <cell r="AM1184">
            <v>383</v>
          </cell>
          <cell r="AN1184" t="str">
            <v>AUYUN</v>
          </cell>
          <cell r="AO1184" t="str">
            <v>Chitral</v>
          </cell>
          <cell r="AP1184" t="str">
            <v>PESHAWAR</v>
          </cell>
        </row>
        <row r="1185">
          <cell r="AM1185">
            <v>404</v>
          </cell>
          <cell r="AN1185" t="str">
            <v>UNIVERSITY CAMPUS, P</v>
          </cell>
          <cell r="AO1185" t="str">
            <v>University Campus</v>
          </cell>
          <cell r="AP1185" t="str">
            <v>PESHAWAR</v>
          </cell>
        </row>
        <row r="1186">
          <cell r="AM1186">
            <v>409</v>
          </cell>
          <cell r="AN1186" t="str">
            <v>KALOOR KOT-MAIN BAZA</v>
          </cell>
          <cell r="AO1186" t="str">
            <v>D.I. Khan</v>
          </cell>
          <cell r="AP1186" t="str">
            <v>PESHAWAR</v>
          </cell>
        </row>
        <row r="1187">
          <cell r="AM1187">
            <v>412</v>
          </cell>
          <cell r="AN1187" t="str">
            <v>PAF CAVAGNARY ROAD, PESHAWAR</v>
          </cell>
          <cell r="AO1187" t="str">
            <v>Peshawar Cantonment</v>
          </cell>
          <cell r="AP1187" t="str">
            <v>PESHAWAR</v>
          </cell>
        </row>
        <row r="1188">
          <cell r="AM1188">
            <v>417</v>
          </cell>
          <cell r="AN1188" t="str">
            <v>BANK SQUARE. PESHAWAR</v>
          </cell>
          <cell r="AO1188" t="str">
            <v>Peshawar City</v>
          </cell>
          <cell r="AP1188" t="str">
            <v>PESHAWAR</v>
          </cell>
        </row>
        <row r="1189">
          <cell r="AM1189">
            <v>435</v>
          </cell>
          <cell r="AN1189" t="str">
            <v>LACHI</v>
          </cell>
          <cell r="AO1189" t="str">
            <v>Kohat</v>
          </cell>
          <cell r="AP1189" t="str">
            <v>PESHAWAR</v>
          </cell>
        </row>
        <row r="1190">
          <cell r="AM1190">
            <v>463</v>
          </cell>
          <cell r="AN1190" t="str">
            <v>SUNEHRI MASJID ROAD</v>
          </cell>
          <cell r="AO1190" t="str">
            <v>Peshawar Cantonment</v>
          </cell>
          <cell r="AP1190" t="str">
            <v>PESHAWAR</v>
          </cell>
        </row>
        <row r="1191">
          <cell r="AM1191">
            <v>484</v>
          </cell>
          <cell r="AN1191" t="str">
            <v>TORAWARAY, HANGU</v>
          </cell>
          <cell r="AO1191" t="str">
            <v>Hangu</v>
          </cell>
          <cell r="AP1191" t="str">
            <v>PESHAWAR</v>
          </cell>
        </row>
        <row r="1192">
          <cell r="AM1192">
            <v>495</v>
          </cell>
          <cell r="AN1192" t="str">
            <v>THALL</v>
          </cell>
          <cell r="AO1192" t="str">
            <v>Parachinar</v>
          </cell>
          <cell r="AP1192" t="str">
            <v>PESHAWAR</v>
          </cell>
        </row>
        <row r="1193">
          <cell r="AM1193">
            <v>696</v>
          </cell>
          <cell r="AN1193" t="str">
            <v>KHYBER BAZAR, PESHAWAR</v>
          </cell>
          <cell r="AO1193" t="str">
            <v>Peshawar City</v>
          </cell>
          <cell r="AP1193" t="str">
            <v>PESHAWAR</v>
          </cell>
        </row>
        <row r="1194">
          <cell r="AM1194">
            <v>853</v>
          </cell>
          <cell r="AN1194" t="str">
            <v>AKBARPURA, NOWSHERA</v>
          </cell>
          <cell r="AO1194" t="str">
            <v>Peshawar Cantonment</v>
          </cell>
          <cell r="AP1194" t="str">
            <v>PESHAWAR</v>
          </cell>
        </row>
        <row r="1195">
          <cell r="AM1195">
            <v>898</v>
          </cell>
          <cell r="AN1195" t="str">
            <v>POLICE ROAD, PESHAWAR</v>
          </cell>
          <cell r="AO1195" t="str">
            <v>Peshawar Cantonment</v>
          </cell>
          <cell r="AP1195" t="str">
            <v>PESHAWAR</v>
          </cell>
        </row>
        <row r="1196">
          <cell r="AM1196">
            <v>975</v>
          </cell>
          <cell r="AN1196" t="str">
            <v>CHITRAL</v>
          </cell>
          <cell r="AO1196" t="str">
            <v>Chitral</v>
          </cell>
          <cell r="AP1196" t="str">
            <v>PESHAWAR</v>
          </cell>
        </row>
        <row r="1197">
          <cell r="AM1197">
            <v>977</v>
          </cell>
          <cell r="AN1197" t="str">
            <v>DAROSH</v>
          </cell>
          <cell r="AO1197" t="str">
            <v>Chitral</v>
          </cell>
          <cell r="AP1197" t="str">
            <v>PESHAWAR</v>
          </cell>
        </row>
        <row r="1198">
          <cell r="AM1198">
            <v>985</v>
          </cell>
          <cell r="AN1198" t="str">
            <v>PALOSA SAR</v>
          </cell>
          <cell r="AO1198" t="str">
            <v>D.I. Khan</v>
          </cell>
          <cell r="AP1198" t="str">
            <v>PESHAWAR</v>
          </cell>
        </row>
        <row r="1199">
          <cell r="AM1199">
            <v>1009</v>
          </cell>
          <cell r="AN1199" t="str">
            <v>DRASUN</v>
          </cell>
          <cell r="AO1199" t="str">
            <v>Chitral</v>
          </cell>
          <cell r="AP1199" t="str">
            <v>PESHAWAR</v>
          </cell>
        </row>
        <row r="1200">
          <cell r="AM1200">
            <v>1017</v>
          </cell>
          <cell r="AN1200" t="str">
            <v>TANK</v>
          </cell>
          <cell r="AO1200" t="str">
            <v>D.I. Khan</v>
          </cell>
          <cell r="AP1200" t="str">
            <v>PESHAWAR</v>
          </cell>
        </row>
        <row r="1201">
          <cell r="AM1201">
            <v>1030</v>
          </cell>
          <cell r="AN1201" t="str">
            <v>KOT JAI</v>
          </cell>
          <cell r="AO1201" t="str">
            <v>D.I. Khan</v>
          </cell>
          <cell r="AP1201" t="str">
            <v>PESHAWAR</v>
          </cell>
        </row>
        <row r="1202">
          <cell r="AM1202">
            <v>1096</v>
          </cell>
          <cell r="AN1202" t="str">
            <v>ALIZAI, KURRAM AGENC</v>
          </cell>
          <cell r="AO1202" t="str">
            <v>Parachinar</v>
          </cell>
          <cell r="AP1202" t="str">
            <v>PESHAWAR</v>
          </cell>
        </row>
        <row r="1203">
          <cell r="AM1203">
            <v>1113</v>
          </cell>
          <cell r="AN1203" t="str">
            <v>PESHAWAR-HAYATABAD</v>
          </cell>
          <cell r="AO1203" t="str">
            <v>University Campus</v>
          </cell>
          <cell r="AP1203" t="str">
            <v>PESHAWAR</v>
          </cell>
        </row>
        <row r="1204">
          <cell r="AM1204">
            <v>1161</v>
          </cell>
          <cell r="AN1204" t="str">
            <v>ARBAB ROAD, PESHAWAR</v>
          </cell>
          <cell r="AO1204" t="str">
            <v>Peshawar Cantonment</v>
          </cell>
          <cell r="AP1204" t="str">
            <v>PESHAWAR</v>
          </cell>
        </row>
        <row r="1205">
          <cell r="AM1205">
            <v>1169</v>
          </cell>
          <cell r="AN1205" t="str">
            <v>LAKKI MARWAT</v>
          </cell>
          <cell r="AO1205" t="str">
            <v>D.I. Khan</v>
          </cell>
          <cell r="AP1205" t="str">
            <v>PESHAWAR</v>
          </cell>
        </row>
        <row r="1206">
          <cell r="AM1206">
            <v>1181</v>
          </cell>
          <cell r="AN1206" t="str">
            <v>G.T. ROAD BR</v>
          </cell>
          <cell r="AO1206" t="str">
            <v>Peshawar City</v>
          </cell>
          <cell r="AP1206" t="str">
            <v>PESHAWAR</v>
          </cell>
        </row>
        <row r="1207">
          <cell r="AM1207">
            <v>1189</v>
          </cell>
          <cell r="AN1207" t="str">
            <v>PAROVA</v>
          </cell>
          <cell r="AO1207" t="str">
            <v>D.I. Khan</v>
          </cell>
          <cell r="AP1207" t="str">
            <v>PESHAWAR</v>
          </cell>
        </row>
        <row r="1208">
          <cell r="AM1208">
            <v>1190</v>
          </cell>
          <cell r="AN1208" t="str">
            <v>TEHSIL GATE BR</v>
          </cell>
          <cell r="AO1208" t="str">
            <v>Kohat</v>
          </cell>
          <cell r="AP1208" t="str">
            <v>PESHAWAR</v>
          </cell>
        </row>
        <row r="1209">
          <cell r="AM1209">
            <v>1280</v>
          </cell>
          <cell r="AN1209" t="str">
            <v>SURIZAI PAYAN</v>
          </cell>
          <cell r="AO1209" t="str">
            <v>Peshawar City</v>
          </cell>
          <cell r="AP1209" t="str">
            <v>PESHAWAR</v>
          </cell>
        </row>
        <row r="1210">
          <cell r="AM1210">
            <v>1296</v>
          </cell>
          <cell r="AN1210" t="str">
            <v>SARAI  KIRISHNA</v>
          </cell>
          <cell r="AO1210" t="str">
            <v>D.I. Khan</v>
          </cell>
          <cell r="AP1210" t="str">
            <v>PESHAWAR</v>
          </cell>
        </row>
        <row r="1211">
          <cell r="AM1211">
            <v>1326</v>
          </cell>
          <cell r="AN1211" t="str">
            <v>DARYA KHAN</v>
          </cell>
          <cell r="AO1211" t="str">
            <v>D.I. Khan</v>
          </cell>
          <cell r="AP1211" t="str">
            <v>PESHAWAR</v>
          </cell>
        </row>
        <row r="1212">
          <cell r="AM1212">
            <v>1330</v>
          </cell>
          <cell r="AN1212" t="str">
            <v>KOHAT-KING GATE</v>
          </cell>
          <cell r="AO1212" t="str">
            <v>Kohat</v>
          </cell>
          <cell r="AP1212" t="str">
            <v>PESHAWAR</v>
          </cell>
        </row>
        <row r="1213">
          <cell r="AM1213">
            <v>1347</v>
          </cell>
          <cell r="AN1213" t="str">
            <v>SHER KOT</v>
          </cell>
          <cell r="AO1213" t="str">
            <v>Kohat</v>
          </cell>
          <cell r="AP1213" t="str">
            <v>PESHAWAR</v>
          </cell>
        </row>
        <row r="1214">
          <cell r="AM1214">
            <v>1359</v>
          </cell>
          <cell r="AN1214" t="str">
            <v>CIRCULAR ROAD, D.I.KHAN</v>
          </cell>
          <cell r="AO1214" t="str">
            <v>D.I. Khan</v>
          </cell>
          <cell r="AP1214" t="str">
            <v>PESHAWAR</v>
          </cell>
        </row>
        <row r="1215">
          <cell r="AM1215">
            <v>1435</v>
          </cell>
          <cell r="AN1215" t="str">
            <v>KARAK</v>
          </cell>
          <cell r="AO1215" t="str">
            <v>D.I. Khan</v>
          </cell>
          <cell r="AP1215" t="str">
            <v>PESHAWAR</v>
          </cell>
        </row>
        <row r="1216">
          <cell r="AM1216">
            <v>1468</v>
          </cell>
          <cell r="AN1216" t="str">
            <v>TAKHT NASRATTI BALA</v>
          </cell>
          <cell r="AO1216" t="str">
            <v>D.I. Khan</v>
          </cell>
          <cell r="AP1216" t="str">
            <v>PESHAWAR</v>
          </cell>
        </row>
        <row r="1217">
          <cell r="AM1217">
            <v>1482</v>
          </cell>
          <cell r="AN1217" t="str">
            <v>USTERZAI BALA, KOHAT</v>
          </cell>
          <cell r="AO1217" t="str">
            <v>Kohat</v>
          </cell>
          <cell r="AP1217" t="str">
            <v>PESHAWAR</v>
          </cell>
        </row>
        <row r="1218">
          <cell r="AM1218">
            <v>1487</v>
          </cell>
          <cell r="AN1218" t="str">
            <v>AGRICULTURE UNIVERSITY, PESHAWAR</v>
          </cell>
          <cell r="AO1218" t="str">
            <v>University Campus</v>
          </cell>
          <cell r="AP1218" t="str">
            <v>PESHAWAR</v>
          </cell>
        </row>
        <row r="1219">
          <cell r="AM1219">
            <v>1498</v>
          </cell>
          <cell r="AN1219" t="str">
            <v>GARAM CHASHMA</v>
          </cell>
          <cell r="AO1219" t="str">
            <v>Chitral</v>
          </cell>
          <cell r="AP1219" t="str">
            <v>PESHAWAR</v>
          </cell>
        </row>
        <row r="1220">
          <cell r="AM1220">
            <v>1513</v>
          </cell>
          <cell r="AN1220" t="str">
            <v>RAZMAK</v>
          </cell>
          <cell r="AO1220" t="str">
            <v>Banu</v>
          </cell>
          <cell r="AP1220" t="str">
            <v>PESHAWAR</v>
          </cell>
        </row>
        <row r="1221">
          <cell r="AM1221">
            <v>1539</v>
          </cell>
          <cell r="AN1221" t="str">
            <v>RAISAN</v>
          </cell>
          <cell r="AO1221" t="str">
            <v>Hangu</v>
          </cell>
          <cell r="AP1221" t="str">
            <v>PESHAWAR</v>
          </cell>
        </row>
        <row r="1222">
          <cell r="AM1222">
            <v>1540</v>
          </cell>
          <cell r="AN1222" t="str">
            <v>AASHIANA SHOPPING CENTRE, D.I.KHAN</v>
          </cell>
          <cell r="AO1222" t="str">
            <v>D.I. Khan</v>
          </cell>
          <cell r="AP1222" t="str">
            <v>PESHAWAR</v>
          </cell>
        </row>
        <row r="1223">
          <cell r="AM1223">
            <v>1548</v>
          </cell>
          <cell r="AN1223" t="str">
            <v>MUHAMMADZAI, KOHAT</v>
          </cell>
          <cell r="AO1223" t="str">
            <v>Kohat</v>
          </cell>
          <cell r="AP1223" t="str">
            <v>PESHAWAR</v>
          </cell>
        </row>
        <row r="1224">
          <cell r="AM1224">
            <v>1595</v>
          </cell>
          <cell r="AN1224" t="str">
            <v>KHURRAM</v>
          </cell>
          <cell r="AO1224" t="str">
            <v>Banu</v>
          </cell>
          <cell r="AP1224" t="str">
            <v>PESHAWAR</v>
          </cell>
        </row>
        <row r="1225">
          <cell r="AM1225">
            <v>1596</v>
          </cell>
          <cell r="AN1225" t="str">
            <v>MITHA KHEL</v>
          </cell>
          <cell r="AO1225" t="str">
            <v>D.I. Khan</v>
          </cell>
          <cell r="AP1225" t="str">
            <v>PESHAWAR</v>
          </cell>
        </row>
        <row r="1226">
          <cell r="AM1226">
            <v>1597</v>
          </cell>
          <cell r="AN1226" t="str">
            <v>BANNU-LAKKI GATE</v>
          </cell>
          <cell r="AO1226" t="str">
            <v>Banu</v>
          </cell>
          <cell r="AP1226" t="str">
            <v>PESHAWAR</v>
          </cell>
        </row>
        <row r="1227">
          <cell r="AM1227">
            <v>1606</v>
          </cell>
          <cell r="AN1227" t="str">
            <v>BAHADUR KHEL, KARAK</v>
          </cell>
          <cell r="AO1227" t="str">
            <v>Banu</v>
          </cell>
          <cell r="AP1227" t="str">
            <v>PESHAWAR</v>
          </cell>
        </row>
        <row r="1228">
          <cell r="AM1228">
            <v>1628</v>
          </cell>
          <cell r="AN1228" t="str">
            <v>CHASHMA SUGAR MILLS</v>
          </cell>
          <cell r="AO1228" t="str">
            <v>D.I. Khan</v>
          </cell>
          <cell r="AP1228" t="str">
            <v>PESHAWAR</v>
          </cell>
        </row>
        <row r="1229">
          <cell r="AM1229">
            <v>1663</v>
          </cell>
          <cell r="AN1229" t="str">
            <v>DARRA ADAM KHEL</v>
          </cell>
          <cell r="AO1229" t="str">
            <v>Kohat</v>
          </cell>
          <cell r="AP1229" t="str">
            <v>PESHAWAR</v>
          </cell>
        </row>
        <row r="1230">
          <cell r="AM1230">
            <v>1664</v>
          </cell>
          <cell r="AN1230" t="str">
            <v>NARYAB, HANGU</v>
          </cell>
          <cell r="AO1230" t="str">
            <v>Hangu</v>
          </cell>
          <cell r="AP1230" t="str">
            <v>PESHAWAR</v>
          </cell>
        </row>
        <row r="1231">
          <cell r="AM1231">
            <v>1665</v>
          </cell>
          <cell r="AN1231" t="str">
            <v>KOTLI KALAN</v>
          </cell>
          <cell r="AO1231" t="str">
            <v>Peshawar Cantonment</v>
          </cell>
          <cell r="AP1231" t="str">
            <v>PESHAWAR</v>
          </cell>
        </row>
        <row r="1232">
          <cell r="AM1232">
            <v>1694</v>
          </cell>
          <cell r="AN1232" t="str">
            <v>DOABA</v>
          </cell>
          <cell r="AO1232" t="str">
            <v>Hangu</v>
          </cell>
          <cell r="AP1232" t="str">
            <v>PESHAWAR</v>
          </cell>
        </row>
        <row r="1233">
          <cell r="AM1233">
            <v>1695</v>
          </cell>
          <cell r="AN1233" t="str">
            <v>TORI BAZAR, PARACHIN</v>
          </cell>
          <cell r="AO1233" t="str">
            <v>Parachinar</v>
          </cell>
          <cell r="AP1233" t="str">
            <v>PESHAWAR</v>
          </cell>
        </row>
        <row r="1234">
          <cell r="AM1234">
            <v>1696</v>
          </cell>
          <cell r="AN1234" t="str">
            <v>HANGU-BUS ADDA</v>
          </cell>
          <cell r="AO1234" t="str">
            <v>Hangu</v>
          </cell>
          <cell r="AP1234" t="str">
            <v>PESHAWAR</v>
          </cell>
        </row>
        <row r="1235">
          <cell r="AM1235">
            <v>1697</v>
          </cell>
          <cell r="AN1235" t="str">
            <v>UNIVERSITY TOWN, PESHAWAR</v>
          </cell>
          <cell r="AO1235" t="str">
            <v>University Campus</v>
          </cell>
          <cell r="AP1235" t="str">
            <v>PESHAWAR</v>
          </cell>
        </row>
        <row r="1236">
          <cell r="AM1236">
            <v>1732</v>
          </cell>
          <cell r="AN1236" t="str">
            <v>D.I. KHAN-SADDAR BAZ</v>
          </cell>
          <cell r="AO1236" t="str">
            <v>D.I. Khan</v>
          </cell>
          <cell r="AP1236" t="str">
            <v>PESHAWAR</v>
          </cell>
        </row>
        <row r="1237">
          <cell r="AM1237">
            <v>1746</v>
          </cell>
          <cell r="AN1237" t="str">
            <v>DATTA KHEL ROAD, MIR</v>
          </cell>
          <cell r="AO1237" t="str">
            <v>Banu</v>
          </cell>
          <cell r="AP1237" t="str">
            <v>PESHAWAR</v>
          </cell>
        </row>
        <row r="1238">
          <cell r="AM1238">
            <v>1750</v>
          </cell>
          <cell r="AN1238" t="str">
            <v>KALAYA, ORK. AGENCY</v>
          </cell>
          <cell r="AO1238" t="str">
            <v>Hangu</v>
          </cell>
          <cell r="AP1238" t="str">
            <v>PESHAWAR</v>
          </cell>
        </row>
        <row r="1239">
          <cell r="AM1239">
            <v>1761</v>
          </cell>
          <cell r="AN1239" t="str">
            <v>MARAI, KOHAT</v>
          </cell>
          <cell r="AO1239" t="str">
            <v>Kohat</v>
          </cell>
          <cell r="AP1239" t="str">
            <v>PESHAWAR</v>
          </cell>
        </row>
        <row r="1240">
          <cell r="AM1240">
            <v>1763</v>
          </cell>
          <cell r="AN1240" t="str">
            <v>ADDA JAHAN KHAN</v>
          </cell>
          <cell r="AO1240" t="str">
            <v>D.I. Khan</v>
          </cell>
          <cell r="AP1240" t="str">
            <v>PESHAWAR</v>
          </cell>
        </row>
        <row r="1241">
          <cell r="AM1241">
            <v>1780</v>
          </cell>
          <cell r="AN1241" t="str">
            <v>AHMEDABAD DISTT. KAR</v>
          </cell>
          <cell r="AO1241" t="str">
            <v>D.I. Khan</v>
          </cell>
          <cell r="AP1241" t="str">
            <v>PESHAWAR</v>
          </cell>
        </row>
        <row r="1242">
          <cell r="AM1242">
            <v>1782</v>
          </cell>
          <cell r="AN1242" t="str">
            <v>PAF BASE, KOHAT CANTT.</v>
          </cell>
          <cell r="AO1242" t="str">
            <v>Kohat</v>
          </cell>
          <cell r="AP1242" t="str">
            <v>PESHAWAR</v>
          </cell>
        </row>
        <row r="1243">
          <cell r="AM1243">
            <v>1806</v>
          </cell>
          <cell r="AN1243" t="str">
            <v>MIR ALI, TRIBAL AREA</v>
          </cell>
          <cell r="AO1243" t="str">
            <v>Banu</v>
          </cell>
          <cell r="AP1243" t="str">
            <v>PESHAWAR</v>
          </cell>
        </row>
        <row r="1244">
          <cell r="AM1244">
            <v>1808</v>
          </cell>
          <cell r="AN1244" t="str">
            <v>GHILJO</v>
          </cell>
          <cell r="AO1244" t="str">
            <v>Hangu</v>
          </cell>
          <cell r="AP1244" t="str">
            <v>PESHAWAR</v>
          </cell>
        </row>
        <row r="1245">
          <cell r="AM1245">
            <v>1821</v>
          </cell>
          <cell r="AN1245" t="str">
            <v>SHAHGRAM</v>
          </cell>
          <cell r="AO1245" t="str">
            <v>Chitral</v>
          </cell>
          <cell r="AP1245" t="str">
            <v>PESHAWAR</v>
          </cell>
        </row>
        <row r="1246">
          <cell r="AM1246">
            <v>1855</v>
          </cell>
          <cell r="AN1246" t="str">
            <v>BADBER</v>
          </cell>
          <cell r="AO1246" t="str">
            <v>Peshawar City</v>
          </cell>
          <cell r="AP1246" t="str">
            <v>PESHAWAR</v>
          </cell>
        </row>
        <row r="1247">
          <cell r="AM1247">
            <v>1890</v>
          </cell>
          <cell r="AN1247" t="str">
            <v>NARI PANOOS</v>
          </cell>
          <cell r="AO1247" t="str">
            <v>D.I. Khan</v>
          </cell>
          <cell r="AP1247" t="str">
            <v>PESHAWAR</v>
          </cell>
        </row>
        <row r="1248">
          <cell r="AM1248">
            <v>1991</v>
          </cell>
          <cell r="AN1248" t="str">
            <v>AZIM KALA ROAD</v>
          </cell>
          <cell r="AO1248" t="str">
            <v>Banu</v>
          </cell>
          <cell r="AP1248" t="str">
            <v>PESHAWAR</v>
          </cell>
        </row>
        <row r="1249">
          <cell r="AM1249">
            <v>2242</v>
          </cell>
          <cell r="AN1249" t="str">
            <v>GULBAHAR COLONY NO.2. PESHAWAR.</v>
          </cell>
          <cell r="AO1249" t="str">
            <v>Peshawar City</v>
          </cell>
          <cell r="AP1249" t="str">
            <v>PESHAWAR</v>
          </cell>
        </row>
        <row r="1250">
          <cell r="AM1250">
            <v>2318</v>
          </cell>
          <cell r="AN1250" t="str">
            <v>UST MAIN CAMPUS BRAN</v>
          </cell>
          <cell r="AO1250" t="str">
            <v>Banu</v>
          </cell>
          <cell r="AP1250" t="str">
            <v>PESHAWAR</v>
          </cell>
        </row>
        <row r="1251">
          <cell r="AM1251">
            <v>2323</v>
          </cell>
          <cell r="AN1251" t="str">
            <v>WARSAK ROAD BRANCH</v>
          </cell>
          <cell r="AO1251" t="str">
            <v>University Campus</v>
          </cell>
          <cell r="AP1251" t="str">
            <v>PESHAWAR</v>
          </cell>
        </row>
        <row r="1252">
          <cell r="AM1252">
            <v>2350</v>
          </cell>
          <cell r="AN1252" t="str">
            <v>SARAI NAURANG BRANCH</v>
          </cell>
          <cell r="AO1252" t="str">
            <v>Banu</v>
          </cell>
          <cell r="AP1252" t="str">
            <v>PESHAWAR</v>
          </cell>
        </row>
        <row r="1253">
          <cell r="AM1253">
            <v>2362</v>
          </cell>
          <cell r="AN1253" t="str">
            <v>RING ROAD BRANCH</v>
          </cell>
          <cell r="AO1253" t="str">
            <v>University Campus</v>
          </cell>
          <cell r="AP1253" t="str">
            <v>PESHAWAR</v>
          </cell>
        </row>
        <row r="1254">
          <cell r="AM1254">
            <v>2385</v>
          </cell>
          <cell r="AN1254" t="str">
            <v>CHAK NO 34-B/TDA BRA</v>
          </cell>
          <cell r="AO1254" t="str">
            <v>D.I. Khan</v>
          </cell>
          <cell r="AP1254" t="str">
            <v>PESHAWAR</v>
          </cell>
        </row>
        <row r="1255">
          <cell r="AM1255">
            <v>2460</v>
          </cell>
          <cell r="AN1255" t="str">
            <v>Cadet Collage Kohat</v>
          </cell>
          <cell r="AO1255" t="str">
            <v>Kohat</v>
          </cell>
          <cell r="AP1255" t="str">
            <v>PESHAWAR</v>
          </cell>
        </row>
        <row r="1256">
          <cell r="AM1256">
            <v>2467</v>
          </cell>
          <cell r="AN1256" t="str">
            <v>Sh.Yousuf Adda D.IKHAN</v>
          </cell>
          <cell r="AO1256" t="str">
            <v>D.I. Khan</v>
          </cell>
          <cell r="AP1256" t="str">
            <v>PESHAWAR</v>
          </cell>
        </row>
        <row r="1257">
          <cell r="AM1257">
            <v>191</v>
          </cell>
          <cell r="AN1257" t="str">
            <v>UTMANZAI</v>
          </cell>
          <cell r="AO1257" t="str">
            <v>Charsadda</v>
          </cell>
          <cell r="AP1257" t="str">
            <v>MARDAN</v>
          </cell>
        </row>
        <row r="1258">
          <cell r="AM1258">
            <v>201</v>
          </cell>
          <cell r="AN1258" t="str">
            <v>SWABI</v>
          </cell>
          <cell r="AO1258" t="str">
            <v>Swabi</v>
          </cell>
          <cell r="AP1258" t="str">
            <v>MARDAN</v>
          </cell>
        </row>
        <row r="1259">
          <cell r="AM1259">
            <v>217</v>
          </cell>
          <cell r="AN1259" t="str">
            <v>TEHSIL BAZAR, CHARSADDA</v>
          </cell>
          <cell r="AO1259" t="str">
            <v>Charsadda</v>
          </cell>
          <cell r="AP1259" t="str">
            <v>MARDAN</v>
          </cell>
        </row>
        <row r="1260">
          <cell r="AM1260">
            <v>219</v>
          </cell>
          <cell r="AN1260" t="str">
            <v>BANK ROAD, MARDAN</v>
          </cell>
          <cell r="AO1260" t="str">
            <v>Mardan</v>
          </cell>
          <cell r="AP1260" t="str">
            <v>MARDAN</v>
          </cell>
        </row>
        <row r="1261">
          <cell r="AM1261">
            <v>221</v>
          </cell>
          <cell r="AN1261" t="str">
            <v>MINGORA-BANK SQUARE</v>
          </cell>
          <cell r="AO1261" t="str">
            <v>Mingora</v>
          </cell>
          <cell r="AP1261" t="str">
            <v>MARDAN</v>
          </cell>
        </row>
        <row r="1262">
          <cell r="AM1262">
            <v>222</v>
          </cell>
          <cell r="AN1262" t="str">
            <v>NOWSHERA-CANTT.</v>
          </cell>
          <cell r="AO1262" t="str">
            <v>Nowshera</v>
          </cell>
          <cell r="AP1262" t="str">
            <v>MARDAN</v>
          </cell>
        </row>
        <row r="1263">
          <cell r="AM1263">
            <v>248</v>
          </cell>
          <cell r="AN1263" t="str">
            <v>TORDHER</v>
          </cell>
          <cell r="AO1263" t="str">
            <v>Nowshera</v>
          </cell>
          <cell r="AP1263" t="str">
            <v>MARDAN</v>
          </cell>
        </row>
        <row r="1264">
          <cell r="AM1264">
            <v>277</v>
          </cell>
          <cell r="AN1264" t="str">
            <v>ZAROBI</v>
          </cell>
          <cell r="AO1264" t="str">
            <v>Swabi</v>
          </cell>
          <cell r="AP1264" t="str">
            <v>MARDAN</v>
          </cell>
        </row>
        <row r="1265">
          <cell r="AM1265">
            <v>278</v>
          </cell>
          <cell r="AN1265" t="str">
            <v>CHAKDARA</v>
          </cell>
          <cell r="AO1265" t="str">
            <v>CHAKDARRA</v>
          </cell>
          <cell r="AP1265" t="str">
            <v>MARDAN</v>
          </cell>
        </row>
        <row r="1266">
          <cell r="AM1266">
            <v>288</v>
          </cell>
          <cell r="AN1266" t="str">
            <v>SHEWA ADDA</v>
          </cell>
          <cell r="AO1266" t="str">
            <v>Mardan</v>
          </cell>
          <cell r="AP1266" t="str">
            <v>MARDAN</v>
          </cell>
        </row>
        <row r="1267">
          <cell r="AM1267">
            <v>289</v>
          </cell>
          <cell r="AN1267" t="str">
            <v>SHAHBAZ GARHI</v>
          </cell>
          <cell r="AO1267" t="str">
            <v>Mardan</v>
          </cell>
          <cell r="AP1267" t="str">
            <v>MARDAN</v>
          </cell>
        </row>
        <row r="1268">
          <cell r="AM1268">
            <v>323</v>
          </cell>
          <cell r="AN1268" t="str">
            <v>DAGAI</v>
          </cell>
          <cell r="AO1268" t="str">
            <v>Mardan</v>
          </cell>
          <cell r="AP1268" t="str">
            <v>MARDAN</v>
          </cell>
        </row>
        <row r="1269">
          <cell r="AM1269">
            <v>326</v>
          </cell>
          <cell r="AN1269" t="str">
            <v>HARICHAND DISTT. CHA</v>
          </cell>
          <cell r="AO1269" t="str">
            <v>Charsadda</v>
          </cell>
          <cell r="AP1269" t="str">
            <v>MARDAN</v>
          </cell>
        </row>
        <row r="1270">
          <cell r="AM1270">
            <v>332</v>
          </cell>
          <cell r="AN1270" t="str">
            <v>DOBIAN</v>
          </cell>
          <cell r="AO1270" t="str">
            <v>Mardan</v>
          </cell>
          <cell r="AP1270" t="str">
            <v>MARDAN</v>
          </cell>
        </row>
        <row r="1271">
          <cell r="AM1271">
            <v>348</v>
          </cell>
          <cell r="AN1271" t="str">
            <v>NIZAMPUR</v>
          </cell>
          <cell r="AO1271" t="str">
            <v>Nowshera</v>
          </cell>
          <cell r="AP1271" t="str">
            <v>MARDAN</v>
          </cell>
        </row>
        <row r="1272">
          <cell r="AM1272">
            <v>349</v>
          </cell>
          <cell r="AN1272" t="str">
            <v>DEEWANA BABA</v>
          </cell>
          <cell r="AO1272" t="str">
            <v>Buner</v>
          </cell>
          <cell r="AP1272" t="str">
            <v>MARDAN</v>
          </cell>
        </row>
        <row r="1273">
          <cell r="AM1273">
            <v>351</v>
          </cell>
          <cell r="AN1273" t="str">
            <v>KOZA BANDI</v>
          </cell>
          <cell r="AO1273" t="str">
            <v>Mingora</v>
          </cell>
          <cell r="AP1273" t="str">
            <v>MARDAN</v>
          </cell>
        </row>
        <row r="1274">
          <cell r="AM1274">
            <v>355</v>
          </cell>
          <cell r="AN1274" t="str">
            <v>DIR</v>
          </cell>
          <cell r="AO1274" t="str">
            <v>Timergara</v>
          </cell>
          <cell r="AP1274" t="str">
            <v>MARDAN</v>
          </cell>
        </row>
        <row r="1275">
          <cell r="AM1275">
            <v>357</v>
          </cell>
          <cell r="AN1275" t="str">
            <v>TOTALAI</v>
          </cell>
          <cell r="AO1275" t="str">
            <v>Buner</v>
          </cell>
          <cell r="AP1275" t="str">
            <v>MARDAN</v>
          </cell>
        </row>
        <row r="1276">
          <cell r="AM1276">
            <v>358</v>
          </cell>
          <cell r="AN1276" t="str">
            <v>ANGHAPUR</v>
          </cell>
          <cell r="AO1276" t="str">
            <v>Buner</v>
          </cell>
          <cell r="AP1276" t="str">
            <v>MARDAN</v>
          </cell>
        </row>
        <row r="1277">
          <cell r="AM1277">
            <v>359</v>
          </cell>
          <cell r="AN1277" t="str">
            <v>BARAWAL BANDI</v>
          </cell>
          <cell r="AO1277" t="str">
            <v>Timergara</v>
          </cell>
          <cell r="AP1277" t="str">
            <v>MARDAN</v>
          </cell>
        </row>
        <row r="1278">
          <cell r="AM1278">
            <v>363</v>
          </cell>
          <cell r="AN1278" t="str">
            <v>MUNDA</v>
          </cell>
          <cell r="AO1278" t="str">
            <v>Timergara</v>
          </cell>
          <cell r="AP1278" t="str">
            <v>MARDAN</v>
          </cell>
        </row>
        <row r="1279">
          <cell r="AM1279">
            <v>365</v>
          </cell>
          <cell r="AN1279" t="str">
            <v>KAMALPUR MUSA</v>
          </cell>
          <cell r="AO1279" t="str">
            <v>Nowshera</v>
          </cell>
          <cell r="AP1279" t="str">
            <v>MARDAN</v>
          </cell>
        </row>
        <row r="1280">
          <cell r="AM1280">
            <v>386</v>
          </cell>
          <cell r="AN1280" t="str">
            <v>KHAR</v>
          </cell>
          <cell r="AO1280" t="str">
            <v>Timergara</v>
          </cell>
          <cell r="AP1280" t="str">
            <v>MARDAN</v>
          </cell>
        </row>
        <row r="1281">
          <cell r="AM1281">
            <v>440</v>
          </cell>
          <cell r="AN1281" t="str">
            <v>PIR BABA</v>
          </cell>
          <cell r="AO1281" t="str">
            <v>Buner</v>
          </cell>
          <cell r="AP1281" t="str">
            <v>MARDAN</v>
          </cell>
        </row>
        <row r="1282">
          <cell r="AM1282">
            <v>441</v>
          </cell>
          <cell r="AN1282" t="str">
            <v>PAR HOTI, MARDAN</v>
          </cell>
          <cell r="AO1282" t="str">
            <v>Mardan</v>
          </cell>
          <cell r="AP1282" t="str">
            <v>MARDAN</v>
          </cell>
        </row>
        <row r="1283">
          <cell r="AM1283">
            <v>458</v>
          </cell>
          <cell r="AN1283" t="str">
            <v>MADYAN</v>
          </cell>
          <cell r="AO1283" t="str">
            <v>Mingora</v>
          </cell>
          <cell r="AP1283" t="str">
            <v>MARDAN</v>
          </cell>
        </row>
        <row r="1284">
          <cell r="AM1284">
            <v>472</v>
          </cell>
          <cell r="AN1284" t="str">
            <v>TAKHT BAI</v>
          </cell>
          <cell r="AO1284" t="str">
            <v>Mardan</v>
          </cell>
          <cell r="AP1284" t="str">
            <v>MARDAN</v>
          </cell>
        </row>
        <row r="1285">
          <cell r="AM1285">
            <v>480</v>
          </cell>
          <cell r="AN1285" t="str">
            <v>DARGAI</v>
          </cell>
          <cell r="AO1285" t="str">
            <v>Dargai</v>
          </cell>
          <cell r="AP1285" t="str">
            <v>MARDAN</v>
          </cell>
        </row>
        <row r="1286">
          <cell r="AM1286">
            <v>505</v>
          </cell>
          <cell r="AN1286" t="str">
            <v>SARDHERI</v>
          </cell>
          <cell r="AO1286" t="str">
            <v>Charsadda</v>
          </cell>
          <cell r="AP1286" t="str">
            <v>MARDAN</v>
          </cell>
        </row>
        <row r="1287">
          <cell r="AM1287">
            <v>507</v>
          </cell>
          <cell r="AN1287" t="str">
            <v>FAUJOON</v>
          </cell>
          <cell r="AO1287" t="str">
            <v>Nowshera</v>
          </cell>
          <cell r="AP1287" t="str">
            <v>MARDAN</v>
          </cell>
        </row>
        <row r="1288">
          <cell r="AM1288">
            <v>535</v>
          </cell>
          <cell r="AN1288" t="str">
            <v>DHERI  KHATTAK</v>
          </cell>
          <cell r="AO1288" t="str">
            <v>Nowshera</v>
          </cell>
          <cell r="AP1288" t="str">
            <v>MARDAN</v>
          </cell>
        </row>
        <row r="1289">
          <cell r="AM1289">
            <v>559</v>
          </cell>
          <cell r="AN1289" t="str">
            <v>KOTHA</v>
          </cell>
          <cell r="AO1289" t="str">
            <v>Swabi</v>
          </cell>
          <cell r="AP1289" t="str">
            <v>MARDAN</v>
          </cell>
        </row>
        <row r="1290">
          <cell r="AM1290">
            <v>563</v>
          </cell>
          <cell r="AN1290" t="str">
            <v>CHARGHULI</v>
          </cell>
          <cell r="AO1290" t="str">
            <v>Mardan</v>
          </cell>
          <cell r="AP1290" t="str">
            <v>MARDAN</v>
          </cell>
        </row>
        <row r="1291">
          <cell r="AM1291">
            <v>575</v>
          </cell>
          <cell r="AN1291" t="str">
            <v>GHAZI BRANCH</v>
          </cell>
          <cell r="AO1291" t="str">
            <v>Swabi</v>
          </cell>
          <cell r="AP1291" t="str">
            <v>MARDAN</v>
          </cell>
        </row>
        <row r="1292">
          <cell r="AM1292">
            <v>801</v>
          </cell>
          <cell r="AN1292" t="str">
            <v>TOPI MAIN BRANCH</v>
          </cell>
          <cell r="AO1292" t="str">
            <v>Swabi</v>
          </cell>
          <cell r="AP1292" t="str">
            <v>MARDAN</v>
          </cell>
        </row>
        <row r="1293">
          <cell r="AM1293">
            <v>825</v>
          </cell>
          <cell r="AN1293" t="str">
            <v>SHER GARH</v>
          </cell>
          <cell r="AO1293" t="str">
            <v>Dargai</v>
          </cell>
          <cell r="AP1293" t="str">
            <v>MARDAN</v>
          </cell>
        </row>
        <row r="1294">
          <cell r="AM1294">
            <v>902</v>
          </cell>
          <cell r="AN1294" t="str">
            <v>TORU</v>
          </cell>
          <cell r="AO1294" t="str">
            <v>Mardan</v>
          </cell>
          <cell r="AP1294" t="str">
            <v>MARDAN</v>
          </cell>
        </row>
        <row r="1295">
          <cell r="AM1295">
            <v>910</v>
          </cell>
          <cell r="AN1295" t="str">
            <v>RISALPUR-PAF ACADEMY</v>
          </cell>
          <cell r="AO1295" t="str">
            <v>Mardan</v>
          </cell>
          <cell r="AP1295" t="str">
            <v>MARDAN</v>
          </cell>
        </row>
        <row r="1296">
          <cell r="AM1296">
            <v>932</v>
          </cell>
          <cell r="AN1296" t="str">
            <v>SOWARI</v>
          </cell>
          <cell r="AO1296" t="str">
            <v>Buner</v>
          </cell>
          <cell r="AP1296" t="str">
            <v>MARDAN</v>
          </cell>
        </row>
        <row r="1297">
          <cell r="AM1297">
            <v>1080</v>
          </cell>
          <cell r="AN1297" t="str">
            <v>CHAR BAGH</v>
          </cell>
          <cell r="AO1297" t="str">
            <v>Mingora</v>
          </cell>
          <cell r="AP1297" t="str">
            <v>MARDAN</v>
          </cell>
        </row>
        <row r="1298">
          <cell r="AM1298">
            <v>1097</v>
          </cell>
          <cell r="AN1298" t="str">
            <v>KABAL</v>
          </cell>
          <cell r="AO1298" t="str">
            <v>CHAKDARRA</v>
          </cell>
          <cell r="AP1298" t="str">
            <v>MARDAN</v>
          </cell>
        </row>
        <row r="1299">
          <cell r="AM1299">
            <v>1104</v>
          </cell>
          <cell r="AN1299" t="str">
            <v>KUMBAR</v>
          </cell>
          <cell r="AO1299" t="str">
            <v>Timergara</v>
          </cell>
          <cell r="AP1299" t="str">
            <v>MARDAN</v>
          </cell>
        </row>
        <row r="1300">
          <cell r="AM1300">
            <v>1126</v>
          </cell>
          <cell r="AN1300" t="str">
            <v>FIRDOUSABAD</v>
          </cell>
          <cell r="AO1300" t="str">
            <v>Mardan</v>
          </cell>
          <cell r="AP1300" t="str">
            <v>MARDAN</v>
          </cell>
        </row>
        <row r="1301">
          <cell r="AM1301">
            <v>1130</v>
          </cell>
          <cell r="AN1301" t="str">
            <v>BAZARGAI</v>
          </cell>
          <cell r="AO1301" t="str">
            <v>Buner</v>
          </cell>
          <cell r="AP1301" t="str">
            <v>MARDAN</v>
          </cell>
        </row>
        <row r="1302">
          <cell r="AM1302">
            <v>1135</v>
          </cell>
          <cell r="AN1302" t="str">
            <v>KAP GANI</v>
          </cell>
          <cell r="AO1302" t="str">
            <v>Swabi</v>
          </cell>
          <cell r="AP1302" t="str">
            <v>MARDAN</v>
          </cell>
        </row>
        <row r="1303">
          <cell r="AM1303">
            <v>1137</v>
          </cell>
          <cell r="AN1303" t="str">
            <v>KOT</v>
          </cell>
          <cell r="AO1303" t="str">
            <v>Dargai</v>
          </cell>
          <cell r="AP1303" t="str">
            <v>MARDAN</v>
          </cell>
        </row>
        <row r="1304">
          <cell r="AM1304">
            <v>1139</v>
          </cell>
          <cell r="AN1304" t="str">
            <v>TOTAKAN</v>
          </cell>
          <cell r="AO1304" t="str">
            <v>CHAKDARRA</v>
          </cell>
          <cell r="AP1304" t="str">
            <v>MARDAN</v>
          </cell>
        </row>
        <row r="1305">
          <cell r="AM1305">
            <v>1141</v>
          </cell>
          <cell r="AN1305" t="str">
            <v>NAWANGAI-MAIN BAZAR</v>
          </cell>
          <cell r="AO1305" t="str">
            <v>Buner</v>
          </cell>
          <cell r="AP1305" t="str">
            <v>MARDAN</v>
          </cell>
        </row>
        <row r="1306">
          <cell r="AM1306">
            <v>1150</v>
          </cell>
          <cell r="AN1306" t="str">
            <v>TIMARGARA, DIR</v>
          </cell>
          <cell r="AO1306" t="str">
            <v>Timergara</v>
          </cell>
          <cell r="AP1306" t="str">
            <v>MARDAN</v>
          </cell>
        </row>
        <row r="1307">
          <cell r="AM1307">
            <v>1162</v>
          </cell>
          <cell r="AN1307" t="str">
            <v>RABAT</v>
          </cell>
          <cell r="AO1307" t="str">
            <v>Timergara</v>
          </cell>
          <cell r="AP1307" t="str">
            <v>MARDAN</v>
          </cell>
        </row>
        <row r="1308">
          <cell r="AM1308">
            <v>1202</v>
          </cell>
          <cell r="AN1308" t="str">
            <v>SHAKH NO.6</v>
          </cell>
          <cell r="AO1308" t="str">
            <v>Charsadda</v>
          </cell>
          <cell r="AP1308" t="str">
            <v>MARDAN</v>
          </cell>
        </row>
        <row r="1309">
          <cell r="AM1309">
            <v>1225</v>
          </cell>
          <cell r="AN1309" t="str">
            <v>SAKHAKOT</v>
          </cell>
          <cell r="AO1309" t="str">
            <v>Dargai</v>
          </cell>
          <cell r="AP1309" t="str">
            <v>MARDAN</v>
          </cell>
        </row>
        <row r="1310">
          <cell r="AM1310">
            <v>1227</v>
          </cell>
          <cell r="AN1310" t="str">
            <v>ZAIDA</v>
          </cell>
          <cell r="AO1310" t="str">
            <v>Swabi</v>
          </cell>
          <cell r="AP1310" t="str">
            <v>MARDAN</v>
          </cell>
        </row>
        <row r="1311">
          <cell r="AM1311">
            <v>1234</v>
          </cell>
          <cell r="AN1311" t="str">
            <v>MANSAR CAMP.</v>
          </cell>
          <cell r="AO1311" t="str">
            <v>Nowshera</v>
          </cell>
          <cell r="AP1311" t="str">
            <v>MARDAN</v>
          </cell>
        </row>
        <row r="1312">
          <cell r="AM1312">
            <v>1275</v>
          </cell>
          <cell r="AN1312" t="str">
            <v>MARDAN CANTT.</v>
          </cell>
          <cell r="AO1312" t="str">
            <v>Mardan</v>
          </cell>
          <cell r="AP1312" t="str">
            <v>MARDAN</v>
          </cell>
        </row>
        <row r="1313">
          <cell r="AM1313">
            <v>1276</v>
          </cell>
          <cell r="AN1313" t="str">
            <v>NEW ROAD, MINGORA</v>
          </cell>
          <cell r="AO1313" t="str">
            <v>Mingora</v>
          </cell>
          <cell r="AP1313" t="str">
            <v>MARDAN</v>
          </cell>
        </row>
        <row r="1314">
          <cell r="AM1314">
            <v>1313</v>
          </cell>
          <cell r="AN1314" t="str">
            <v>AKHAGRAM</v>
          </cell>
          <cell r="AO1314" t="str">
            <v>Timergara</v>
          </cell>
          <cell r="AP1314" t="str">
            <v>MARDAN</v>
          </cell>
        </row>
        <row r="1315">
          <cell r="AM1315">
            <v>1334</v>
          </cell>
          <cell r="AN1315" t="str">
            <v>CHAKESAR</v>
          </cell>
          <cell r="AO1315" t="str">
            <v>Mingora</v>
          </cell>
          <cell r="AP1315" t="str">
            <v>MARDAN</v>
          </cell>
        </row>
        <row r="1316">
          <cell r="AM1316">
            <v>1401</v>
          </cell>
          <cell r="AN1316" t="str">
            <v>SHABQADAR</v>
          </cell>
          <cell r="AO1316" t="str">
            <v>Charsadda</v>
          </cell>
          <cell r="AP1316" t="str">
            <v>MARDAN</v>
          </cell>
        </row>
        <row r="1317">
          <cell r="AM1317">
            <v>1419</v>
          </cell>
          <cell r="AN1317" t="str">
            <v>THANA</v>
          </cell>
          <cell r="AO1317" t="str">
            <v>CHAKDARRA</v>
          </cell>
          <cell r="AP1317" t="str">
            <v>MARDAN</v>
          </cell>
        </row>
        <row r="1318">
          <cell r="AM1318">
            <v>1440</v>
          </cell>
          <cell r="AN1318" t="str">
            <v>YAR HUSSAIN</v>
          </cell>
          <cell r="AO1318" t="str">
            <v>Mardan</v>
          </cell>
          <cell r="AP1318" t="str">
            <v>MARDAN</v>
          </cell>
        </row>
        <row r="1319">
          <cell r="AM1319">
            <v>1488</v>
          </cell>
          <cell r="AN1319" t="str">
            <v>KHAZANA</v>
          </cell>
          <cell r="AO1319" t="str">
            <v>CHAKDARRA</v>
          </cell>
          <cell r="AP1319" t="str">
            <v>MARDAN</v>
          </cell>
        </row>
        <row r="1320">
          <cell r="AM1320">
            <v>1527</v>
          </cell>
          <cell r="AN1320" t="str">
            <v>HAROON, HAZRO</v>
          </cell>
          <cell r="AO1320" t="str">
            <v>Nowshera</v>
          </cell>
          <cell r="AP1320" t="str">
            <v>MARDAN</v>
          </cell>
        </row>
        <row r="1321">
          <cell r="AM1321">
            <v>1529</v>
          </cell>
          <cell r="AN1321" t="str">
            <v>BASIA, HAZRO</v>
          </cell>
          <cell r="AO1321" t="str">
            <v>Nowshera</v>
          </cell>
          <cell r="AP1321" t="str">
            <v>MARDAN</v>
          </cell>
        </row>
        <row r="1322">
          <cell r="AM1322">
            <v>1538</v>
          </cell>
          <cell r="AN1322" t="str">
            <v>DARORA</v>
          </cell>
          <cell r="AO1322" t="str">
            <v>Timergara</v>
          </cell>
          <cell r="AP1322" t="str">
            <v>MARDAN</v>
          </cell>
        </row>
        <row r="1323">
          <cell r="AM1323">
            <v>1542</v>
          </cell>
          <cell r="AN1323" t="str">
            <v>SHAH MANSOOR BR</v>
          </cell>
          <cell r="AO1323" t="str">
            <v>Swabi</v>
          </cell>
          <cell r="AP1323" t="str">
            <v>MARDAN</v>
          </cell>
        </row>
        <row r="1324">
          <cell r="AM1324">
            <v>1718</v>
          </cell>
          <cell r="AN1324" t="str">
            <v>BARIKOT</v>
          </cell>
          <cell r="AO1324" t="str">
            <v>CHAKDARRA</v>
          </cell>
          <cell r="AP1324" t="str">
            <v>MARDAN</v>
          </cell>
        </row>
        <row r="1325">
          <cell r="AM1325">
            <v>1743</v>
          </cell>
          <cell r="AN1325" t="str">
            <v>KOTO</v>
          </cell>
          <cell r="AO1325" t="str">
            <v>Timergara</v>
          </cell>
          <cell r="AP1325" t="str">
            <v>MARDAN</v>
          </cell>
        </row>
        <row r="1326">
          <cell r="AM1326">
            <v>1744</v>
          </cell>
          <cell r="AN1326" t="str">
            <v>SAMAR BAGH</v>
          </cell>
          <cell r="AO1326" t="str">
            <v>Timergara</v>
          </cell>
          <cell r="AP1326" t="str">
            <v>MARDAN</v>
          </cell>
        </row>
        <row r="1327">
          <cell r="AM1327">
            <v>1799</v>
          </cell>
          <cell r="AN1327" t="str">
            <v>TANGI</v>
          </cell>
          <cell r="AO1327" t="str">
            <v>Charsadda</v>
          </cell>
          <cell r="AP1327" t="str">
            <v>MARDAN</v>
          </cell>
        </row>
        <row r="1328">
          <cell r="AM1328">
            <v>1857</v>
          </cell>
          <cell r="AN1328" t="str">
            <v>UMARZAI</v>
          </cell>
          <cell r="AO1328" t="str">
            <v>Charsadda</v>
          </cell>
          <cell r="AP1328" t="str">
            <v>MARDAN</v>
          </cell>
        </row>
        <row r="1329">
          <cell r="AM1329">
            <v>1877</v>
          </cell>
          <cell r="AN1329" t="str">
            <v>GAR YOUSAFI</v>
          </cell>
          <cell r="AO1329" t="str">
            <v>Swabi</v>
          </cell>
          <cell r="AP1329" t="str">
            <v>MARDAN</v>
          </cell>
        </row>
        <row r="1330">
          <cell r="AM1330">
            <v>1878</v>
          </cell>
          <cell r="AN1330" t="str">
            <v>MAIN BAZAR SHARINGAL</v>
          </cell>
          <cell r="AO1330" t="str">
            <v>Timergara</v>
          </cell>
          <cell r="AP1330" t="str">
            <v>MARDAN</v>
          </cell>
        </row>
        <row r="1331">
          <cell r="AM1331">
            <v>1922</v>
          </cell>
          <cell r="AN1331" t="str">
            <v>KHAWARI</v>
          </cell>
          <cell r="AO1331" t="str">
            <v>Nowshera</v>
          </cell>
          <cell r="AP1331" t="str">
            <v>MARDAN</v>
          </cell>
        </row>
        <row r="1332">
          <cell r="AM1332">
            <v>1933</v>
          </cell>
          <cell r="AN1332" t="str">
            <v>MIAN KHAN SANGAO</v>
          </cell>
          <cell r="AO1332" t="str">
            <v>Dargai</v>
          </cell>
          <cell r="AP1332" t="str">
            <v>MARDAN</v>
          </cell>
        </row>
        <row r="1333">
          <cell r="AM1333">
            <v>1934</v>
          </cell>
          <cell r="AN1333" t="str">
            <v>DHERI LIKPANI</v>
          </cell>
          <cell r="AO1333" t="str">
            <v>Dargai</v>
          </cell>
          <cell r="AP1333" t="str">
            <v>MARDAN</v>
          </cell>
        </row>
        <row r="1334">
          <cell r="AM1334">
            <v>1942</v>
          </cell>
          <cell r="AN1334" t="str">
            <v>MATTA-NEW COLLEGE CH</v>
          </cell>
          <cell r="AO1334" t="str">
            <v>Mingora</v>
          </cell>
          <cell r="AP1334" t="str">
            <v>MARDAN</v>
          </cell>
        </row>
        <row r="1335">
          <cell r="AM1335">
            <v>1946</v>
          </cell>
          <cell r="AN1335" t="str">
            <v>QASAMI</v>
          </cell>
          <cell r="AO1335" t="str">
            <v>Dargai</v>
          </cell>
          <cell r="AP1335" t="str">
            <v>MARDAN</v>
          </cell>
        </row>
        <row r="1336">
          <cell r="AM1336">
            <v>1957</v>
          </cell>
          <cell r="AN1336" t="str">
            <v>JALALA</v>
          </cell>
          <cell r="AO1336" t="str">
            <v>Dargai</v>
          </cell>
          <cell r="AP1336" t="str">
            <v>MARDAN</v>
          </cell>
        </row>
        <row r="1337">
          <cell r="AM1337">
            <v>1958</v>
          </cell>
          <cell r="AN1337" t="str">
            <v>HUND KAYA</v>
          </cell>
          <cell r="AO1337" t="str">
            <v>Swabi</v>
          </cell>
          <cell r="AP1337" t="str">
            <v>MARDAN</v>
          </cell>
        </row>
        <row r="1338">
          <cell r="AM1338">
            <v>1959</v>
          </cell>
          <cell r="AN1338" t="str">
            <v>PALAI DARRA</v>
          </cell>
          <cell r="AO1338" t="str">
            <v>Dargai</v>
          </cell>
          <cell r="AP1338" t="str">
            <v>MARDAN</v>
          </cell>
        </row>
        <row r="1339">
          <cell r="AM1339">
            <v>1963</v>
          </cell>
          <cell r="AN1339" t="str">
            <v>SHADI KHAN</v>
          </cell>
          <cell r="AO1339" t="str">
            <v>Nowshera</v>
          </cell>
          <cell r="AP1339" t="str">
            <v>MARDAN</v>
          </cell>
        </row>
        <row r="1340">
          <cell r="AM1340">
            <v>1970</v>
          </cell>
          <cell r="AN1340" t="str">
            <v>INAYAT KALAY</v>
          </cell>
          <cell r="AO1340" t="str">
            <v>Timergara</v>
          </cell>
          <cell r="AP1340" t="str">
            <v>MARDAN</v>
          </cell>
        </row>
        <row r="1341">
          <cell r="AM1341">
            <v>1979</v>
          </cell>
          <cell r="AN1341" t="str">
            <v>GIK INST.OF ENGG.SCIENC &amp; TECH. TOP</v>
          </cell>
          <cell r="AO1341" t="str">
            <v>Swabi</v>
          </cell>
          <cell r="AP1341" t="str">
            <v>MARDAN</v>
          </cell>
        </row>
        <row r="1342">
          <cell r="AM1342">
            <v>2276</v>
          </cell>
          <cell r="AN1342" t="str">
            <v>TOR WARSAK BRANCH</v>
          </cell>
          <cell r="AO1342" t="str">
            <v>Buner</v>
          </cell>
          <cell r="AP1342" t="str">
            <v>MARDAN</v>
          </cell>
        </row>
        <row r="1343">
          <cell r="AM1343">
            <v>2327</v>
          </cell>
          <cell r="AN1343" t="str">
            <v>AIRPORT ROAD MINGORA</v>
          </cell>
          <cell r="AO1343" t="str">
            <v>Mingora</v>
          </cell>
          <cell r="AP1343" t="str">
            <v>MARDAN</v>
          </cell>
        </row>
        <row r="1344">
          <cell r="AM1344">
            <v>2331</v>
          </cell>
          <cell r="AN1344" t="str">
            <v>KHAWAZA KHELA BRANCH</v>
          </cell>
          <cell r="AO1344" t="str">
            <v>Mingora</v>
          </cell>
          <cell r="AP1344" t="str">
            <v>MARDAN</v>
          </cell>
        </row>
        <row r="1345">
          <cell r="AM1345">
            <v>2347</v>
          </cell>
          <cell r="AN1345" t="str">
            <v>AKORA KHATTAK BRANCH</v>
          </cell>
          <cell r="AO1345" t="str">
            <v>Nowshera</v>
          </cell>
          <cell r="AP1345" t="str">
            <v>MARDAN</v>
          </cell>
        </row>
        <row r="1346">
          <cell r="AM1346">
            <v>2367</v>
          </cell>
          <cell r="AN1346" t="str">
            <v>COLLEGE CHOWK BRANCH</v>
          </cell>
          <cell r="AO1346" t="str">
            <v>Mardan</v>
          </cell>
          <cell r="AP1346" t="str">
            <v>MARDAN</v>
          </cell>
        </row>
        <row r="1347">
          <cell r="AM1347">
            <v>2373</v>
          </cell>
          <cell r="AN1347" t="str">
            <v>SHAHDARA BRANCH</v>
          </cell>
          <cell r="AO1347" t="str">
            <v>Mingora</v>
          </cell>
          <cell r="AP1347" t="str">
            <v>MARDAN</v>
          </cell>
        </row>
        <row r="1348">
          <cell r="AM1348">
            <v>2406</v>
          </cell>
          <cell r="AN1348" t="str">
            <v>KAABAL RIVER BRANCH</v>
          </cell>
          <cell r="AO1348" t="str">
            <v>Nowshera</v>
          </cell>
          <cell r="AP1348" t="str">
            <v>MARDAN</v>
          </cell>
        </row>
        <row r="1349">
          <cell r="AM1349">
            <v>2438</v>
          </cell>
          <cell r="AN1349" t="str">
            <v>Gadoon Amazai (Marda</v>
          </cell>
          <cell r="AO1349" t="str">
            <v>Swabi</v>
          </cell>
          <cell r="AP1349" t="str">
            <v>MARDAN</v>
          </cell>
        </row>
        <row r="1350">
          <cell r="AM1350">
            <v>2476</v>
          </cell>
          <cell r="AN1350" t="str">
            <v>SAIDU ROAD RAHIMABAD</v>
          </cell>
          <cell r="AO1350" t="str">
            <v>Mingora</v>
          </cell>
          <cell r="AP1350" t="str">
            <v>MARDAN</v>
          </cell>
        </row>
        <row r="1351">
          <cell r="AM1351">
            <v>2477</v>
          </cell>
          <cell r="AN1351" t="str">
            <v>Katlang</v>
          </cell>
          <cell r="AO1351" t="str">
            <v>Dargai</v>
          </cell>
          <cell r="AP1351" t="str">
            <v>MARDAN</v>
          </cell>
        </row>
        <row r="1352">
          <cell r="AM1352">
            <v>107</v>
          </cell>
          <cell r="AN1352" t="str">
            <v>GILGIT</v>
          </cell>
          <cell r="AO1352" t="str">
            <v>GILGIT</v>
          </cell>
          <cell r="AP1352" t="str">
            <v>ISLAMABAD</v>
          </cell>
        </row>
        <row r="1353">
          <cell r="AM1353">
            <v>112</v>
          </cell>
          <cell r="AN1353" t="str">
            <v>ISLAMABAD-AABPARA MA</v>
          </cell>
          <cell r="AO1353" t="str">
            <v>SAM I</v>
          </cell>
          <cell r="AP1353" t="str">
            <v>ISLAMABAD</v>
          </cell>
        </row>
        <row r="1354">
          <cell r="AM1354">
            <v>151</v>
          </cell>
          <cell r="AN1354" t="str">
            <v>JINNAH RD, MURREE</v>
          </cell>
          <cell r="AO1354" t="str">
            <v>Murree</v>
          </cell>
          <cell r="AP1354" t="str">
            <v>ISLAMABAD</v>
          </cell>
        </row>
        <row r="1355">
          <cell r="AM1355">
            <v>154</v>
          </cell>
          <cell r="AN1355" t="str">
            <v>REHMANABAD, RAWALPINDI</v>
          </cell>
          <cell r="AO1355" t="str">
            <v>Satellite</v>
          </cell>
          <cell r="AP1355" t="str">
            <v>ISLAMABAD</v>
          </cell>
        </row>
        <row r="1356">
          <cell r="AM1356">
            <v>156</v>
          </cell>
          <cell r="AN1356" t="str">
            <v>CITY RAWALPINDI</v>
          </cell>
          <cell r="AO1356" t="str">
            <v>SDV</v>
          </cell>
          <cell r="AP1356" t="str">
            <v>ISLAMABAD</v>
          </cell>
        </row>
        <row r="1357">
          <cell r="AM1357">
            <v>158</v>
          </cell>
          <cell r="AN1357" t="str">
            <v>MASSY GATE, RAWALPINDI</v>
          </cell>
          <cell r="AO1357" t="str">
            <v>Kashmir Rd</v>
          </cell>
          <cell r="AP1357" t="str">
            <v>ISLAMABAD</v>
          </cell>
        </row>
        <row r="1358">
          <cell r="AM1358">
            <v>170</v>
          </cell>
          <cell r="AN1358" t="str">
            <v>WAH CANTT.P.O.F.</v>
          </cell>
          <cell r="AO1358" t="str">
            <v>Wah</v>
          </cell>
          <cell r="AP1358" t="str">
            <v>ISLAMABAD</v>
          </cell>
        </row>
        <row r="1359">
          <cell r="AM1359">
            <v>196</v>
          </cell>
          <cell r="AN1359" t="str">
            <v>Kutchery Chowk Branch</v>
          </cell>
          <cell r="AO1359" t="str">
            <v>Chaklala</v>
          </cell>
          <cell r="AP1359" t="str">
            <v>ISLAMABAD</v>
          </cell>
        </row>
        <row r="1360">
          <cell r="AM1360">
            <v>198</v>
          </cell>
          <cell r="AN1360" t="str">
            <v>HARIPUR-MAIN BAZAR</v>
          </cell>
          <cell r="AO1360" t="str">
            <v>Abbottabad</v>
          </cell>
          <cell r="AP1360" t="str">
            <v>ISLAMABAD</v>
          </cell>
        </row>
        <row r="1361">
          <cell r="AM1361">
            <v>208</v>
          </cell>
          <cell r="AN1361" t="str">
            <v>BANNI CHOWK, RAWALPINDI</v>
          </cell>
          <cell r="AO1361" t="str">
            <v>Satellite</v>
          </cell>
          <cell r="AP1361" t="str">
            <v>ISLAMABAD</v>
          </cell>
        </row>
        <row r="1362">
          <cell r="AM1362">
            <v>214</v>
          </cell>
          <cell r="AN1362" t="str">
            <v>FAISAL SHAHEED RD, TAXILA</v>
          </cell>
          <cell r="AO1362" t="str">
            <v>Wah</v>
          </cell>
          <cell r="AP1362" t="str">
            <v>ISLAMABAD</v>
          </cell>
        </row>
        <row r="1363">
          <cell r="AM1363">
            <v>215</v>
          </cell>
          <cell r="AN1363" t="str">
            <v>MURREE RD, RAWALPINDI</v>
          </cell>
          <cell r="AO1363" t="str">
            <v>Chaklala</v>
          </cell>
          <cell r="AP1363" t="str">
            <v>ISLAMABAD</v>
          </cell>
        </row>
        <row r="1364">
          <cell r="AM1364">
            <v>246</v>
          </cell>
          <cell r="AN1364" t="str">
            <v>(HMC) M SHAH WALI SHAH , TAXILA</v>
          </cell>
          <cell r="AO1364" t="str">
            <v>Wah</v>
          </cell>
          <cell r="AP1364" t="str">
            <v>ISLAMABAD</v>
          </cell>
        </row>
        <row r="1365">
          <cell r="AM1365">
            <v>274</v>
          </cell>
          <cell r="AN1365" t="str">
            <v>HASSAN ABDAL</v>
          </cell>
          <cell r="AO1365" t="str">
            <v>Wah</v>
          </cell>
          <cell r="AP1365" t="str">
            <v>ISLAMABAD</v>
          </cell>
        </row>
        <row r="1366">
          <cell r="AM1366">
            <v>280</v>
          </cell>
          <cell r="AN1366" t="str">
            <v>KOT NAJIBULLAH</v>
          </cell>
          <cell r="AO1366" t="str">
            <v>Wah</v>
          </cell>
          <cell r="AP1366" t="str">
            <v>ISLAMABAD</v>
          </cell>
        </row>
        <row r="1367">
          <cell r="AM1367">
            <v>281</v>
          </cell>
          <cell r="AN1367" t="str">
            <v>MANSEHRA RD, ABBOTTABAD</v>
          </cell>
          <cell r="AO1367" t="str">
            <v>Abbottabad</v>
          </cell>
          <cell r="AP1367" t="str">
            <v>ISLAMABAD</v>
          </cell>
        </row>
        <row r="1368">
          <cell r="AM1368">
            <v>294</v>
          </cell>
          <cell r="AN1368" t="str">
            <v>ISLAMABAD-QUAID-E-AZ</v>
          </cell>
          <cell r="AO1368" t="str">
            <v>SAM I</v>
          </cell>
          <cell r="AP1368" t="str">
            <v>ISLAMABAD</v>
          </cell>
        </row>
        <row r="1369">
          <cell r="AM1369">
            <v>296</v>
          </cell>
          <cell r="AN1369" t="str">
            <v>ISLAMABAD-I-9  INDUS</v>
          </cell>
          <cell r="AO1369" t="str">
            <v>SAM II</v>
          </cell>
          <cell r="AP1369" t="str">
            <v>ISLAMABAD</v>
          </cell>
        </row>
        <row r="1370">
          <cell r="AM1370">
            <v>311</v>
          </cell>
          <cell r="AN1370" t="str">
            <v>PANIAN</v>
          </cell>
          <cell r="AO1370" t="str">
            <v>Abbottabad</v>
          </cell>
          <cell r="AP1370" t="str">
            <v>ISLAMABAD</v>
          </cell>
        </row>
        <row r="1371">
          <cell r="AM1371">
            <v>314</v>
          </cell>
          <cell r="AN1371" t="str">
            <v>KUTHIALA, ABBOTABAD</v>
          </cell>
          <cell r="AO1371" t="str">
            <v>Abbottabad</v>
          </cell>
          <cell r="AP1371" t="str">
            <v>ISLAMABAD</v>
          </cell>
        </row>
        <row r="1372">
          <cell r="AM1372">
            <v>325</v>
          </cell>
          <cell r="AN1372" t="str">
            <v>JARED, BALAKOT</v>
          </cell>
          <cell r="AO1372" t="str">
            <v>Mansehra</v>
          </cell>
          <cell r="AP1372" t="str">
            <v>ISLAMABAD</v>
          </cell>
        </row>
        <row r="1373">
          <cell r="AM1373">
            <v>329</v>
          </cell>
          <cell r="AN1373" t="str">
            <v>KAGHAN</v>
          </cell>
          <cell r="AO1373" t="str">
            <v>Mansehra</v>
          </cell>
          <cell r="AP1373" t="str">
            <v>ISLAMABAD</v>
          </cell>
        </row>
        <row r="1374">
          <cell r="AM1374">
            <v>367</v>
          </cell>
          <cell r="AN1374" t="str">
            <v>AJMERA</v>
          </cell>
          <cell r="AO1374" t="str">
            <v>Mansehra</v>
          </cell>
          <cell r="AP1374" t="str">
            <v>ISLAMABAD</v>
          </cell>
        </row>
        <row r="1375">
          <cell r="AM1375">
            <v>413</v>
          </cell>
          <cell r="AN1375" t="str">
            <v>RAWALPINDI SERVICES</v>
          </cell>
          <cell r="AO1375" t="str">
            <v>Kashmir Rd</v>
          </cell>
          <cell r="AP1375" t="str">
            <v>ISLAMABAD</v>
          </cell>
        </row>
        <row r="1376">
          <cell r="AM1376">
            <v>416</v>
          </cell>
          <cell r="AN1376" t="str">
            <v>JINNAH ROAD, ABBOTABAD</v>
          </cell>
          <cell r="AO1376" t="str">
            <v>Abbottabad</v>
          </cell>
          <cell r="AP1376" t="str">
            <v>ISLAMABAD</v>
          </cell>
        </row>
        <row r="1377">
          <cell r="AM1377">
            <v>434</v>
          </cell>
          <cell r="AN1377" t="str">
            <v>NARANKARI BAZAR, RAWALPINDI</v>
          </cell>
          <cell r="AO1377" t="str">
            <v>Kashmir Rd</v>
          </cell>
          <cell r="AP1377" t="str">
            <v>ISLAMABAD</v>
          </cell>
        </row>
        <row r="1378">
          <cell r="AM1378">
            <v>454</v>
          </cell>
          <cell r="AN1378" t="str">
            <v>ISLAMABAD-SECRETARIA</v>
          </cell>
          <cell r="AO1378" t="str">
            <v>F-7</v>
          </cell>
          <cell r="AP1378" t="str">
            <v>ISLAMABAD</v>
          </cell>
        </row>
        <row r="1379">
          <cell r="AM1379">
            <v>455</v>
          </cell>
          <cell r="AN1379" t="str">
            <v>LIAQUAT ROAD, RAWALPINDI</v>
          </cell>
          <cell r="AO1379" t="str">
            <v>Chaklala</v>
          </cell>
          <cell r="AP1379" t="str">
            <v>ISLAMABAD</v>
          </cell>
        </row>
        <row r="1380">
          <cell r="AM1380">
            <v>457</v>
          </cell>
          <cell r="AN1380" t="str">
            <v>HAZRO</v>
          </cell>
          <cell r="AO1380" t="str">
            <v>Attock</v>
          </cell>
          <cell r="AP1380" t="str">
            <v>ISLAMABAD</v>
          </cell>
        </row>
        <row r="1381">
          <cell r="AM1381">
            <v>460</v>
          </cell>
          <cell r="AN1381" t="str">
            <v>ISLAMABAD-FOREIGN AF</v>
          </cell>
          <cell r="AO1381" t="str">
            <v>SAM I</v>
          </cell>
          <cell r="AP1381" t="str">
            <v>ISLAMABAD</v>
          </cell>
        </row>
        <row r="1382">
          <cell r="AM1382">
            <v>462</v>
          </cell>
          <cell r="AN1382" t="str">
            <v>GHOR GASHTI</v>
          </cell>
          <cell r="AO1382" t="str">
            <v>Attock</v>
          </cell>
          <cell r="AP1382" t="str">
            <v>ISLAMABAD</v>
          </cell>
        </row>
        <row r="1383">
          <cell r="AM1383">
            <v>476</v>
          </cell>
          <cell r="AN1383" t="str">
            <v>BAZAR CHOWK YADGAR, SKARDU</v>
          </cell>
          <cell r="AO1383" t="str">
            <v>Skardu</v>
          </cell>
          <cell r="AP1383" t="str">
            <v>ISLAMABAD</v>
          </cell>
        </row>
        <row r="1384">
          <cell r="AM1384">
            <v>487</v>
          </cell>
          <cell r="AN1384" t="str">
            <v>DHOKE KHU KAMA, RAWALPINDI</v>
          </cell>
          <cell r="AO1384" t="str">
            <v>Kashmir Rd</v>
          </cell>
          <cell r="AP1384" t="str">
            <v>ISLAMABAD</v>
          </cell>
        </row>
        <row r="1385">
          <cell r="AM1385">
            <v>489</v>
          </cell>
          <cell r="AN1385" t="str">
            <v>P.A.F CHAKLALA BASE, RAWALPINDI</v>
          </cell>
          <cell r="AO1385" t="str">
            <v>Chaklala</v>
          </cell>
          <cell r="AP1385" t="str">
            <v>ISLAMABAD</v>
          </cell>
        </row>
        <row r="1386">
          <cell r="AM1386">
            <v>504</v>
          </cell>
          <cell r="AN1386" t="str">
            <v>SATELLITE TOWN, RAWALPINDI</v>
          </cell>
          <cell r="AO1386" t="str">
            <v>Satellite</v>
          </cell>
          <cell r="AP1386" t="str">
            <v>ISLAMABAD</v>
          </cell>
        </row>
        <row r="1387">
          <cell r="AM1387">
            <v>525</v>
          </cell>
          <cell r="AN1387" t="str">
            <v>DEVAL UPPER</v>
          </cell>
          <cell r="AO1387" t="str">
            <v>Murree</v>
          </cell>
          <cell r="AP1387" t="str">
            <v>ISLAMABAD</v>
          </cell>
        </row>
        <row r="1388">
          <cell r="AM1388">
            <v>537</v>
          </cell>
          <cell r="AN1388" t="str">
            <v>LAWRENCEPUR</v>
          </cell>
          <cell r="AO1388" t="str">
            <v>Attock</v>
          </cell>
          <cell r="AP1388" t="str">
            <v>ISLAMABAD</v>
          </cell>
        </row>
        <row r="1389">
          <cell r="AM1389">
            <v>587</v>
          </cell>
          <cell r="AN1389" t="str">
            <v>TARBELA TOWNSHIP SEC</v>
          </cell>
          <cell r="AO1389" t="str">
            <v>Abbottabad</v>
          </cell>
          <cell r="AP1389" t="str">
            <v>ISLAMABAD</v>
          </cell>
        </row>
        <row r="1390">
          <cell r="AM1390">
            <v>596</v>
          </cell>
          <cell r="AN1390" t="str">
            <v>SIHALA</v>
          </cell>
          <cell r="AO1390" t="str">
            <v>Chaklala</v>
          </cell>
          <cell r="AP1390" t="str">
            <v>ISLAMABAD</v>
          </cell>
        </row>
        <row r="1391">
          <cell r="AM1391">
            <v>601</v>
          </cell>
          <cell r="AN1391" t="str">
            <v>ASGHAR MALL, RAWALPINDI</v>
          </cell>
          <cell r="AO1391" t="str">
            <v>Satellite</v>
          </cell>
          <cell r="AP1391" t="str">
            <v>ISLAMABAD</v>
          </cell>
        </row>
        <row r="1392">
          <cell r="AM1392">
            <v>602</v>
          </cell>
          <cell r="AN1392" t="str">
            <v>ISLAMABAD-C.D.A. CIV</v>
          </cell>
          <cell r="AO1392" t="str">
            <v>CDA</v>
          </cell>
          <cell r="AP1392" t="str">
            <v>ISLAMABAD</v>
          </cell>
        </row>
        <row r="1393">
          <cell r="AM1393">
            <v>609</v>
          </cell>
          <cell r="AN1393" t="str">
            <v>RAWALPINDI-CHOUR HAR</v>
          </cell>
          <cell r="AO1393" t="str">
            <v>Kashmir Rd</v>
          </cell>
          <cell r="AP1393" t="str">
            <v>ISLAMABAD</v>
          </cell>
        </row>
        <row r="1394">
          <cell r="AM1394">
            <v>613</v>
          </cell>
          <cell r="AN1394" t="str">
            <v>BALAKOT-KAGHAN ROAD</v>
          </cell>
          <cell r="AO1394" t="str">
            <v>Mansehra</v>
          </cell>
          <cell r="AP1394" t="str">
            <v>ISLAMABAD</v>
          </cell>
        </row>
        <row r="1395">
          <cell r="AM1395">
            <v>640</v>
          </cell>
          <cell r="AN1395" t="str">
            <v>LALKURTI, RAWALPINDI</v>
          </cell>
          <cell r="AO1395" t="str">
            <v>SDV</v>
          </cell>
          <cell r="AP1395" t="str">
            <v>ISLAMABAD</v>
          </cell>
        </row>
        <row r="1396">
          <cell r="AM1396">
            <v>660</v>
          </cell>
          <cell r="AN1396" t="str">
            <v>HAVELIAN-MAIN BAZAR</v>
          </cell>
          <cell r="AO1396" t="str">
            <v>Abbottabad</v>
          </cell>
          <cell r="AP1396" t="str">
            <v>ISLAMABAD</v>
          </cell>
        </row>
        <row r="1397">
          <cell r="AM1397">
            <v>662</v>
          </cell>
          <cell r="AN1397" t="str">
            <v>ATTOCK CITY</v>
          </cell>
          <cell r="AO1397" t="str">
            <v>Attock</v>
          </cell>
          <cell r="AP1397" t="str">
            <v>ISLAMABAD</v>
          </cell>
        </row>
        <row r="1398">
          <cell r="AM1398">
            <v>663</v>
          </cell>
          <cell r="AN1398" t="str">
            <v>ABBOTTABAD RD, MANSEHRA</v>
          </cell>
          <cell r="AO1398" t="str">
            <v>Mansehra</v>
          </cell>
          <cell r="AP1398" t="str">
            <v>ISLAMABAD</v>
          </cell>
        </row>
        <row r="1399">
          <cell r="AM1399">
            <v>814</v>
          </cell>
          <cell r="AN1399" t="str">
            <v>S.D.V. MALL ROAD, RAWALPINDI</v>
          </cell>
          <cell r="AO1399" t="str">
            <v>SDV</v>
          </cell>
          <cell r="AP1399" t="str">
            <v>ISLAMABAD</v>
          </cell>
        </row>
        <row r="1400">
          <cell r="AM1400">
            <v>933</v>
          </cell>
          <cell r="AN1400" t="str">
            <v>SHERWAN KHURD</v>
          </cell>
          <cell r="AO1400" t="str">
            <v>Abbottabad</v>
          </cell>
          <cell r="AP1400" t="str">
            <v>ISLAMABAD</v>
          </cell>
        </row>
        <row r="1401">
          <cell r="AM1401">
            <v>1005</v>
          </cell>
          <cell r="AN1401" t="str">
            <v>SHAHI BEVERAGES</v>
          </cell>
          <cell r="AO1401" t="str">
            <v>SAM II</v>
          </cell>
          <cell r="AP1401" t="str">
            <v>ISLAMABAD</v>
          </cell>
        </row>
        <row r="1402">
          <cell r="AM1402">
            <v>1006</v>
          </cell>
          <cell r="AN1402" t="str">
            <v>WAH CANTT.-NAWABABAD</v>
          </cell>
          <cell r="AO1402" t="str">
            <v>Wah</v>
          </cell>
          <cell r="AP1402" t="str">
            <v>ISLAMABAD</v>
          </cell>
        </row>
        <row r="1403">
          <cell r="AM1403">
            <v>1007</v>
          </cell>
          <cell r="AN1403" t="str">
            <v>TURNOL</v>
          </cell>
          <cell r="AO1403" t="str">
            <v>SDV</v>
          </cell>
          <cell r="AP1403" t="str">
            <v>ISLAMABAD</v>
          </cell>
        </row>
        <row r="1404">
          <cell r="AM1404">
            <v>1011</v>
          </cell>
          <cell r="AN1404" t="str">
            <v>MAIN AIRPORT RD, RAWALPINDI</v>
          </cell>
          <cell r="AO1404" t="str">
            <v>Chaklala</v>
          </cell>
          <cell r="AP1404" t="str">
            <v>ISLAMABAD</v>
          </cell>
        </row>
        <row r="1405">
          <cell r="AM1405">
            <v>1063</v>
          </cell>
          <cell r="AN1405" t="str">
            <v>MALIK MALA</v>
          </cell>
          <cell r="AO1405" t="str">
            <v>Attock</v>
          </cell>
          <cell r="AP1405" t="str">
            <v>ISLAMABAD</v>
          </cell>
        </row>
        <row r="1406">
          <cell r="AM1406">
            <v>1110</v>
          </cell>
          <cell r="AN1406" t="str">
            <v>SADIQABAD, RAWALPINDI</v>
          </cell>
          <cell r="AO1406" t="str">
            <v>Chaklala</v>
          </cell>
          <cell r="AP1406" t="str">
            <v>ISLAMABAD</v>
          </cell>
        </row>
        <row r="1407">
          <cell r="AM1407">
            <v>1124</v>
          </cell>
          <cell r="AN1407" t="str">
            <v>PANDORA, RAWALPINDI</v>
          </cell>
          <cell r="AO1407" t="str">
            <v>Satellite</v>
          </cell>
          <cell r="AP1407" t="str">
            <v>ISLAMABAD</v>
          </cell>
        </row>
        <row r="1408">
          <cell r="AM1408">
            <v>1171</v>
          </cell>
          <cell r="AN1408" t="str">
            <v>FATEHJANG</v>
          </cell>
          <cell r="AO1408" t="str">
            <v>Attock</v>
          </cell>
          <cell r="AP1408" t="str">
            <v>ISLAMABAD</v>
          </cell>
        </row>
        <row r="1409">
          <cell r="AM1409">
            <v>1192</v>
          </cell>
          <cell r="AN1409" t="str">
            <v>BISHAM</v>
          </cell>
          <cell r="AO1409" t="str">
            <v>Mansehra</v>
          </cell>
          <cell r="AP1409" t="str">
            <v>ISLAMABAD</v>
          </cell>
        </row>
        <row r="1410">
          <cell r="AM1410">
            <v>1205</v>
          </cell>
          <cell r="AN1410" t="str">
            <v>SATELLITE TOWN, BLOCK-A, RAWALPINDI</v>
          </cell>
          <cell r="AO1410" t="str">
            <v>Satellite</v>
          </cell>
          <cell r="AP1410" t="str">
            <v>ISLAMABAD</v>
          </cell>
        </row>
        <row r="1411">
          <cell r="AM1411">
            <v>1235</v>
          </cell>
          <cell r="AN1411" t="str">
            <v>ISLAMABAD-SECRETARIA</v>
          </cell>
          <cell r="AO1411" t="str">
            <v>CDA</v>
          </cell>
          <cell r="AP1411" t="str">
            <v>ISLAMABAD</v>
          </cell>
        </row>
        <row r="1412">
          <cell r="AM1412">
            <v>1236</v>
          </cell>
          <cell r="AN1412" t="str">
            <v>KASHMIR ROAD, RAWALPINDI</v>
          </cell>
          <cell r="AO1412" t="str">
            <v>Kashmir Rd</v>
          </cell>
          <cell r="AP1412" t="str">
            <v>ISLAMABAD</v>
          </cell>
        </row>
        <row r="1413">
          <cell r="AM1413">
            <v>1237</v>
          </cell>
          <cell r="AN1413" t="str">
            <v>G.H.Q., RAWALPINDI</v>
          </cell>
          <cell r="AO1413" t="str">
            <v>SDV</v>
          </cell>
          <cell r="AP1413" t="str">
            <v>ISLAMABAD</v>
          </cell>
        </row>
        <row r="1414">
          <cell r="AM1414">
            <v>1301</v>
          </cell>
          <cell r="AN1414" t="str">
            <v>FAIZABAD, RAWALPINDI</v>
          </cell>
          <cell r="AO1414" t="str">
            <v>Satellite</v>
          </cell>
          <cell r="AP1414" t="str">
            <v>ISLAMABAD</v>
          </cell>
        </row>
        <row r="1415">
          <cell r="AM1415">
            <v>1305</v>
          </cell>
          <cell r="AN1415" t="str">
            <v>DHERI HASSANABAD, RAWALPINDI</v>
          </cell>
          <cell r="AO1415" t="str">
            <v>SDV</v>
          </cell>
          <cell r="AP1415" t="str">
            <v>ISLAMABAD</v>
          </cell>
        </row>
        <row r="1416">
          <cell r="AM1416">
            <v>1308</v>
          </cell>
          <cell r="AN1416" t="str">
            <v>MORA NAGYAL, (SWAN C</v>
          </cell>
          <cell r="AO1416" t="str">
            <v>SDV</v>
          </cell>
          <cell r="AP1416" t="str">
            <v>ISLAMABAD</v>
          </cell>
        </row>
        <row r="1417">
          <cell r="AM1417">
            <v>1322</v>
          </cell>
          <cell r="AN1417" t="str">
            <v>KAMALABAD, RAWALPINDI</v>
          </cell>
          <cell r="AO1417" t="str">
            <v>Kashmir Rd</v>
          </cell>
          <cell r="AP1417" t="str">
            <v>ISLAMABAD</v>
          </cell>
        </row>
        <row r="1418">
          <cell r="AM1418">
            <v>1328</v>
          </cell>
          <cell r="AN1418" t="str">
            <v>GAHKUCH, GHIZAR</v>
          </cell>
          <cell r="AO1418" t="str">
            <v>GILGIT</v>
          </cell>
          <cell r="AP1418" t="str">
            <v>ISLAMABAD</v>
          </cell>
        </row>
        <row r="1419">
          <cell r="AM1419">
            <v>1353</v>
          </cell>
          <cell r="AN1419" t="str">
            <v>ISLAMABAD-F-6   SUPE</v>
          </cell>
          <cell r="AO1419" t="str">
            <v>F-7</v>
          </cell>
          <cell r="AP1419" t="str">
            <v>ISLAMABAD</v>
          </cell>
        </row>
        <row r="1420">
          <cell r="AM1420">
            <v>1355</v>
          </cell>
          <cell r="AN1420" t="str">
            <v>KARORE, KOTLLI SATTI</v>
          </cell>
          <cell r="AO1420" t="str">
            <v>Murree</v>
          </cell>
          <cell r="AP1420" t="str">
            <v>ISLAMABAD</v>
          </cell>
        </row>
        <row r="1421">
          <cell r="AM1421">
            <v>1387</v>
          </cell>
          <cell r="AN1421" t="str">
            <v>BAFFA</v>
          </cell>
          <cell r="AO1421" t="str">
            <v>Mansehra</v>
          </cell>
          <cell r="AP1421" t="str">
            <v>ISLAMABAD</v>
          </cell>
        </row>
        <row r="1422">
          <cell r="AM1422">
            <v>1410</v>
          </cell>
          <cell r="AN1422" t="str">
            <v>HATTAR, HARIPUR</v>
          </cell>
          <cell r="AO1422" t="str">
            <v>Wah</v>
          </cell>
          <cell r="AP1422" t="str">
            <v>ISLAMABAD</v>
          </cell>
        </row>
        <row r="1423">
          <cell r="AM1423">
            <v>1416</v>
          </cell>
          <cell r="AN1423" t="str">
            <v>ALIPUR FARASH</v>
          </cell>
          <cell r="AO1423" t="str">
            <v>SAM I</v>
          </cell>
          <cell r="AP1423" t="str">
            <v>ISLAMABAD</v>
          </cell>
        </row>
        <row r="1424">
          <cell r="AM1424">
            <v>1448</v>
          </cell>
          <cell r="AN1424" t="str">
            <v>OUGHI BAZAR</v>
          </cell>
          <cell r="AO1424" t="str">
            <v>Mansehra</v>
          </cell>
          <cell r="AP1424" t="str">
            <v>ISLAMABAD</v>
          </cell>
        </row>
        <row r="1425">
          <cell r="AM1425">
            <v>1499</v>
          </cell>
          <cell r="AN1425" t="str">
            <v>BUNJI, DIAMER</v>
          </cell>
          <cell r="AO1425" t="str">
            <v>GILGIT</v>
          </cell>
          <cell r="AP1425" t="str">
            <v>ISLAMABAD</v>
          </cell>
        </row>
        <row r="1426">
          <cell r="AM1426">
            <v>1501</v>
          </cell>
          <cell r="AN1426" t="str">
            <v>HUMAYUN COMPLEX</v>
          </cell>
          <cell r="AO1426" t="str">
            <v>Abbottabad</v>
          </cell>
          <cell r="AP1426" t="str">
            <v>ISLAMABAD</v>
          </cell>
        </row>
        <row r="1427">
          <cell r="AM1427">
            <v>1511</v>
          </cell>
          <cell r="AN1427" t="str">
            <v>SANGJANI</v>
          </cell>
          <cell r="AO1427" t="str">
            <v>Wah</v>
          </cell>
          <cell r="AP1427" t="str">
            <v>ISLAMABAD</v>
          </cell>
        </row>
        <row r="1428">
          <cell r="AM1428">
            <v>1528</v>
          </cell>
          <cell r="AN1428" t="str">
            <v>GHAMBIR, ABBOTABAD</v>
          </cell>
          <cell r="AO1428" t="str">
            <v>Murree</v>
          </cell>
          <cell r="AP1428" t="str">
            <v>ISLAMABAD</v>
          </cell>
        </row>
        <row r="1429">
          <cell r="AM1429">
            <v>1605</v>
          </cell>
          <cell r="AN1429" t="str">
            <v>ATTOCK CANTT.</v>
          </cell>
          <cell r="AO1429" t="str">
            <v>Attock</v>
          </cell>
          <cell r="AP1429" t="str">
            <v>ISLAMABAD</v>
          </cell>
        </row>
        <row r="1430">
          <cell r="AM1430">
            <v>1637</v>
          </cell>
          <cell r="AN1430" t="str">
            <v>SHIGAR BAZAR, SHIGAR</v>
          </cell>
          <cell r="AO1430" t="str">
            <v>Skardu</v>
          </cell>
          <cell r="AP1430" t="str">
            <v>ISLAMABAD</v>
          </cell>
        </row>
        <row r="1431">
          <cell r="AM1431">
            <v>1691</v>
          </cell>
          <cell r="AN1431" t="str">
            <v>GAMBA</v>
          </cell>
          <cell r="AO1431" t="str">
            <v>Skardu</v>
          </cell>
          <cell r="AP1431" t="str">
            <v>ISLAMABAD</v>
          </cell>
        </row>
        <row r="1432">
          <cell r="AM1432">
            <v>1742</v>
          </cell>
          <cell r="AN1432" t="str">
            <v>ISLAMABAD-H-9  SHALI</v>
          </cell>
          <cell r="AO1432" t="str">
            <v>SAM II</v>
          </cell>
          <cell r="AP1432" t="str">
            <v>ISLAMABAD</v>
          </cell>
        </row>
        <row r="1433">
          <cell r="AM1433">
            <v>1760</v>
          </cell>
          <cell r="AN1433" t="str">
            <v>BANDI SEERAN, HARIPU</v>
          </cell>
          <cell r="AO1433" t="str">
            <v>Abbottabad</v>
          </cell>
          <cell r="AP1433" t="str">
            <v>ISLAMABAD</v>
          </cell>
        </row>
        <row r="1434">
          <cell r="AM1434">
            <v>1765</v>
          </cell>
          <cell r="AN1434" t="str">
            <v>ISLAMABAD-PTV HEADQU</v>
          </cell>
          <cell r="AO1434" t="str">
            <v>F-7</v>
          </cell>
          <cell r="AP1434" t="str">
            <v>ISLAMABAD</v>
          </cell>
        </row>
        <row r="1435">
          <cell r="AM1435">
            <v>1790</v>
          </cell>
          <cell r="AN1435" t="str">
            <v>PAK. AERONAUTICAL COMPLEX, KAMRA, A</v>
          </cell>
          <cell r="AO1435" t="str">
            <v>Attock</v>
          </cell>
          <cell r="AP1435" t="str">
            <v>ISLAMABAD</v>
          </cell>
        </row>
        <row r="1436">
          <cell r="AM1436">
            <v>1791</v>
          </cell>
          <cell r="AN1436" t="str">
            <v>PAF BASE LOWER TOPA</v>
          </cell>
          <cell r="AO1436" t="str">
            <v>Murree</v>
          </cell>
          <cell r="AP1436" t="str">
            <v>ISLAMABAD</v>
          </cell>
        </row>
        <row r="1437">
          <cell r="AM1437">
            <v>1853</v>
          </cell>
          <cell r="AN1437" t="str">
            <v>ISLAMABAD-G-9/4 INDU</v>
          </cell>
          <cell r="AO1437" t="str">
            <v>SAM II</v>
          </cell>
          <cell r="AP1437" t="str">
            <v>ISLAMABAD</v>
          </cell>
        </row>
        <row r="1438">
          <cell r="AM1438">
            <v>1859</v>
          </cell>
          <cell r="AN1438" t="str">
            <v>LT.ENGG.BUILDING BR</v>
          </cell>
          <cell r="AO1438" t="str">
            <v>Wah</v>
          </cell>
          <cell r="AP1438" t="str">
            <v>ISLAMABAD</v>
          </cell>
        </row>
        <row r="1439">
          <cell r="AM1439">
            <v>1909</v>
          </cell>
          <cell r="AN1439" t="str">
            <v>CHIRAH CHOWK</v>
          </cell>
          <cell r="AO1439" t="str">
            <v>SAM I</v>
          </cell>
          <cell r="AP1439" t="str">
            <v>ISLAMABAD</v>
          </cell>
        </row>
        <row r="1440">
          <cell r="AM1440">
            <v>1915</v>
          </cell>
          <cell r="AN1440" t="str">
            <v>UNI. OF ENGG.&amp; TECH.TAXILA</v>
          </cell>
          <cell r="AO1440" t="str">
            <v>Wah</v>
          </cell>
          <cell r="AP1440" t="str">
            <v>ISLAMABAD</v>
          </cell>
        </row>
        <row r="1441">
          <cell r="AM1441">
            <v>1918</v>
          </cell>
          <cell r="AN1441" t="str">
            <v>DANDAI BAZAR</v>
          </cell>
          <cell r="AO1441" t="str">
            <v>Mansehra</v>
          </cell>
          <cell r="AP1441" t="str">
            <v>ISLAMABAD</v>
          </cell>
        </row>
        <row r="1442">
          <cell r="AM1442">
            <v>1968</v>
          </cell>
          <cell r="AN1442" t="str">
            <v>KAHIYA BHURBAN BR</v>
          </cell>
          <cell r="AO1442" t="str">
            <v>Murree</v>
          </cell>
          <cell r="AP1442" t="str">
            <v>ISLAMABAD</v>
          </cell>
        </row>
        <row r="1443">
          <cell r="AM1443">
            <v>1974</v>
          </cell>
          <cell r="AN1443" t="str">
            <v>SINGAL, GHIZER</v>
          </cell>
          <cell r="AO1443" t="str">
            <v>GILGIT</v>
          </cell>
          <cell r="AP1443" t="str">
            <v>ISLAMABAD</v>
          </cell>
        </row>
        <row r="1444">
          <cell r="AM1444">
            <v>1982</v>
          </cell>
          <cell r="AN1444" t="str">
            <v>ISLAMABAD-SUPREME CO</v>
          </cell>
          <cell r="AO1444" t="str">
            <v>SAM I</v>
          </cell>
          <cell r="AP1444" t="str">
            <v>ISLAMABAD</v>
          </cell>
        </row>
        <row r="1445">
          <cell r="AM1445">
            <v>2209</v>
          </cell>
          <cell r="AN1445" t="str">
            <v>MANSEHRA-SHINKIARI R</v>
          </cell>
          <cell r="AO1445" t="str">
            <v>Mansehra</v>
          </cell>
          <cell r="AP1445" t="str">
            <v>ISLAMABAD</v>
          </cell>
        </row>
        <row r="1446">
          <cell r="AM1446">
            <v>2210</v>
          </cell>
          <cell r="AN1446" t="str">
            <v>ABBOTTABAD LINK ROAD</v>
          </cell>
          <cell r="AO1446" t="str">
            <v>Abbottabad</v>
          </cell>
          <cell r="AP1446" t="str">
            <v>ISLAMABAD</v>
          </cell>
        </row>
        <row r="1447">
          <cell r="AM1447">
            <v>2211</v>
          </cell>
          <cell r="AN1447" t="str">
            <v>ISLAMABAD-FEDERAL B.</v>
          </cell>
          <cell r="AO1447" t="str">
            <v>SAM II</v>
          </cell>
          <cell r="AP1447" t="str">
            <v>ISLAMABAD</v>
          </cell>
        </row>
        <row r="1448">
          <cell r="AM1448">
            <v>2244</v>
          </cell>
          <cell r="AN1448" t="str">
            <v>BHARA KAHU</v>
          </cell>
          <cell r="AO1448" t="str">
            <v>SAM I</v>
          </cell>
          <cell r="AP1448" t="str">
            <v>ISLAMABAD</v>
          </cell>
        </row>
        <row r="1449">
          <cell r="AM1449">
            <v>2247</v>
          </cell>
          <cell r="AN1449" t="str">
            <v>KHAYABAN-E-SIR SYED, RAWALPINDI</v>
          </cell>
          <cell r="AO1449" t="str">
            <v>Satellite</v>
          </cell>
          <cell r="AP1449" t="str">
            <v>ISLAMABAD</v>
          </cell>
        </row>
        <row r="1450">
          <cell r="AM1450">
            <v>2249</v>
          </cell>
          <cell r="AN1450" t="str">
            <v>ISLAMABAD-F-11 MARKA</v>
          </cell>
          <cell r="AO1450" t="str">
            <v>F-7</v>
          </cell>
          <cell r="AP1450" t="str">
            <v>ISLAMABAD</v>
          </cell>
        </row>
        <row r="1451">
          <cell r="AM1451">
            <v>2253</v>
          </cell>
          <cell r="AN1451" t="str">
            <v>ISLAMABAD-I-8 MARKAZ</v>
          </cell>
          <cell r="AO1451" t="str">
            <v>CDA</v>
          </cell>
          <cell r="AP1451" t="str">
            <v>ISLAMABAD</v>
          </cell>
        </row>
        <row r="1452">
          <cell r="AM1452">
            <v>2269</v>
          </cell>
          <cell r="AN1452" t="str">
            <v>F10- MARKAZ  ISLAMAB</v>
          </cell>
          <cell r="AO1452" t="str">
            <v>F-7</v>
          </cell>
          <cell r="AP1452" t="str">
            <v>ISLAMABAD</v>
          </cell>
        </row>
        <row r="1453">
          <cell r="AM1453">
            <v>2270</v>
          </cell>
          <cell r="AN1453" t="str">
            <v>ADIALA ROAD BRANCH, RAWALPINDI</v>
          </cell>
          <cell r="AO1453" t="str">
            <v>SDV</v>
          </cell>
          <cell r="AP1453" t="str">
            <v>ISLAMABAD</v>
          </cell>
        </row>
        <row r="1454">
          <cell r="AM1454">
            <v>2290</v>
          </cell>
          <cell r="AN1454" t="str">
            <v>F8 MARKAZ BRANCH</v>
          </cell>
          <cell r="AO1454" t="str">
            <v>F-7</v>
          </cell>
          <cell r="AP1454" t="str">
            <v>ISLAMABAD</v>
          </cell>
        </row>
        <row r="1455">
          <cell r="AM1455">
            <v>2292</v>
          </cell>
          <cell r="AN1455" t="str">
            <v>NUST BRANCH ISLAMABA</v>
          </cell>
          <cell r="AO1455" t="str">
            <v>CDA</v>
          </cell>
          <cell r="AP1455" t="str">
            <v>ISLAMABAD</v>
          </cell>
        </row>
        <row r="1456">
          <cell r="AM1456">
            <v>2299</v>
          </cell>
          <cell r="AN1456" t="str">
            <v>PAF AIR HEADQUARTER</v>
          </cell>
          <cell r="AO1456" t="str">
            <v>F-7</v>
          </cell>
          <cell r="AP1456" t="str">
            <v>ISLAMABAD</v>
          </cell>
        </row>
        <row r="1457">
          <cell r="AM1457">
            <v>2304</v>
          </cell>
          <cell r="AN1457" t="str">
            <v>SECTOR G-13 BR</v>
          </cell>
          <cell r="AO1457" t="str">
            <v>SAM II</v>
          </cell>
          <cell r="AP1457" t="str">
            <v>ISLAMABAD</v>
          </cell>
        </row>
        <row r="1458">
          <cell r="AM1458">
            <v>2306</v>
          </cell>
          <cell r="AN1458" t="str">
            <v>SERENA BUSINESS COMP</v>
          </cell>
          <cell r="AO1458" t="str">
            <v>SAM I</v>
          </cell>
          <cell r="AP1458" t="str">
            <v>ISLAMABAD</v>
          </cell>
        </row>
        <row r="1459">
          <cell r="AM1459">
            <v>2307</v>
          </cell>
          <cell r="AN1459" t="str">
            <v>CHILLAS BRANCH</v>
          </cell>
          <cell r="AO1459" t="str">
            <v>GILGIT</v>
          </cell>
          <cell r="AP1459" t="str">
            <v>ISLAMABAD</v>
          </cell>
        </row>
        <row r="1460">
          <cell r="AM1460">
            <v>2315</v>
          </cell>
          <cell r="AN1460" t="str">
            <v>KHAPLU District Ghan</v>
          </cell>
          <cell r="AO1460" t="str">
            <v>Skardu</v>
          </cell>
          <cell r="AP1460" t="str">
            <v>ISLAMABAD</v>
          </cell>
        </row>
        <row r="1461">
          <cell r="AM1461">
            <v>2328</v>
          </cell>
          <cell r="AN1461" t="str">
            <v>PWD/PAKISTAN TOWN BR</v>
          </cell>
          <cell r="AO1461" t="str">
            <v>Chaklala</v>
          </cell>
          <cell r="AP1461" t="str">
            <v>ISLAMABAD</v>
          </cell>
        </row>
        <row r="1462">
          <cell r="AM1462">
            <v>2329</v>
          </cell>
          <cell r="AN1462" t="str">
            <v>E-11, ISLAMABAD</v>
          </cell>
          <cell r="AO1462" t="str">
            <v>F-7</v>
          </cell>
          <cell r="AP1462" t="str">
            <v>ISLAMABAD</v>
          </cell>
        </row>
        <row r="1463">
          <cell r="AM1463">
            <v>2330</v>
          </cell>
          <cell r="AN1463" t="str">
            <v>RAFAY MALL BRANCH</v>
          </cell>
          <cell r="AO1463" t="str">
            <v>Kashmir Rd</v>
          </cell>
          <cell r="AP1463" t="str">
            <v>ISLAMABAD</v>
          </cell>
        </row>
        <row r="1464">
          <cell r="AM1464">
            <v>2332</v>
          </cell>
          <cell r="AN1464" t="str">
            <v>NARC BRANCH ISLAMABA</v>
          </cell>
          <cell r="AO1464" t="str">
            <v>SAM I</v>
          </cell>
          <cell r="AP1464" t="str">
            <v>ISLAMABAD</v>
          </cell>
        </row>
        <row r="1465">
          <cell r="AM1465">
            <v>2335</v>
          </cell>
          <cell r="AN1465" t="str">
            <v>ALIABAD HUNZA</v>
          </cell>
          <cell r="AO1465" t="str">
            <v>GILGIT</v>
          </cell>
          <cell r="AP1465" t="str">
            <v>ISLAMABAD</v>
          </cell>
        </row>
        <row r="1466">
          <cell r="AM1466">
            <v>2339</v>
          </cell>
          <cell r="AN1466" t="str">
            <v>AAMIR PLAZA BR</v>
          </cell>
          <cell r="AO1466" t="str">
            <v>SAM II</v>
          </cell>
          <cell r="AP1466" t="str">
            <v>ISLAMABAD</v>
          </cell>
        </row>
        <row r="1467">
          <cell r="AM1467">
            <v>2340</v>
          </cell>
          <cell r="AN1467" t="str">
            <v>ADAMJEE ROAD BR</v>
          </cell>
          <cell r="AO1467" t="str">
            <v>SDV</v>
          </cell>
          <cell r="AP1467" t="str">
            <v>ISLAMABAD</v>
          </cell>
        </row>
        <row r="1468">
          <cell r="AM1468">
            <v>2344</v>
          </cell>
          <cell r="AN1468" t="str">
            <v>CENTAURUS MALL BR</v>
          </cell>
          <cell r="AO1468" t="str">
            <v>SAM II</v>
          </cell>
          <cell r="AP1468" t="str">
            <v>ISLAMABAD</v>
          </cell>
        </row>
        <row r="1469">
          <cell r="AM1469">
            <v>2365</v>
          </cell>
          <cell r="AN1469" t="str">
            <v>MANDIAN  BR ABBOTTABAD</v>
          </cell>
          <cell r="AO1469" t="str">
            <v>Abbottabad</v>
          </cell>
          <cell r="AP1469" t="str">
            <v>ISLAMABAD</v>
          </cell>
        </row>
        <row r="1470">
          <cell r="AM1470">
            <v>2366</v>
          </cell>
          <cell r="AN1470" t="str">
            <v>SOST BORDER BRANCH</v>
          </cell>
          <cell r="AO1470" t="str">
            <v>GILGIT</v>
          </cell>
          <cell r="AP1470" t="str">
            <v>ISLAMABAD</v>
          </cell>
        </row>
        <row r="1471">
          <cell r="AM1471">
            <v>2384</v>
          </cell>
          <cell r="AN1471" t="str">
            <v>DIPLOMATIC ENCLAVE B</v>
          </cell>
          <cell r="AO1471" t="str">
            <v>SAM I</v>
          </cell>
          <cell r="AP1471" t="str">
            <v>ISLAMABAD</v>
          </cell>
        </row>
        <row r="1472">
          <cell r="AM1472">
            <v>2399</v>
          </cell>
          <cell r="AN1472" t="str">
            <v>DHA phase II BRANCH ISLAMABAD</v>
          </cell>
          <cell r="AO1472" t="str">
            <v>SAM I</v>
          </cell>
          <cell r="AP1472" t="str">
            <v>ISLAMABAD</v>
          </cell>
        </row>
        <row r="1473">
          <cell r="AM1473">
            <v>2403</v>
          </cell>
          <cell r="AN1473" t="str">
            <v>BAHARIA CIVIC CENTER</v>
          </cell>
          <cell r="AO1473" t="str">
            <v>SAM I</v>
          </cell>
          <cell r="AP1473" t="str">
            <v>ISLAMABAD</v>
          </cell>
        </row>
        <row r="1474">
          <cell r="AM1474">
            <v>2414</v>
          </cell>
          <cell r="AN1474" t="str">
            <v>KARACHI COMPANY G-9</v>
          </cell>
          <cell r="AO1474" t="str">
            <v>SAM II</v>
          </cell>
          <cell r="AP1474" t="str">
            <v>ISLAMABAD</v>
          </cell>
        </row>
        <row r="1475">
          <cell r="AM1475">
            <v>2426</v>
          </cell>
          <cell r="AN1475" t="str">
            <v>Patriata New Murree</v>
          </cell>
          <cell r="AO1475" t="str">
            <v>Murree</v>
          </cell>
          <cell r="AP1475" t="str">
            <v>ISLAMABAD</v>
          </cell>
        </row>
        <row r="1476">
          <cell r="AM1476">
            <v>2433</v>
          </cell>
          <cell r="AN1476" t="str">
            <v>COMSATS ISLAMABAD</v>
          </cell>
          <cell r="AO1476" t="str">
            <v>SAM II</v>
          </cell>
          <cell r="AP1476" t="str">
            <v>ISLAMABAD</v>
          </cell>
        </row>
        <row r="1477">
          <cell r="AM1477">
            <v>2446</v>
          </cell>
          <cell r="AN1477" t="str">
            <v>College Road F-7 Bra</v>
          </cell>
          <cell r="AO1477" t="str">
            <v>F-7</v>
          </cell>
          <cell r="AP1477" t="str">
            <v>ISLAMABAD</v>
          </cell>
        </row>
        <row r="1478">
          <cell r="AM1478">
            <v>2447</v>
          </cell>
          <cell r="AN1478" t="str">
            <v>GPO Chowk Haider Road</v>
          </cell>
          <cell r="AO1478" t="str">
            <v>SDV</v>
          </cell>
          <cell r="AP1478" t="str">
            <v>ISLAMABAD</v>
          </cell>
        </row>
        <row r="1479">
          <cell r="AM1479">
            <v>2454</v>
          </cell>
          <cell r="AN1479" t="str">
            <v>Ghouri Town Islamaba</v>
          </cell>
          <cell r="AO1479" t="str">
            <v>Satellite</v>
          </cell>
          <cell r="AP1479" t="str">
            <v>ISLAMABAD</v>
          </cell>
        </row>
        <row r="1480">
          <cell r="AM1480">
            <v>2455</v>
          </cell>
          <cell r="AN1480" t="str">
            <v>Golra More Islamabad</v>
          </cell>
          <cell r="AO1480" t="str">
            <v>SAM II</v>
          </cell>
          <cell r="AP1480" t="str">
            <v>ISLAMABAD</v>
          </cell>
        </row>
        <row r="1481">
          <cell r="AM1481">
            <v>2456</v>
          </cell>
          <cell r="AN1481" t="str">
            <v>Lala Rukh Wah Cantt</v>
          </cell>
          <cell r="AO1481" t="str">
            <v>Wah</v>
          </cell>
          <cell r="AP1481" t="str">
            <v>ISLAMABAD</v>
          </cell>
        </row>
        <row r="1482">
          <cell r="AM1482">
            <v>2459</v>
          </cell>
          <cell r="AN1482" t="str">
            <v>Range Road Rawalpind</v>
          </cell>
          <cell r="AO1482" t="str">
            <v>SDV</v>
          </cell>
          <cell r="AP1482" t="str">
            <v>ISLAMABAD</v>
          </cell>
        </row>
        <row r="1483">
          <cell r="AM1483">
            <v>2463</v>
          </cell>
          <cell r="AN1483" t="str">
            <v>Alamdar Chowk,Skardu</v>
          </cell>
          <cell r="AO1483" t="str">
            <v>Skardu</v>
          </cell>
          <cell r="AP1483" t="str">
            <v>ISLAMABAD</v>
          </cell>
        </row>
        <row r="1484">
          <cell r="AM1484">
            <v>2471</v>
          </cell>
          <cell r="AN1484" t="str">
            <v>KURI ROAD ISLAMABAD</v>
          </cell>
          <cell r="AO1484" t="str">
            <v>SAM I</v>
          </cell>
          <cell r="AP1484" t="str">
            <v>ISLAMABAD</v>
          </cell>
        </row>
        <row r="1485">
          <cell r="AM1485">
            <v>2480</v>
          </cell>
          <cell r="AN1485" t="str">
            <v>New Islamabad Airpor</v>
          </cell>
          <cell r="AO1485" t="str">
            <v>SDV</v>
          </cell>
          <cell r="AP1485" t="str">
            <v>ISLAMABAD</v>
          </cell>
        </row>
        <row r="1486">
          <cell r="AM1486">
            <v>2481</v>
          </cell>
          <cell r="AN1486" t="str">
            <v>Bahria Enclave Islam</v>
          </cell>
          <cell r="AO1486" t="str">
            <v>SAM I</v>
          </cell>
          <cell r="AP1486" t="str">
            <v>ISLAMABAD</v>
          </cell>
        </row>
        <row r="1487">
          <cell r="AM1487">
            <v>2494</v>
          </cell>
          <cell r="AN1487" t="str">
            <v>I-10 Markaz Islamaba</v>
          </cell>
          <cell r="AO1487" t="str">
            <v>CDA</v>
          </cell>
          <cell r="AP1487" t="str">
            <v>ISLAMABAD</v>
          </cell>
        </row>
        <row r="1488">
          <cell r="AM1488">
            <v>249</v>
          </cell>
          <cell r="AN1488" t="str">
            <v>RAKKAR DHAR BAZAR, K</v>
          </cell>
          <cell r="AO1488" t="str">
            <v>Rawalakot</v>
          </cell>
          <cell r="AP1488" t="str">
            <v>MUZAFFARABAD</v>
          </cell>
        </row>
        <row r="1489">
          <cell r="AM1489">
            <v>397</v>
          </cell>
          <cell r="AN1489" t="str">
            <v>HAJIRA</v>
          </cell>
          <cell r="AO1489" t="str">
            <v>Rawalakot</v>
          </cell>
          <cell r="AP1489" t="str">
            <v>MUZAFFARABAD</v>
          </cell>
        </row>
        <row r="1490">
          <cell r="AM1490">
            <v>422</v>
          </cell>
          <cell r="AN1490" t="str">
            <v>MAIN BRANCH, MUZZFARABAD</v>
          </cell>
          <cell r="AO1490" t="str">
            <v>Muzaffarabad</v>
          </cell>
          <cell r="AP1490" t="str">
            <v>MUZAFFARABAD</v>
          </cell>
        </row>
        <row r="1491">
          <cell r="AM1491">
            <v>510</v>
          </cell>
          <cell r="AN1491" t="str">
            <v>PALLANDRI</v>
          </cell>
          <cell r="AO1491" t="str">
            <v>Pullandri</v>
          </cell>
          <cell r="AP1491" t="str">
            <v>MUZAFFARABAD</v>
          </cell>
        </row>
        <row r="1492">
          <cell r="AM1492">
            <v>571</v>
          </cell>
          <cell r="AN1492" t="str">
            <v>NAKKA BAZAR, PALLAND</v>
          </cell>
          <cell r="AO1492" t="str">
            <v>Pullandri</v>
          </cell>
          <cell r="AP1492" t="str">
            <v>MUZAFFARABAD</v>
          </cell>
        </row>
        <row r="1493">
          <cell r="AM1493">
            <v>1136</v>
          </cell>
          <cell r="AN1493" t="str">
            <v>MAIN BRANCH, RAWLAKOT</v>
          </cell>
          <cell r="AO1493" t="str">
            <v>Rawalakot</v>
          </cell>
          <cell r="AP1493" t="str">
            <v>MUZAFFARABAD</v>
          </cell>
        </row>
        <row r="1494">
          <cell r="AM1494">
            <v>1143</v>
          </cell>
          <cell r="AN1494" t="str">
            <v>BAGH A.K.</v>
          </cell>
          <cell r="AO1494" t="str">
            <v>Bagh</v>
          </cell>
          <cell r="AP1494" t="str">
            <v>MUZAFFARABAD</v>
          </cell>
        </row>
        <row r="1495">
          <cell r="AM1495">
            <v>1147</v>
          </cell>
          <cell r="AN1495" t="str">
            <v>PANIOLA</v>
          </cell>
          <cell r="AO1495" t="str">
            <v>Rawalakot</v>
          </cell>
          <cell r="AP1495" t="str">
            <v>MUZAFFARABAD</v>
          </cell>
        </row>
        <row r="1496">
          <cell r="AM1496">
            <v>1165</v>
          </cell>
          <cell r="AN1496" t="str">
            <v>CHATTAR DOMEL, MUZZAFARABAD</v>
          </cell>
          <cell r="AO1496" t="str">
            <v>Muzaffarabad</v>
          </cell>
          <cell r="AP1496" t="str">
            <v>MUZAFFARABAD</v>
          </cell>
        </row>
        <row r="1497">
          <cell r="AM1497">
            <v>1289</v>
          </cell>
          <cell r="AN1497" t="str">
            <v>GHARI DUPATTA</v>
          </cell>
          <cell r="AO1497" t="str">
            <v>Muzaffarabad</v>
          </cell>
          <cell r="AP1497" t="str">
            <v>MUZAFFARABAD</v>
          </cell>
        </row>
        <row r="1498">
          <cell r="AM1498">
            <v>1383</v>
          </cell>
          <cell r="AN1498" t="str">
            <v>MOHRI FARMAN SHAH, R</v>
          </cell>
          <cell r="AO1498" t="str">
            <v>Bagh</v>
          </cell>
          <cell r="AP1498" t="str">
            <v>MUZAFFARABAD</v>
          </cell>
        </row>
        <row r="1499">
          <cell r="AM1499">
            <v>1386</v>
          </cell>
          <cell r="AN1499" t="str">
            <v>BANDI ABBASPUR</v>
          </cell>
          <cell r="AO1499" t="str">
            <v>Rawalakot</v>
          </cell>
          <cell r="AP1499" t="str">
            <v>MUZAFFARABAD</v>
          </cell>
        </row>
        <row r="1500">
          <cell r="AM1500">
            <v>1433</v>
          </cell>
          <cell r="AN1500" t="str">
            <v>SHAHEEDABAD BAZAR, B</v>
          </cell>
          <cell r="AO1500" t="str">
            <v>Pullandri</v>
          </cell>
          <cell r="AP1500" t="str">
            <v>MUZAFFARABAD</v>
          </cell>
        </row>
        <row r="1501">
          <cell r="AM1501">
            <v>1437</v>
          </cell>
          <cell r="AN1501" t="str">
            <v>DHIRKOT-MUNAWAR PLAZ</v>
          </cell>
          <cell r="AO1501" t="str">
            <v>Bagh</v>
          </cell>
          <cell r="AP1501" t="str">
            <v>MUZAFFARABAD</v>
          </cell>
        </row>
        <row r="1502">
          <cell r="AM1502">
            <v>1476</v>
          </cell>
          <cell r="AN1502" t="str">
            <v>KAHUTA DISTT. BAGH A</v>
          </cell>
          <cell r="AO1502" t="str">
            <v>Bagh</v>
          </cell>
          <cell r="AP1502" t="str">
            <v>MUZAFFARABAD</v>
          </cell>
        </row>
        <row r="1503">
          <cell r="AM1503">
            <v>1486</v>
          </cell>
          <cell r="AN1503" t="str">
            <v>KHAIGALA</v>
          </cell>
          <cell r="AO1503" t="str">
            <v>Rawalakot</v>
          </cell>
          <cell r="AP1503" t="str">
            <v>MUZAFFARABAD</v>
          </cell>
        </row>
        <row r="1504">
          <cell r="AM1504">
            <v>1502</v>
          </cell>
          <cell r="AN1504" t="str">
            <v>BALOCH, PALLANDRI</v>
          </cell>
          <cell r="AO1504" t="str">
            <v>Pullandri</v>
          </cell>
          <cell r="AP1504" t="str">
            <v>MUZAFFARABAD</v>
          </cell>
        </row>
        <row r="1505">
          <cell r="AM1505">
            <v>1503</v>
          </cell>
          <cell r="AN1505" t="str">
            <v>HARI GHEL, BAGH</v>
          </cell>
          <cell r="AO1505" t="str">
            <v>Bagh</v>
          </cell>
          <cell r="AP1505" t="str">
            <v>MUZAFFARABAD</v>
          </cell>
        </row>
        <row r="1506">
          <cell r="AM1506">
            <v>1504</v>
          </cell>
          <cell r="AN1506" t="str">
            <v>TARAR KHEL, PALLANDR</v>
          </cell>
          <cell r="AO1506" t="str">
            <v>Pullandri</v>
          </cell>
          <cell r="AP1506" t="str">
            <v>MUZAFFARABAD</v>
          </cell>
        </row>
        <row r="1507">
          <cell r="AM1507">
            <v>1505</v>
          </cell>
          <cell r="AN1507" t="str">
            <v>MUJAHIDABAD, RAWALAK</v>
          </cell>
          <cell r="AO1507" t="str">
            <v>Rawalakot</v>
          </cell>
          <cell r="AP1507" t="str">
            <v>MUZAFFARABAD</v>
          </cell>
        </row>
        <row r="1508">
          <cell r="AM1508">
            <v>1506</v>
          </cell>
          <cell r="AN1508" t="str">
            <v>RERRA, BAGH</v>
          </cell>
          <cell r="AO1508" t="str">
            <v>Bagh</v>
          </cell>
          <cell r="AP1508" t="str">
            <v>MUZAFFARABAD</v>
          </cell>
        </row>
        <row r="1509">
          <cell r="AM1509">
            <v>1507</v>
          </cell>
          <cell r="AN1509" t="str">
            <v>MONG, PALLANDRI</v>
          </cell>
          <cell r="AO1509" t="str">
            <v>Pullandri</v>
          </cell>
          <cell r="AP1509" t="str">
            <v>MUZAFFARABAD</v>
          </cell>
        </row>
        <row r="1510">
          <cell r="AM1510">
            <v>1514</v>
          </cell>
          <cell r="AN1510" t="str">
            <v>THORAR</v>
          </cell>
          <cell r="AO1510" t="str">
            <v>Rawalakot</v>
          </cell>
          <cell r="AP1510" t="str">
            <v>MUZAFFARABAD</v>
          </cell>
        </row>
        <row r="1511">
          <cell r="AM1511">
            <v>1520</v>
          </cell>
          <cell r="AN1511" t="str">
            <v>PATIKA</v>
          </cell>
          <cell r="AO1511" t="str">
            <v>Muzaffarabad</v>
          </cell>
          <cell r="AP1511" t="str">
            <v>MUZAFFARABAD</v>
          </cell>
        </row>
        <row r="1512">
          <cell r="AM1512">
            <v>1554</v>
          </cell>
          <cell r="AN1512" t="str">
            <v>MUZAFFARABAD-AJ &amp; K</v>
          </cell>
          <cell r="AO1512" t="str">
            <v>Muzaffarabad</v>
          </cell>
          <cell r="AP1512" t="str">
            <v>MUZAFFARABAD</v>
          </cell>
        </row>
        <row r="1513">
          <cell r="AM1513">
            <v>1604</v>
          </cell>
          <cell r="AN1513" t="str">
            <v>TOPA, RAWALAKOT</v>
          </cell>
          <cell r="AO1513" t="str">
            <v>Rawalakot</v>
          </cell>
          <cell r="AP1513" t="str">
            <v>MUZAFFARABAD</v>
          </cell>
        </row>
        <row r="1514">
          <cell r="AM1514">
            <v>1620</v>
          </cell>
          <cell r="AN1514" t="str">
            <v>DATOOT, RAWALAKOT</v>
          </cell>
          <cell r="AO1514" t="str">
            <v>Rawalakot</v>
          </cell>
          <cell r="AP1514" t="str">
            <v>MUZAFFARABAD</v>
          </cell>
        </row>
        <row r="1515">
          <cell r="AM1515">
            <v>1740</v>
          </cell>
          <cell r="AN1515" t="str">
            <v>HATTIAN</v>
          </cell>
          <cell r="AO1515" t="str">
            <v>Muzaffarabad</v>
          </cell>
          <cell r="AP1515" t="str">
            <v>MUZAFFARABAD</v>
          </cell>
        </row>
        <row r="1516">
          <cell r="AM1516">
            <v>1767</v>
          </cell>
          <cell r="AN1516" t="str">
            <v>KEL, ATHMUQAM</v>
          </cell>
          <cell r="AO1516" t="str">
            <v>Muzaffarabad</v>
          </cell>
          <cell r="AP1516" t="str">
            <v>MUZAFFARABAD</v>
          </cell>
        </row>
        <row r="1517">
          <cell r="AM1517">
            <v>1812</v>
          </cell>
          <cell r="AN1517" t="str">
            <v>KAHORI, MUZAFFARABAD</v>
          </cell>
          <cell r="AO1517" t="str">
            <v>Muzaffarabad</v>
          </cell>
          <cell r="AP1517" t="str">
            <v>MUZAFFARABAD</v>
          </cell>
        </row>
        <row r="1518">
          <cell r="AM1518">
            <v>1914</v>
          </cell>
          <cell r="AN1518" t="str">
            <v>BIR PANI, BAGH</v>
          </cell>
          <cell r="AO1518" t="str">
            <v>Bagh</v>
          </cell>
          <cell r="AP1518" t="str">
            <v>MUZAFFARABAD</v>
          </cell>
        </row>
        <row r="1519">
          <cell r="AM1519">
            <v>2248</v>
          </cell>
          <cell r="AN1519" t="str">
            <v>CHINARI</v>
          </cell>
          <cell r="AO1519" t="str">
            <v>Muzaffarabad</v>
          </cell>
          <cell r="AP1519" t="str">
            <v>MUZAFFARABAD</v>
          </cell>
        </row>
        <row r="1520">
          <cell r="AM1520">
            <v>2275</v>
          </cell>
          <cell r="AN1520" t="str">
            <v>CHATTER KALAS, KOHAL</v>
          </cell>
          <cell r="AO1520" t="str">
            <v>Muzaffarabad</v>
          </cell>
          <cell r="AP1520" t="str">
            <v>MUZAFFARABAD</v>
          </cell>
        </row>
        <row r="1521">
          <cell r="AM1521">
            <v>2300</v>
          </cell>
          <cell r="AN1521" t="str">
            <v>SATHRA ROAD MUZAFFAR</v>
          </cell>
          <cell r="AO1521" t="str">
            <v>Muzaffarabad</v>
          </cell>
          <cell r="AP1521" t="str">
            <v>MUZAFFARABAD</v>
          </cell>
        </row>
        <row r="1522">
          <cell r="AM1522">
            <v>2346</v>
          </cell>
          <cell r="AN1522" t="str">
            <v>HURNA MAIRA</v>
          </cell>
          <cell r="AO1522" t="str">
            <v>Rawalakot</v>
          </cell>
          <cell r="AP1522" t="str">
            <v>MUZAFFARABAD</v>
          </cell>
        </row>
        <row r="1523">
          <cell r="AM1523">
            <v>2363</v>
          </cell>
          <cell r="AN1523" t="str">
            <v>PDA Housing Scheme B</v>
          </cell>
          <cell r="AO1523" t="str">
            <v>Rawalakot</v>
          </cell>
          <cell r="AP1523" t="str">
            <v>MUZAFFARABAD</v>
          </cell>
        </row>
        <row r="1524">
          <cell r="AM1524">
            <v>2393</v>
          </cell>
          <cell r="AN1524" t="str">
            <v>ATHMUQAM BRANCH</v>
          </cell>
          <cell r="AO1524" t="str">
            <v>Muzaffarabad</v>
          </cell>
          <cell r="AP1524" t="str">
            <v>MUZAFFARABAD</v>
          </cell>
        </row>
        <row r="1525">
          <cell r="AM1525">
            <v>2475</v>
          </cell>
          <cell r="AN1525" t="str">
            <v>Chella Bandi Code</v>
          </cell>
          <cell r="AO1525" t="str">
            <v>Muzaffarabad</v>
          </cell>
          <cell r="AP1525" t="str">
            <v>MUZAFFARABAD</v>
          </cell>
        </row>
        <row r="1526">
          <cell r="AM1526">
            <v>187</v>
          </cell>
          <cell r="AN1526" t="str">
            <v>MANGLA DAM</v>
          </cell>
          <cell r="AO1526" t="str">
            <v>Jatlan</v>
          </cell>
          <cell r="AP1526" t="str">
            <v>MIRPUR</v>
          </cell>
        </row>
        <row r="1527">
          <cell r="AM1527">
            <v>190</v>
          </cell>
          <cell r="AN1527" t="str">
            <v>MAIN BRANCH,MIRPUR AK</v>
          </cell>
          <cell r="AO1527" t="str">
            <v>Mirpur</v>
          </cell>
          <cell r="AP1527" t="str">
            <v>MIRPUR</v>
          </cell>
        </row>
        <row r="1528">
          <cell r="AM1528">
            <v>199</v>
          </cell>
          <cell r="AN1528" t="str">
            <v>DADYAL</v>
          </cell>
          <cell r="AO1528" t="str">
            <v>Dadyal</v>
          </cell>
          <cell r="AP1528" t="str">
            <v>MIRPUR</v>
          </cell>
        </row>
        <row r="1529">
          <cell r="AM1529">
            <v>256</v>
          </cell>
          <cell r="AN1529" t="str">
            <v>KATHAR</v>
          </cell>
          <cell r="AO1529" t="str">
            <v>Dadyal</v>
          </cell>
          <cell r="AP1529" t="str">
            <v>MIRPUR</v>
          </cell>
        </row>
        <row r="1530">
          <cell r="AM1530">
            <v>262</v>
          </cell>
          <cell r="AN1530" t="str">
            <v>BANK SQ. NANGI, MIRPUR, AK</v>
          </cell>
          <cell r="AO1530" t="str">
            <v>Mirpur</v>
          </cell>
          <cell r="AP1530" t="str">
            <v>MIRPUR</v>
          </cell>
        </row>
        <row r="1531">
          <cell r="AM1531">
            <v>264</v>
          </cell>
          <cell r="AN1531" t="str">
            <v>SANGOTE C/4 MIRPUR A</v>
          </cell>
          <cell r="AO1531" t="str">
            <v>Mirpur</v>
          </cell>
          <cell r="AP1531" t="str">
            <v>MIRPUR</v>
          </cell>
        </row>
        <row r="1532">
          <cell r="AM1532">
            <v>284</v>
          </cell>
          <cell r="AN1532" t="str">
            <v>KOT JAMIL</v>
          </cell>
          <cell r="AO1532" t="str">
            <v>Bhimber</v>
          </cell>
          <cell r="AP1532" t="str">
            <v>MIRPUR</v>
          </cell>
        </row>
        <row r="1533">
          <cell r="AM1533">
            <v>381</v>
          </cell>
          <cell r="AN1533" t="str">
            <v>KADHALA, BARNALA</v>
          </cell>
          <cell r="AO1533" t="str">
            <v>Bhimber</v>
          </cell>
          <cell r="AP1533" t="str">
            <v>MIRPUR</v>
          </cell>
        </row>
        <row r="1534">
          <cell r="AM1534">
            <v>402</v>
          </cell>
          <cell r="AN1534" t="str">
            <v>KHADIMABAD, DADYAL</v>
          </cell>
          <cell r="AO1534" t="str">
            <v>Dadyal</v>
          </cell>
          <cell r="AP1534" t="str">
            <v>MIRPUR</v>
          </cell>
        </row>
        <row r="1535">
          <cell r="AM1535">
            <v>410</v>
          </cell>
          <cell r="AN1535" t="str">
            <v>RATTA, DADYAL</v>
          </cell>
          <cell r="AO1535" t="str">
            <v>Dadyal</v>
          </cell>
          <cell r="AP1535" t="str">
            <v>MIRPUR</v>
          </cell>
        </row>
        <row r="1536">
          <cell r="AM1536">
            <v>453</v>
          </cell>
          <cell r="AN1536" t="str">
            <v>MAIN BR CHAKSAWARI</v>
          </cell>
          <cell r="AO1536" t="str">
            <v>Chaksawari</v>
          </cell>
          <cell r="AP1536" t="str">
            <v>MIRPUR</v>
          </cell>
        </row>
        <row r="1537">
          <cell r="AM1537">
            <v>536</v>
          </cell>
          <cell r="AN1537" t="str">
            <v>MAIN BRANCH, KOTLI</v>
          </cell>
          <cell r="AO1537" t="str">
            <v>Kotli</v>
          </cell>
          <cell r="AP1537" t="str">
            <v>MIRPUR</v>
          </cell>
        </row>
        <row r="1538">
          <cell r="AM1538">
            <v>547</v>
          </cell>
          <cell r="AN1538" t="str">
            <v>CHITAR PARI</v>
          </cell>
          <cell r="AO1538" t="str">
            <v>Jatlan</v>
          </cell>
          <cell r="AP1538" t="str">
            <v>MIRPUR</v>
          </cell>
        </row>
        <row r="1539">
          <cell r="AM1539">
            <v>569</v>
          </cell>
          <cell r="AN1539" t="str">
            <v>NEW KAKRA TOWN, MIRP</v>
          </cell>
          <cell r="AO1539" t="str">
            <v>Chaksawari</v>
          </cell>
          <cell r="AP1539" t="str">
            <v>MIRPUR</v>
          </cell>
        </row>
        <row r="1540">
          <cell r="AM1540">
            <v>579</v>
          </cell>
          <cell r="AN1540" t="str">
            <v>BANDRAL. MIRPUR A,K</v>
          </cell>
          <cell r="AO1540" t="str">
            <v>Mirpur</v>
          </cell>
          <cell r="AP1540" t="str">
            <v>MIRPUR</v>
          </cell>
        </row>
        <row r="1541">
          <cell r="AM1541">
            <v>612</v>
          </cell>
          <cell r="AN1541" t="str">
            <v>KHUIRATTA</v>
          </cell>
          <cell r="AO1541" t="str">
            <v>Kotli</v>
          </cell>
          <cell r="AP1541" t="str">
            <v>MIRPUR</v>
          </cell>
        </row>
        <row r="1542">
          <cell r="AM1542">
            <v>619</v>
          </cell>
          <cell r="AN1542" t="str">
            <v>BATROI (DHOK MALIKAB</v>
          </cell>
          <cell r="AO1542" t="str">
            <v>Dadyal</v>
          </cell>
          <cell r="AP1542" t="str">
            <v>MIRPUR</v>
          </cell>
        </row>
        <row r="1543">
          <cell r="AM1543">
            <v>642</v>
          </cell>
          <cell r="AN1543" t="str">
            <v>RAJDHANI, KOTLI</v>
          </cell>
          <cell r="AO1543" t="str">
            <v>Chaksawari</v>
          </cell>
          <cell r="AP1543" t="str">
            <v>MIRPUR</v>
          </cell>
        </row>
        <row r="1544">
          <cell r="AM1544">
            <v>643</v>
          </cell>
          <cell r="AN1544" t="str">
            <v>THARA</v>
          </cell>
          <cell r="AO1544" t="str">
            <v>Dadyal</v>
          </cell>
          <cell r="AP1544" t="str">
            <v>MIRPUR</v>
          </cell>
        </row>
        <row r="1545">
          <cell r="AM1545">
            <v>645</v>
          </cell>
          <cell r="AN1545" t="str">
            <v>PIND KHURD</v>
          </cell>
          <cell r="AO1545" t="str">
            <v>Chaksawari</v>
          </cell>
          <cell r="AP1545" t="str">
            <v>MIRPUR</v>
          </cell>
        </row>
        <row r="1546">
          <cell r="AM1546">
            <v>646</v>
          </cell>
          <cell r="AN1546" t="str">
            <v>BEHARI</v>
          </cell>
          <cell r="AO1546" t="str">
            <v>Dadyal</v>
          </cell>
          <cell r="AP1546" t="str">
            <v>MIRPUR</v>
          </cell>
        </row>
        <row r="1547">
          <cell r="AM1547">
            <v>647</v>
          </cell>
          <cell r="AN1547" t="str">
            <v>ISLAMGARH (AKALGARH), MIRPUR A.K.</v>
          </cell>
          <cell r="AO1547" t="str">
            <v>Chaksawari</v>
          </cell>
          <cell r="AP1547" t="str">
            <v>MIRPUR</v>
          </cell>
        </row>
        <row r="1548">
          <cell r="AM1548">
            <v>649</v>
          </cell>
          <cell r="AN1548" t="str">
            <v>JATLAN, MIRPUR A.K.</v>
          </cell>
          <cell r="AO1548" t="str">
            <v>Jatlan</v>
          </cell>
          <cell r="AP1548" t="str">
            <v>MIRPUR</v>
          </cell>
        </row>
        <row r="1549">
          <cell r="AM1549">
            <v>650</v>
          </cell>
          <cell r="AN1549" t="str">
            <v>CHIROI</v>
          </cell>
          <cell r="AO1549" t="str">
            <v>Kotli</v>
          </cell>
          <cell r="AP1549" t="str">
            <v>MIRPUR</v>
          </cell>
        </row>
        <row r="1550">
          <cell r="AM1550">
            <v>854</v>
          </cell>
          <cell r="AN1550" t="str">
            <v>DHANGRI BALA, MIRPUR</v>
          </cell>
          <cell r="AO1550" t="str">
            <v>Chaksawari</v>
          </cell>
          <cell r="AP1550" t="str">
            <v>MIRPUR</v>
          </cell>
        </row>
        <row r="1551">
          <cell r="AM1551">
            <v>855</v>
          </cell>
          <cell r="AN1551" t="str">
            <v>SAMLOTHA</v>
          </cell>
          <cell r="AO1551" t="str">
            <v>Dadyal</v>
          </cell>
          <cell r="AP1551" t="str">
            <v>MIRPUR</v>
          </cell>
        </row>
        <row r="1552">
          <cell r="AM1552">
            <v>860</v>
          </cell>
          <cell r="AN1552" t="str">
            <v>SAMAHNI</v>
          </cell>
          <cell r="AO1552" t="str">
            <v>Bhimber</v>
          </cell>
          <cell r="AP1552" t="str">
            <v>MIRPUR</v>
          </cell>
        </row>
        <row r="1553">
          <cell r="AM1553">
            <v>864</v>
          </cell>
          <cell r="AN1553" t="str">
            <v>JALALABAD ONAH MOHRA</v>
          </cell>
          <cell r="AO1553" t="str">
            <v>Dadyal</v>
          </cell>
          <cell r="AP1553" t="str">
            <v>MIRPUR</v>
          </cell>
        </row>
        <row r="1554">
          <cell r="AM1554">
            <v>917</v>
          </cell>
          <cell r="AN1554" t="str">
            <v>CHATTROH</v>
          </cell>
          <cell r="AO1554" t="str">
            <v>Dadyal</v>
          </cell>
          <cell r="AP1554" t="str">
            <v>MIRPUR</v>
          </cell>
        </row>
        <row r="1555">
          <cell r="AM1555">
            <v>1050</v>
          </cell>
          <cell r="AN1555" t="str">
            <v>MIRPUR-KHARAK</v>
          </cell>
          <cell r="AO1555" t="str">
            <v>Mirpur</v>
          </cell>
          <cell r="AP1555" t="str">
            <v>MIRPUR</v>
          </cell>
        </row>
        <row r="1556">
          <cell r="AM1556">
            <v>1078</v>
          </cell>
          <cell r="AN1556" t="str">
            <v>CHECHIAN</v>
          </cell>
          <cell r="AO1556" t="str">
            <v>Jatlan</v>
          </cell>
          <cell r="AP1556" t="str">
            <v>MIRPUR</v>
          </cell>
        </row>
        <row r="1557">
          <cell r="AM1557">
            <v>1099</v>
          </cell>
          <cell r="AN1557" t="str">
            <v>MANGLA HAMLET</v>
          </cell>
          <cell r="AO1557" t="str">
            <v>Jatlan</v>
          </cell>
          <cell r="AP1557" t="str">
            <v>MIRPUR</v>
          </cell>
        </row>
        <row r="1558">
          <cell r="AM1558">
            <v>1111</v>
          </cell>
          <cell r="AN1558" t="str">
            <v>SIAKH</v>
          </cell>
          <cell r="AO1558" t="str">
            <v>Dadyal</v>
          </cell>
          <cell r="AP1558" t="str">
            <v>MIRPUR</v>
          </cell>
        </row>
        <row r="1559">
          <cell r="AM1559">
            <v>1159</v>
          </cell>
          <cell r="AN1559" t="str">
            <v>MAIN BRANCH, BHIMBER</v>
          </cell>
          <cell r="AO1559" t="str">
            <v>Bhimber</v>
          </cell>
          <cell r="AP1559" t="str">
            <v>MIRPUR</v>
          </cell>
        </row>
        <row r="1560">
          <cell r="AM1560">
            <v>1291</v>
          </cell>
          <cell r="AN1560" t="str">
            <v>BARJAH JANDALA, BHIM</v>
          </cell>
          <cell r="AO1560" t="str">
            <v>Bhimber</v>
          </cell>
          <cell r="AP1560" t="str">
            <v>MIRPUR</v>
          </cell>
        </row>
        <row r="1561">
          <cell r="AM1561">
            <v>1295</v>
          </cell>
          <cell r="AN1561" t="str">
            <v>SURRAKHI</v>
          </cell>
          <cell r="AO1561" t="str">
            <v>Dadyal</v>
          </cell>
          <cell r="AP1561" t="str">
            <v>MIRPUR</v>
          </cell>
        </row>
        <row r="1562">
          <cell r="AM1562">
            <v>1298</v>
          </cell>
          <cell r="AN1562" t="str">
            <v>POTHA SHER, DADYAL</v>
          </cell>
          <cell r="AO1562" t="str">
            <v>Dadyal</v>
          </cell>
          <cell r="AP1562" t="str">
            <v>MIRPUR</v>
          </cell>
        </row>
        <row r="1563">
          <cell r="AM1563">
            <v>1302</v>
          </cell>
          <cell r="AN1563" t="str">
            <v>SEHAR MANDI</v>
          </cell>
          <cell r="AO1563" t="str">
            <v>Kotli</v>
          </cell>
          <cell r="AP1563" t="str">
            <v>MIRPUR</v>
          </cell>
        </row>
        <row r="1564">
          <cell r="AM1564">
            <v>1399</v>
          </cell>
          <cell r="AN1564" t="str">
            <v>PULL MANDA</v>
          </cell>
          <cell r="AO1564" t="str">
            <v>Jatlan</v>
          </cell>
          <cell r="AP1564" t="str">
            <v>MIRPUR</v>
          </cell>
        </row>
        <row r="1565">
          <cell r="AM1565">
            <v>1400</v>
          </cell>
          <cell r="AN1565" t="str">
            <v>SEHNSA</v>
          </cell>
          <cell r="AO1565" t="str">
            <v>Kotli</v>
          </cell>
          <cell r="AP1565" t="str">
            <v>MIRPUR</v>
          </cell>
        </row>
        <row r="1566">
          <cell r="AM1566">
            <v>1566</v>
          </cell>
          <cell r="AN1566" t="str">
            <v>POONA, SAMAHNI, BHIM</v>
          </cell>
          <cell r="AO1566" t="str">
            <v>Bhimber</v>
          </cell>
          <cell r="AP1566" t="str">
            <v>MIRPUR</v>
          </cell>
        </row>
        <row r="1567">
          <cell r="AM1567">
            <v>1737</v>
          </cell>
          <cell r="AN1567" t="str">
            <v>PANJERA, SEHNSA</v>
          </cell>
          <cell r="AO1567" t="str">
            <v>Kotli</v>
          </cell>
          <cell r="AP1567" t="str">
            <v>MIRPUR</v>
          </cell>
        </row>
        <row r="1568">
          <cell r="AM1568">
            <v>1739</v>
          </cell>
          <cell r="AN1568" t="str">
            <v>TATAPANI, KOTLI</v>
          </cell>
          <cell r="AO1568" t="str">
            <v>Kotli</v>
          </cell>
          <cell r="AP1568" t="str">
            <v>MIRPUR</v>
          </cell>
        </row>
        <row r="1569">
          <cell r="AM1569">
            <v>1766</v>
          </cell>
          <cell r="AN1569" t="str">
            <v>MAIN BAZAR, CHOWKI,</v>
          </cell>
          <cell r="AO1569" t="str">
            <v>Bhimber</v>
          </cell>
          <cell r="AP1569" t="str">
            <v>MIRPUR</v>
          </cell>
        </row>
        <row r="1570">
          <cell r="AM1570">
            <v>1804</v>
          </cell>
          <cell r="AN1570" t="str">
            <v>SERI, KOTLI</v>
          </cell>
          <cell r="AO1570" t="str">
            <v>Kotli</v>
          </cell>
          <cell r="AP1570" t="str">
            <v>MIRPUR</v>
          </cell>
        </row>
        <row r="1571">
          <cell r="AM1571">
            <v>1809</v>
          </cell>
          <cell r="AN1571" t="str">
            <v>SHAHEED CHOWK BRANCH</v>
          </cell>
          <cell r="AO1571" t="str">
            <v>Kotli</v>
          </cell>
          <cell r="AP1571" t="str">
            <v>MIRPUR</v>
          </cell>
        </row>
        <row r="1572">
          <cell r="AM1572">
            <v>1866</v>
          </cell>
          <cell r="AN1572" t="str">
            <v>DHONGI, KOTLI</v>
          </cell>
          <cell r="AO1572" t="str">
            <v>Kotli</v>
          </cell>
          <cell r="AP1572" t="str">
            <v>MIRPUR</v>
          </cell>
        </row>
        <row r="1573">
          <cell r="AM1573">
            <v>1889</v>
          </cell>
          <cell r="AN1573" t="str">
            <v>KHAD GUJRAN, KOTLI</v>
          </cell>
          <cell r="AO1573" t="str">
            <v>Kotli</v>
          </cell>
          <cell r="AP1573" t="str">
            <v>MIRPUR</v>
          </cell>
        </row>
        <row r="1574">
          <cell r="AM1574">
            <v>1971</v>
          </cell>
          <cell r="AN1574" t="str">
            <v>HOLAR, SEHNSA</v>
          </cell>
          <cell r="AO1574" t="str">
            <v>Kotli</v>
          </cell>
          <cell r="AP1574" t="str">
            <v>MIRPUR</v>
          </cell>
        </row>
        <row r="1575">
          <cell r="AM1575">
            <v>2271</v>
          </cell>
          <cell r="AN1575" t="str">
            <v>BISE BRANCH</v>
          </cell>
          <cell r="AO1575" t="str">
            <v>Mirpur</v>
          </cell>
          <cell r="AP1575" t="str">
            <v>MIRPUR</v>
          </cell>
        </row>
        <row r="1576">
          <cell r="AM1576">
            <v>2311</v>
          </cell>
          <cell r="AN1576" t="str">
            <v>MAIN BAZAR NAKYAL</v>
          </cell>
          <cell r="AO1576" t="str">
            <v>Kotli</v>
          </cell>
          <cell r="AP1576" t="str">
            <v>MIRPUR</v>
          </cell>
        </row>
        <row r="1577">
          <cell r="AM1577">
            <v>2352</v>
          </cell>
          <cell r="AN1577" t="str">
            <v>NAAR BRANCH</v>
          </cell>
          <cell r="AO1577" t="str">
            <v>Kotli</v>
          </cell>
          <cell r="AP1577" t="str">
            <v>MIRPUR</v>
          </cell>
        </row>
        <row r="1578">
          <cell r="AM1578">
            <v>2379</v>
          </cell>
          <cell r="AN1578" t="str">
            <v>BARNALA BRANCH</v>
          </cell>
          <cell r="AO1578" t="str">
            <v>Bhimber</v>
          </cell>
          <cell r="AP1578" t="str">
            <v>MIRPUR</v>
          </cell>
        </row>
        <row r="1579">
          <cell r="AM1579">
            <v>2394</v>
          </cell>
          <cell r="AN1579" t="str">
            <v>DHERI WATTAN BRANCH</v>
          </cell>
          <cell r="AO1579" t="str">
            <v>Bhimber</v>
          </cell>
          <cell r="AP1579" t="str">
            <v>MIRPUR</v>
          </cell>
        </row>
        <row r="1580">
          <cell r="AM1580">
            <v>2401</v>
          </cell>
          <cell r="AN1580" t="str">
            <v>BAN KHURMAN BRANCH</v>
          </cell>
          <cell r="AO1580" t="str">
            <v>Mirpur</v>
          </cell>
          <cell r="AP1580" t="str">
            <v>MIRPUR</v>
          </cell>
        </row>
        <row r="1581">
          <cell r="AM1581">
            <v>2434</v>
          </cell>
          <cell r="AN1581" t="str">
            <v>Moail Branch Distt.</v>
          </cell>
          <cell r="AO1581" t="str">
            <v>Bhimber</v>
          </cell>
          <cell r="AP1581" t="str">
            <v>MIRPUR</v>
          </cell>
        </row>
        <row r="1582">
          <cell r="AM1582">
            <v>2435</v>
          </cell>
          <cell r="AN1582" t="str">
            <v>Hamidabad Colony Br</v>
          </cell>
          <cell r="AO1582" t="str">
            <v>Chaksawari</v>
          </cell>
          <cell r="AP1582" t="str">
            <v>MIRPUR</v>
          </cell>
        </row>
        <row r="1583">
          <cell r="AM1583">
            <v>2437</v>
          </cell>
          <cell r="AN1583" t="str">
            <v>Kalyal Chowk Branch</v>
          </cell>
          <cell r="AO1583" t="str">
            <v>Mirpur</v>
          </cell>
          <cell r="AP1583" t="str">
            <v>MIRPUR</v>
          </cell>
        </row>
        <row r="1584">
          <cell r="AM1584">
            <v>2461</v>
          </cell>
          <cell r="AN1584" t="str">
            <v>Sarsawa Mirpur</v>
          </cell>
          <cell r="AO1584" t="str">
            <v>Kotli</v>
          </cell>
          <cell r="AP1584" t="str">
            <v>MIRPUR</v>
          </cell>
        </row>
        <row r="1585">
          <cell r="AM1585">
            <v>5015</v>
          </cell>
          <cell r="AN1585" t="str">
            <v>IBB Chowk Fowara BHW</v>
          </cell>
          <cell r="AO1585" t="str">
            <v>Farid Gate</v>
          </cell>
          <cell r="AP1585" t="str">
            <v>BAHAWALPUR</v>
          </cell>
        </row>
        <row r="1586">
          <cell r="AM1586">
            <v>5004</v>
          </cell>
          <cell r="AN1586" t="str">
            <v>IBB Batala Colony, F</v>
          </cell>
          <cell r="AO1586" t="str">
            <v>Madina Town</v>
          </cell>
          <cell r="AP1586" t="str">
            <v>FAISALABAD</v>
          </cell>
        </row>
        <row r="1587">
          <cell r="AM1587">
            <v>5029</v>
          </cell>
          <cell r="AN1587" t="str">
            <v>IBB CLOCK TOWER FAIS</v>
          </cell>
          <cell r="AO1587" t="str">
            <v>Gole Cloth Market</v>
          </cell>
          <cell r="AP1587" t="str">
            <v>FAISALABAD</v>
          </cell>
        </row>
        <row r="1588">
          <cell r="AM1588">
            <v>5017</v>
          </cell>
          <cell r="AN1588" t="str">
            <v>IBB G.T ROAD SHERANW</v>
          </cell>
          <cell r="AO1588" t="str">
            <v>Bank Square Gujranwala</v>
          </cell>
          <cell r="AP1588" t="str">
            <v>GUJRANWALA</v>
          </cell>
        </row>
        <row r="1589">
          <cell r="AM1589">
            <v>5011</v>
          </cell>
          <cell r="AN1589" t="str">
            <v>IBB Bhimber Road Guj</v>
          </cell>
          <cell r="AO1589" t="str">
            <v>Gujrat City Area</v>
          </cell>
          <cell r="AP1589" t="str">
            <v>GUJRAT</v>
          </cell>
        </row>
        <row r="1590">
          <cell r="AM1590">
            <v>5013</v>
          </cell>
          <cell r="AN1590" t="str">
            <v>IBB Main Bazar HYD</v>
          </cell>
          <cell r="AO1590" t="str">
            <v>Hyderabad City Area</v>
          </cell>
          <cell r="AP1590" t="str">
            <v>HYDERABAD</v>
          </cell>
        </row>
        <row r="1591">
          <cell r="AM1591">
            <v>5006</v>
          </cell>
          <cell r="AN1591" t="str">
            <v>IBB IIU ISL</v>
          </cell>
          <cell r="AO1591" t="str">
            <v>SAM II</v>
          </cell>
          <cell r="AP1591" t="str">
            <v>ISLAMABAD</v>
          </cell>
        </row>
        <row r="1592">
          <cell r="AM1592">
            <v>5012</v>
          </cell>
          <cell r="AN1592" t="str">
            <v>IBB RIZWAN CENTER</v>
          </cell>
          <cell r="AO1592" t="str">
            <v>CDA</v>
          </cell>
          <cell r="AP1592" t="str">
            <v>ISLAMABAD</v>
          </cell>
        </row>
        <row r="1593">
          <cell r="AM1593">
            <v>5028</v>
          </cell>
          <cell r="AN1593" t="str">
            <v>IBB RATTA AMRAL</v>
          </cell>
          <cell r="AO1593" t="str">
            <v>Kashmir Rd</v>
          </cell>
          <cell r="AP1593" t="str">
            <v>ISLAMABAD</v>
          </cell>
        </row>
        <row r="1594">
          <cell r="AM1594">
            <v>5036</v>
          </cell>
          <cell r="AN1594" t="str">
            <v>IBB F-10 BRANCH ISLA</v>
          </cell>
          <cell r="AO1594" t="str">
            <v>F-7</v>
          </cell>
          <cell r="AP1594" t="str">
            <v>ISLAMABAD</v>
          </cell>
        </row>
        <row r="1595">
          <cell r="AM1595">
            <v>5037</v>
          </cell>
          <cell r="AN1595" t="str">
            <v>IBB HAIDER ROAD SADD</v>
          </cell>
          <cell r="AO1595" t="str">
            <v>SDV</v>
          </cell>
          <cell r="AP1595" t="str">
            <v>ISLAMABAD</v>
          </cell>
        </row>
        <row r="1596">
          <cell r="AM1596">
            <v>5038</v>
          </cell>
          <cell r="AN1596" t="str">
            <v>IBB GULZAR E QUAID R</v>
          </cell>
          <cell r="AO1596" t="str">
            <v>Satellite</v>
          </cell>
          <cell r="AP1596" t="str">
            <v>ISLAMABAD</v>
          </cell>
        </row>
        <row r="1597">
          <cell r="AM1597">
            <v>5040</v>
          </cell>
          <cell r="AN1597" t="str">
            <v>CHAKLALA SCHEME III</v>
          </cell>
          <cell r="AO1597" t="str">
            <v>Chaklala</v>
          </cell>
          <cell r="AP1597" t="str">
            <v>ISLAMABAD</v>
          </cell>
        </row>
        <row r="1598">
          <cell r="AM1598">
            <v>5041</v>
          </cell>
          <cell r="AN1598" t="str">
            <v>IBB - Khanna Pul Branch</v>
          </cell>
          <cell r="AO1598" t="str">
            <v>SAM I</v>
          </cell>
          <cell r="AP1598" t="str">
            <v>ISLAMABAD</v>
          </cell>
        </row>
        <row r="1599">
          <cell r="AM1599">
            <v>5021</v>
          </cell>
          <cell r="AN1599" t="str">
            <v>IBB Jada JHL</v>
          </cell>
          <cell r="AO1599" t="str">
            <v>Ram Din Bazar</v>
          </cell>
          <cell r="AP1599" t="str">
            <v>JHELUM</v>
          </cell>
        </row>
        <row r="1600">
          <cell r="AM1600">
            <v>5000</v>
          </cell>
          <cell r="AN1600" t="str">
            <v>IBB-FINLAY HOUSE KHI</v>
          </cell>
          <cell r="AO1600" t="str">
            <v>Independent-Branch</v>
          </cell>
          <cell r="AP1600" t="str">
            <v>KARACHI</v>
          </cell>
        </row>
        <row r="1601">
          <cell r="AM1601">
            <v>5001</v>
          </cell>
          <cell r="AN1601" t="str">
            <v>IBB-DHA PHASE IV BR</v>
          </cell>
          <cell r="AO1601" t="str">
            <v>SAM South</v>
          </cell>
          <cell r="AP1601" t="str">
            <v>KARACHI</v>
          </cell>
        </row>
        <row r="1602">
          <cell r="AM1602">
            <v>5010</v>
          </cell>
          <cell r="AN1602" t="str">
            <v>IBB Dhoraji Col KHI</v>
          </cell>
          <cell r="AO1602" t="str">
            <v>SAM West</v>
          </cell>
          <cell r="AP1602" t="str">
            <v>KARACHI</v>
          </cell>
        </row>
        <row r="1603">
          <cell r="AM1603">
            <v>5022</v>
          </cell>
          <cell r="AN1603" t="str">
            <v>IBB Dehli Mercntl So</v>
          </cell>
          <cell r="AO1603" t="str">
            <v>SAM East</v>
          </cell>
          <cell r="AP1603" t="str">
            <v>KARACHI</v>
          </cell>
        </row>
        <row r="1604">
          <cell r="AM1604">
            <v>5023</v>
          </cell>
          <cell r="AN1604" t="str">
            <v>IBB JOFA TOWER KARAC</v>
          </cell>
          <cell r="AO1604" t="str">
            <v>Gulshan</v>
          </cell>
          <cell r="AP1604" t="str">
            <v>KARACHI</v>
          </cell>
        </row>
        <row r="1605">
          <cell r="AM1605">
            <v>5025</v>
          </cell>
          <cell r="AN1605" t="str">
            <v>IBB CAMPBELL STREET</v>
          </cell>
          <cell r="AO1605" t="str">
            <v>SAM South</v>
          </cell>
          <cell r="AP1605" t="str">
            <v>KARACHI</v>
          </cell>
        </row>
        <row r="1606">
          <cell r="AM1606">
            <v>5026</v>
          </cell>
          <cell r="AN1606" t="str">
            <v>IBB DHA PHASE VII</v>
          </cell>
          <cell r="AO1606" t="str">
            <v>SAM West</v>
          </cell>
          <cell r="AP1606" t="str">
            <v>KARACHI</v>
          </cell>
        </row>
        <row r="1607">
          <cell r="AM1607">
            <v>5027</v>
          </cell>
          <cell r="AN1607" t="str">
            <v>IBB North Nazimabad, KHI</v>
          </cell>
          <cell r="AO1607" t="str">
            <v>SAM North</v>
          </cell>
          <cell r="AP1607" t="str">
            <v>KARACHI</v>
          </cell>
        </row>
        <row r="1608">
          <cell r="AM1608">
            <v>5009</v>
          </cell>
          <cell r="AN1608" t="str">
            <v>IBB Ali Block LHR</v>
          </cell>
          <cell r="AO1608" t="str">
            <v>NEW MUSLIM TOWN</v>
          </cell>
          <cell r="AP1608" t="str">
            <v>LAHORE</v>
          </cell>
        </row>
        <row r="1609">
          <cell r="AM1609">
            <v>5024</v>
          </cell>
          <cell r="AN1609" t="str">
            <v>IBB AZAM CLOTH MARKE</v>
          </cell>
          <cell r="AO1609" t="str">
            <v>CIRCULAR ROAD</v>
          </cell>
          <cell r="AP1609" t="str">
            <v>LAHORE</v>
          </cell>
        </row>
        <row r="1610">
          <cell r="AM1610">
            <v>5032</v>
          </cell>
          <cell r="AN1610" t="str">
            <v>IBB Z Block DHA Laho</v>
          </cell>
          <cell r="AO1610" t="str">
            <v>DHA</v>
          </cell>
          <cell r="AP1610" t="str">
            <v>LAHORE</v>
          </cell>
        </row>
        <row r="1611">
          <cell r="AM1611">
            <v>5033</v>
          </cell>
          <cell r="AN1611" t="str">
            <v>IBB MULTAN ROAD</v>
          </cell>
          <cell r="AO1611" t="str">
            <v>SAM UNIVERSITY</v>
          </cell>
          <cell r="AP1611" t="str">
            <v>LAHORE</v>
          </cell>
        </row>
        <row r="1612">
          <cell r="AM1612">
            <v>5034</v>
          </cell>
          <cell r="AN1612" t="str">
            <v>IBB PIA SOCIETY NEAR</v>
          </cell>
          <cell r="AO1612" t="str">
            <v>JOHAR TOWN</v>
          </cell>
          <cell r="AP1612" t="str">
            <v>LAHORE</v>
          </cell>
        </row>
        <row r="1613">
          <cell r="AM1613">
            <v>5039</v>
          </cell>
          <cell r="AN1613" t="str">
            <v>IBB EXPO CENTER LAHO</v>
          </cell>
          <cell r="AO1613" t="str">
            <v>JOHAR TOWN</v>
          </cell>
          <cell r="AP1613" t="str">
            <v>LAHORE</v>
          </cell>
        </row>
        <row r="1614">
          <cell r="AM1614">
            <v>5042</v>
          </cell>
          <cell r="AN1614" t="str">
            <v>IBB REGAL CHOWK THE MALL LAHORE</v>
          </cell>
          <cell r="AO1614" t="str">
            <v>SAM MALL</v>
          </cell>
          <cell r="AP1614" t="str">
            <v>LAHORE</v>
          </cell>
        </row>
        <row r="1615">
          <cell r="AM1615">
            <v>5043</v>
          </cell>
          <cell r="AN1615" t="str">
            <v>Islamic Banking shad</v>
          </cell>
          <cell r="AO1615" t="str">
            <v>SHADBAGH</v>
          </cell>
          <cell r="AP1615" t="str">
            <v>LAHORE</v>
          </cell>
        </row>
        <row r="1616">
          <cell r="AM1616">
            <v>5005</v>
          </cell>
          <cell r="AN1616" t="str">
            <v>IBB New Adda MRD</v>
          </cell>
          <cell r="AO1616" t="str">
            <v>Mardan</v>
          </cell>
          <cell r="AP1616" t="str">
            <v>MARDAN</v>
          </cell>
        </row>
        <row r="1617">
          <cell r="AM1617">
            <v>5030</v>
          </cell>
          <cell r="AN1617" t="str">
            <v>IBB BATKHELA</v>
          </cell>
          <cell r="AO1617" t="str">
            <v>CHAKDARRA</v>
          </cell>
          <cell r="AP1617" t="str">
            <v>MARDAN</v>
          </cell>
        </row>
        <row r="1618">
          <cell r="AM1618">
            <v>5018</v>
          </cell>
          <cell r="AN1618" t="str">
            <v>IBB ALLAMA IQBAL ROAD</v>
          </cell>
          <cell r="AO1618" t="str">
            <v>Mirpur</v>
          </cell>
          <cell r="AP1618" t="str">
            <v>MIRPUR</v>
          </cell>
        </row>
        <row r="1619">
          <cell r="AM1619">
            <v>5007</v>
          </cell>
          <cell r="AN1619" t="str">
            <v>IBB Saddar Bazar MLT</v>
          </cell>
          <cell r="AO1619" t="str">
            <v>Cantt Multan</v>
          </cell>
          <cell r="AP1619" t="str">
            <v>MULTAN</v>
          </cell>
        </row>
        <row r="1620">
          <cell r="AM1620">
            <v>5019</v>
          </cell>
          <cell r="AN1620" t="str">
            <v>IBB Khowaja Chowk MZ</v>
          </cell>
          <cell r="AO1620" t="str">
            <v>Muzaffarabad</v>
          </cell>
          <cell r="AP1620" t="str">
            <v>MUZAFFARABAD</v>
          </cell>
        </row>
        <row r="1621">
          <cell r="AM1621">
            <v>5002</v>
          </cell>
          <cell r="AN1621" t="str">
            <v>IBB JAMRUD ROAD BR</v>
          </cell>
          <cell r="AO1621" t="str">
            <v>Peshawar Cantonment</v>
          </cell>
          <cell r="AP1621" t="str">
            <v>PESHAWAR</v>
          </cell>
        </row>
        <row r="1622">
          <cell r="AM1622">
            <v>5031</v>
          </cell>
          <cell r="AN1622" t="str">
            <v>IBB NEW BARA MARKET</v>
          </cell>
          <cell r="AO1622" t="str">
            <v>University Campus</v>
          </cell>
          <cell r="AP1622" t="str">
            <v>PESHAWAR</v>
          </cell>
        </row>
        <row r="1623">
          <cell r="AM1623">
            <v>5035</v>
          </cell>
          <cell r="AN1623" t="str">
            <v>IBB TRUCK STAND GT R</v>
          </cell>
          <cell r="AO1623" t="str">
            <v>Peshawar City</v>
          </cell>
          <cell r="AP1623" t="str">
            <v>PESHAWAR</v>
          </cell>
        </row>
        <row r="1624">
          <cell r="AM1624">
            <v>5008</v>
          </cell>
          <cell r="AN1624" t="str">
            <v>IBB MEEZAN CHOWK BRA</v>
          </cell>
          <cell r="AO1624" t="str">
            <v>Complex</v>
          </cell>
          <cell r="AP1624" t="str">
            <v>QUETTA</v>
          </cell>
        </row>
        <row r="1625">
          <cell r="AM1625">
            <v>5020</v>
          </cell>
          <cell r="AN1625" t="str">
            <v>IBB LIAQAT ROAD BRANCH</v>
          </cell>
          <cell r="AO1625" t="str">
            <v>Shaiwal Commercial Area</v>
          </cell>
          <cell r="AP1625" t="str">
            <v>SAHIWAL</v>
          </cell>
        </row>
        <row r="1626">
          <cell r="AM1626">
            <v>5016</v>
          </cell>
          <cell r="AN1626" t="str">
            <v>IBB Azad Rd SRG</v>
          </cell>
          <cell r="AO1626" t="str">
            <v>GILWALA AREA</v>
          </cell>
          <cell r="AP1626" t="str">
            <v>SARGODHA</v>
          </cell>
        </row>
        <row r="1627">
          <cell r="AM1627">
            <v>5003</v>
          </cell>
          <cell r="AN1627" t="str">
            <v>IBB KASHMIR ROAD SIA</v>
          </cell>
          <cell r="AO1627" t="str">
            <v>Sialkot-City</v>
          </cell>
          <cell r="AP1627" t="str">
            <v>SIALKOT</v>
          </cell>
        </row>
        <row r="1628">
          <cell r="AM1628">
            <v>5014</v>
          </cell>
          <cell r="AN1628" t="str">
            <v>IBB BARRAGE ROAD</v>
          </cell>
          <cell r="AO1628" t="str">
            <v>SUKKUR</v>
          </cell>
          <cell r="AP1628" t="str">
            <v>SUKKUR</v>
          </cell>
        </row>
        <row r="1629">
          <cell r="AM1629">
            <v>131</v>
          </cell>
          <cell r="AN1629" t="str">
            <v>MARKAZ, LAHORE</v>
          </cell>
          <cell r="AO1629" t="str">
            <v>SAM MALL</v>
          </cell>
          <cell r="AP1629" t="str">
            <v>LAHORE</v>
          </cell>
        </row>
        <row r="1630">
          <cell r="AM1630">
            <v>2473</v>
          </cell>
          <cell r="AN1630" t="str">
            <v>Nizampur, Gujranwala</v>
          </cell>
          <cell r="AO1630" t="str">
            <v>Model Town - Gujranwala</v>
          </cell>
          <cell r="AP1630" t="str">
            <v>GUJRANWALA</v>
          </cell>
        </row>
        <row r="1631">
          <cell r="AM1631">
            <v>1342</v>
          </cell>
          <cell r="AN1631" t="str">
            <v>G-15 Markaz Islamaba</v>
          </cell>
          <cell r="AO1631" t="str">
            <v>F-7</v>
          </cell>
          <cell r="AP1631" t="str">
            <v>ISLAMABAD</v>
          </cell>
        </row>
        <row r="1632">
          <cell r="AM1632">
            <v>2462</v>
          </cell>
          <cell r="AN1632" t="str">
            <v>Sharfabad Karachi</v>
          </cell>
          <cell r="AO1632" t="str">
            <v>SAM East</v>
          </cell>
          <cell r="AP1632" t="str">
            <v>KARACHI</v>
          </cell>
        </row>
      </sheetData>
      <sheetData sheetId="2">
        <row r="1">
          <cell r="A1" t="str">
            <v>-0.39 bln ODC</v>
          </cell>
        </row>
        <row r="5">
          <cell r="X5" t="str">
            <v>n</v>
          </cell>
        </row>
        <row r="14">
          <cell r="D14" t="str">
            <v>Total Distribution</v>
          </cell>
        </row>
        <row r="23">
          <cell r="D23" t="str">
            <v>Region wise</v>
          </cell>
        </row>
        <row r="35">
          <cell r="D35" t="str">
            <v>Region wise</v>
          </cell>
        </row>
        <row r="47">
          <cell r="D47" t="str">
            <v>Region wise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Pivots"/>
      <sheetName val="Dashboard"/>
      <sheetName val="Product Wise"/>
      <sheetName val="Region Wise"/>
      <sheetName val="Area Wise"/>
      <sheetName val="Branch Wise"/>
      <sheetName val="Branch Wise (Conv &amp; Islamic)"/>
      <sheetName val="Retail Lending"/>
      <sheetName val="Agri"/>
      <sheetName val="Commercial"/>
      <sheetName val="PlayArea"/>
      <sheetName val="DebitCard"/>
      <sheetName val="CreditCard"/>
      <sheetName val="PIL"/>
      <sheetName val="CarLoan"/>
      <sheetName val="Banca"/>
      <sheetName val="No of Accounts"/>
    </sheetNames>
    <sheetDataSet>
      <sheetData sheetId="0" refreshError="1">
        <row r="1">
          <cell r="C1">
            <v>1000</v>
          </cell>
        </row>
      </sheetData>
      <sheetData sheetId="1" refreshError="1">
        <row r="3">
          <cell r="B3">
            <v>42397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 wise"/>
      <sheetName val="Area wise"/>
      <sheetName val="Branch wise"/>
      <sheetName val="Target"/>
      <sheetName val="MoM Targets"/>
      <sheetName val="2015 Final Working"/>
      <sheetName val="WorkingPivot"/>
      <sheetName val="ControlSheet"/>
      <sheetName val="Working2015"/>
      <sheetName val="Region_wise"/>
      <sheetName val="Area_wise"/>
      <sheetName val="Branch_wise"/>
      <sheetName val="MoM_Targets"/>
      <sheetName val="2015_Final_Working"/>
    </sheetNames>
    <sheetDataSet>
      <sheetData sheetId="0">
        <row r="4">
          <cell r="R4" t="str">
            <v>p</v>
          </cell>
          <cell r="S4" t="str">
            <v>n</v>
          </cell>
          <cell r="T4" t="str">
            <v>q</v>
          </cell>
        </row>
      </sheetData>
      <sheetData sheetId="1"/>
      <sheetData sheetId="2">
        <row r="3">
          <cell r="B3">
            <v>42427</v>
          </cell>
        </row>
      </sheetData>
      <sheetData sheetId="3"/>
      <sheetData sheetId="4"/>
      <sheetData sheetId="5">
        <row r="1">
          <cell r="M1" t="str">
            <v>New Base</v>
          </cell>
        </row>
        <row r="3">
          <cell r="M3" t="str">
            <v>BranchCode</v>
          </cell>
          <cell r="N3" t="str">
            <v>Jan '16</v>
          </cell>
          <cell r="O3" t="str">
            <v xml:space="preserve">QTR </v>
          </cell>
          <cell r="P3" t="str">
            <v xml:space="preserve">YTD </v>
          </cell>
        </row>
        <row r="4">
          <cell r="M4">
            <v>1</v>
          </cell>
          <cell r="N4">
            <v>129.85496902793105</v>
          </cell>
          <cell r="O4">
            <v>0</v>
          </cell>
          <cell r="P4">
            <v>0</v>
          </cell>
        </row>
        <row r="5">
          <cell r="M5">
            <v>2</v>
          </cell>
          <cell r="N5">
            <v>325.78124687275869</v>
          </cell>
          <cell r="O5">
            <v>0</v>
          </cell>
          <cell r="P5">
            <v>0</v>
          </cell>
        </row>
        <row r="6">
          <cell r="M6">
            <v>4</v>
          </cell>
          <cell r="N6">
            <v>557.61646143724124</v>
          </cell>
          <cell r="O6">
            <v>0</v>
          </cell>
          <cell r="P6">
            <v>0</v>
          </cell>
        </row>
        <row r="7">
          <cell r="M7">
            <v>8</v>
          </cell>
          <cell r="N7">
            <v>328.51282917896555</v>
          </cell>
          <cell r="O7">
            <v>0</v>
          </cell>
          <cell r="P7">
            <v>0</v>
          </cell>
        </row>
        <row r="8">
          <cell r="M8">
            <v>12</v>
          </cell>
          <cell r="N8">
            <v>707.69521716275858</v>
          </cell>
          <cell r="O8">
            <v>0</v>
          </cell>
          <cell r="P8">
            <v>0</v>
          </cell>
        </row>
        <row r="9">
          <cell r="M9">
            <v>13</v>
          </cell>
          <cell r="N9">
            <v>304.47596890413791</v>
          </cell>
          <cell r="O9">
            <v>0</v>
          </cell>
          <cell r="P9">
            <v>0</v>
          </cell>
        </row>
        <row r="10">
          <cell r="M10">
            <v>14</v>
          </cell>
          <cell r="N10">
            <v>308.59375390482762</v>
          </cell>
          <cell r="O10">
            <v>0</v>
          </cell>
          <cell r="P10">
            <v>0</v>
          </cell>
        </row>
        <row r="11">
          <cell r="M11">
            <v>15</v>
          </cell>
          <cell r="N11">
            <v>506.37214274862083</v>
          </cell>
          <cell r="O11">
            <v>0</v>
          </cell>
          <cell r="P11">
            <v>0</v>
          </cell>
        </row>
        <row r="12">
          <cell r="M12">
            <v>17</v>
          </cell>
          <cell r="N12">
            <v>360.91935328793113</v>
          </cell>
          <cell r="O12">
            <v>0</v>
          </cell>
          <cell r="P12">
            <v>0</v>
          </cell>
        </row>
        <row r="13">
          <cell r="M13">
            <v>18</v>
          </cell>
          <cell r="N13">
            <v>351.74064790896546</v>
          </cell>
          <cell r="O13">
            <v>0</v>
          </cell>
          <cell r="P13">
            <v>0</v>
          </cell>
        </row>
        <row r="14">
          <cell r="M14">
            <v>19</v>
          </cell>
          <cell r="N14">
            <v>484.83884291965518</v>
          </cell>
          <cell r="O14">
            <v>0</v>
          </cell>
          <cell r="P14">
            <v>0</v>
          </cell>
        </row>
        <row r="15">
          <cell r="M15">
            <v>20</v>
          </cell>
          <cell r="N15">
            <v>298.2509444606896</v>
          </cell>
          <cell r="O15">
            <v>0</v>
          </cell>
          <cell r="P15">
            <v>0</v>
          </cell>
        </row>
        <row r="16">
          <cell r="M16">
            <v>22</v>
          </cell>
          <cell r="N16">
            <v>401.70949699827582</v>
          </cell>
          <cell r="O16">
            <v>0</v>
          </cell>
          <cell r="P16">
            <v>0</v>
          </cell>
        </row>
        <row r="17">
          <cell r="M17">
            <v>24</v>
          </cell>
          <cell r="N17">
            <v>360.07268932310342</v>
          </cell>
          <cell r="O17">
            <v>0</v>
          </cell>
          <cell r="P17">
            <v>0</v>
          </cell>
        </row>
        <row r="18">
          <cell r="M18">
            <v>25</v>
          </cell>
          <cell r="N18">
            <v>471.72025771999995</v>
          </cell>
          <cell r="O18">
            <v>0</v>
          </cell>
          <cell r="P18">
            <v>0</v>
          </cell>
        </row>
        <row r="19">
          <cell r="M19">
            <v>27</v>
          </cell>
          <cell r="N19">
            <v>1391.945878725862</v>
          </cell>
          <cell r="O19">
            <v>0</v>
          </cell>
          <cell r="P19">
            <v>0</v>
          </cell>
        </row>
        <row r="20">
          <cell r="M20">
            <v>28</v>
          </cell>
          <cell r="N20">
            <v>498.02779536137928</v>
          </cell>
          <cell r="O20">
            <v>0</v>
          </cell>
          <cell r="P20">
            <v>0</v>
          </cell>
        </row>
        <row r="21">
          <cell r="M21">
            <v>29</v>
          </cell>
          <cell r="N21">
            <v>238.45832330620692</v>
          </cell>
          <cell r="O21">
            <v>0</v>
          </cell>
          <cell r="P21">
            <v>0</v>
          </cell>
        </row>
        <row r="22">
          <cell r="M22">
            <v>31</v>
          </cell>
          <cell r="N22">
            <v>286.31256050896559</v>
          </cell>
          <cell r="O22">
            <v>0</v>
          </cell>
          <cell r="P22">
            <v>0</v>
          </cell>
        </row>
        <row r="23">
          <cell r="M23">
            <v>34</v>
          </cell>
          <cell r="N23">
            <v>278.38499353034467</v>
          </cell>
          <cell r="O23">
            <v>0</v>
          </cell>
          <cell r="P23">
            <v>0</v>
          </cell>
        </row>
        <row r="24">
          <cell r="M24">
            <v>39</v>
          </cell>
          <cell r="N24">
            <v>181.50747842206897</v>
          </cell>
          <cell r="O24">
            <v>0</v>
          </cell>
          <cell r="P24">
            <v>0</v>
          </cell>
        </row>
        <row r="25">
          <cell r="M25">
            <v>40</v>
          </cell>
          <cell r="N25">
            <v>453.74539873931036</v>
          </cell>
          <cell r="O25">
            <v>0</v>
          </cell>
          <cell r="P25">
            <v>0</v>
          </cell>
        </row>
        <row r="26">
          <cell r="M26">
            <v>42</v>
          </cell>
          <cell r="N26">
            <v>4130.3371688151728</v>
          </cell>
          <cell r="O26">
            <v>0</v>
          </cell>
          <cell r="P26">
            <v>0</v>
          </cell>
        </row>
        <row r="27">
          <cell r="M27">
            <v>43</v>
          </cell>
          <cell r="N27">
            <v>688.59758929034501</v>
          </cell>
          <cell r="O27">
            <v>0</v>
          </cell>
          <cell r="P27">
            <v>0</v>
          </cell>
        </row>
        <row r="28">
          <cell r="M28">
            <v>44</v>
          </cell>
          <cell r="N28">
            <v>262.66539474724141</v>
          </cell>
          <cell r="O28">
            <v>0</v>
          </cell>
          <cell r="P28">
            <v>0</v>
          </cell>
        </row>
        <row r="29">
          <cell r="M29">
            <v>45</v>
          </cell>
          <cell r="N29">
            <v>148.32203489931032</v>
          </cell>
          <cell r="O29">
            <v>0</v>
          </cell>
          <cell r="P29">
            <v>0</v>
          </cell>
        </row>
        <row r="30">
          <cell r="M30">
            <v>47</v>
          </cell>
          <cell r="N30">
            <v>1187.5617352641375</v>
          </cell>
          <cell r="O30">
            <v>0</v>
          </cell>
          <cell r="P30">
            <v>0</v>
          </cell>
        </row>
        <row r="31">
          <cell r="M31">
            <v>50</v>
          </cell>
          <cell r="N31">
            <v>400.35603231344811</v>
          </cell>
          <cell r="O31">
            <v>0</v>
          </cell>
          <cell r="P31">
            <v>0</v>
          </cell>
        </row>
        <row r="32">
          <cell r="M32">
            <v>51</v>
          </cell>
          <cell r="N32">
            <v>369.61344872551723</v>
          </cell>
          <cell r="O32">
            <v>0</v>
          </cell>
          <cell r="P32">
            <v>0</v>
          </cell>
        </row>
        <row r="33">
          <cell r="M33">
            <v>53</v>
          </cell>
          <cell r="N33">
            <v>300.69462936827586</v>
          </cell>
          <cell r="O33">
            <v>0</v>
          </cell>
          <cell r="P33">
            <v>0</v>
          </cell>
        </row>
        <row r="34">
          <cell r="M34">
            <v>56</v>
          </cell>
          <cell r="N34">
            <v>750.76058106896573</v>
          </cell>
          <cell r="O34">
            <v>0</v>
          </cell>
          <cell r="P34">
            <v>0</v>
          </cell>
        </row>
        <row r="35">
          <cell r="M35">
            <v>57</v>
          </cell>
          <cell r="N35">
            <v>468.32054892379313</v>
          </cell>
          <cell r="O35">
            <v>0</v>
          </cell>
          <cell r="P35">
            <v>0</v>
          </cell>
        </row>
        <row r="36">
          <cell r="M36">
            <v>58</v>
          </cell>
          <cell r="N36">
            <v>232.60478950620691</v>
          </cell>
          <cell r="O36">
            <v>0</v>
          </cell>
          <cell r="P36">
            <v>0</v>
          </cell>
        </row>
        <row r="37">
          <cell r="M37">
            <v>59</v>
          </cell>
          <cell r="N37">
            <v>468.87003417620679</v>
          </cell>
          <cell r="O37">
            <v>0</v>
          </cell>
          <cell r="P37">
            <v>0</v>
          </cell>
        </row>
        <row r="38">
          <cell r="M38">
            <v>62</v>
          </cell>
          <cell r="N38">
            <v>458.66245207724143</v>
          </cell>
          <cell r="O38">
            <v>0</v>
          </cell>
          <cell r="P38">
            <v>0</v>
          </cell>
        </row>
        <row r="39">
          <cell r="M39">
            <v>63</v>
          </cell>
          <cell r="N39">
            <v>305.73479639620683</v>
          </cell>
          <cell r="O39">
            <v>0</v>
          </cell>
          <cell r="P39">
            <v>0</v>
          </cell>
        </row>
        <row r="40">
          <cell r="M40">
            <v>64</v>
          </cell>
          <cell r="N40">
            <v>407.27797768103449</v>
          </cell>
          <cell r="O40">
            <v>0</v>
          </cell>
          <cell r="P40">
            <v>0</v>
          </cell>
        </row>
        <row r="41">
          <cell r="M41">
            <v>65</v>
          </cell>
          <cell r="N41">
            <v>753.17632047620691</v>
          </cell>
          <cell r="O41">
            <v>0</v>
          </cell>
          <cell r="P41">
            <v>0</v>
          </cell>
        </row>
        <row r="42">
          <cell r="M42">
            <v>66</v>
          </cell>
          <cell r="N42">
            <v>59.538217219655181</v>
          </cell>
          <cell r="O42">
            <v>0</v>
          </cell>
          <cell r="P42">
            <v>0</v>
          </cell>
        </row>
        <row r="43">
          <cell r="M43">
            <v>67</v>
          </cell>
          <cell r="N43">
            <v>291.6804745144828</v>
          </cell>
          <cell r="O43">
            <v>0</v>
          </cell>
          <cell r="P43">
            <v>0</v>
          </cell>
        </row>
        <row r="44">
          <cell r="M44">
            <v>68</v>
          </cell>
          <cell r="N44">
            <v>429.30974004275879</v>
          </cell>
          <cell r="O44">
            <v>0</v>
          </cell>
          <cell r="P44">
            <v>0</v>
          </cell>
        </row>
        <row r="45">
          <cell r="M45">
            <v>69</v>
          </cell>
          <cell r="N45">
            <v>83.766645725517236</v>
          </cell>
          <cell r="O45">
            <v>0</v>
          </cell>
          <cell r="P45">
            <v>0</v>
          </cell>
        </row>
        <row r="46">
          <cell r="M46">
            <v>70</v>
          </cell>
          <cell r="N46">
            <v>287.7019832006896</v>
          </cell>
          <cell r="O46">
            <v>0</v>
          </cell>
          <cell r="P46">
            <v>0</v>
          </cell>
        </row>
        <row r="47">
          <cell r="M47">
            <v>71</v>
          </cell>
          <cell r="N47">
            <v>251.10451576724128</v>
          </cell>
          <cell r="O47">
            <v>0</v>
          </cell>
          <cell r="P47">
            <v>0</v>
          </cell>
        </row>
        <row r="48">
          <cell r="M48">
            <v>72</v>
          </cell>
          <cell r="N48">
            <v>934.82666349103454</v>
          </cell>
          <cell r="O48">
            <v>0</v>
          </cell>
          <cell r="P48">
            <v>0</v>
          </cell>
        </row>
        <row r="49">
          <cell r="M49">
            <v>73</v>
          </cell>
          <cell r="N49">
            <v>367.02497060482762</v>
          </cell>
          <cell r="O49">
            <v>0</v>
          </cell>
          <cell r="P49">
            <v>0</v>
          </cell>
        </row>
        <row r="50">
          <cell r="M50">
            <v>74</v>
          </cell>
          <cell r="N50">
            <v>126.1869491624138</v>
          </cell>
          <cell r="O50">
            <v>0</v>
          </cell>
          <cell r="P50">
            <v>0</v>
          </cell>
        </row>
        <row r="51">
          <cell r="M51">
            <v>75</v>
          </cell>
          <cell r="N51">
            <v>217.91890544586209</v>
          </cell>
          <cell r="O51">
            <v>0</v>
          </cell>
          <cell r="P51">
            <v>0</v>
          </cell>
        </row>
        <row r="52">
          <cell r="M52">
            <v>76</v>
          </cell>
          <cell r="N52">
            <v>443.39367793137922</v>
          </cell>
          <cell r="O52">
            <v>0</v>
          </cell>
          <cell r="P52">
            <v>0</v>
          </cell>
        </row>
        <row r="53">
          <cell r="M53">
            <v>77</v>
          </cell>
          <cell r="N53">
            <v>106.88834755482759</v>
          </cell>
          <cell r="O53">
            <v>0</v>
          </cell>
          <cell r="P53">
            <v>0</v>
          </cell>
        </row>
        <row r="54">
          <cell r="M54">
            <v>78</v>
          </cell>
          <cell r="N54">
            <v>511.1928596665515</v>
          </cell>
          <cell r="O54">
            <v>0</v>
          </cell>
          <cell r="P54">
            <v>0</v>
          </cell>
        </row>
        <row r="55">
          <cell r="M55">
            <v>79</v>
          </cell>
          <cell r="N55">
            <v>157.30017946448277</v>
          </cell>
          <cell r="O55">
            <v>0</v>
          </cell>
          <cell r="P55">
            <v>0</v>
          </cell>
        </row>
        <row r="56">
          <cell r="M56">
            <v>80</v>
          </cell>
          <cell r="N56">
            <v>96.597622791724135</v>
          </cell>
          <cell r="O56">
            <v>0</v>
          </cell>
          <cell r="P56">
            <v>0</v>
          </cell>
        </row>
        <row r="57">
          <cell r="M57">
            <v>81</v>
          </cell>
          <cell r="N57">
            <v>145.64451915413795</v>
          </cell>
          <cell r="O57">
            <v>0</v>
          </cell>
          <cell r="P57">
            <v>0</v>
          </cell>
        </row>
        <row r="58">
          <cell r="M58">
            <v>82</v>
          </cell>
          <cell r="N58">
            <v>152.21001035517239</v>
          </cell>
          <cell r="O58">
            <v>0</v>
          </cell>
          <cell r="P58">
            <v>0</v>
          </cell>
        </row>
        <row r="59">
          <cell r="M59">
            <v>83</v>
          </cell>
          <cell r="N59">
            <v>130.11224290310344</v>
          </cell>
          <cell r="O59">
            <v>0</v>
          </cell>
          <cell r="P59">
            <v>0</v>
          </cell>
        </row>
        <row r="60">
          <cell r="M60">
            <v>84</v>
          </cell>
          <cell r="N60">
            <v>361.12611085000003</v>
          </cell>
          <cell r="O60">
            <v>0</v>
          </cell>
          <cell r="P60">
            <v>0</v>
          </cell>
        </row>
        <row r="61">
          <cell r="M61">
            <v>85</v>
          </cell>
          <cell r="N61">
            <v>183.99259381241379</v>
          </cell>
          <cell r="O61">
            <v>0</v>
          </cell>
          <cell r="P61">
            <v>0</v>
          </cell>
        </row>
        <row r="62">
          <cell r="M62">
            <v>86</v>
          </cell>
          <cell r="N62">
            <v>453.44132978482742</v>
          </cell>
          <cell r="O62">
            <v>0</v>
          </cell>
          <cell r="P62">
            <v>0</v>
          </cell>
        </row>
        <row r="63">
          <cell r="M63">
            <v>87</v>
          </cell>
          <cell r="N63">
            <v>272.13530964758621</v>
          </cell>
          <cell r="O63">
            <v>0</v>
          </cell>
          <cell r="P63">
            <v>0</v>
          </cell>
        </row>
        <row r="64">
          <cell r="M64">
            <v>89</v>
          </cell>
          <cell r="N64">
            <v>184.3603764827586</v>
          </cell>
          <cell r="O64">
            <v>0</v>
          </cell>
          <cell r="P64">
            <v>0</v>
          </cell>
        </row>
        <row r="65">
          <cell r="M65">
            <v>90</v>
          </cell>
          <cell r="N65">
            <v>400.68072595206894</v>
          </cell>
          <cell r="O65">
            <v>0</v>
          </cell>
          <cell r="P65">
            <v>0</v>
          </cell>
        </row>
        <row r="66">
          <cell r="M66">
            <v>91</v>
          </cell>
          <cell r="N66">
            <v>226.58154948275865</v>
          </cell>
          <cell r="O66">
            <v>0</v>
          </cell>
          <cell r="P66">
            <v>0</v>
          </cell>
        </row>
        <row r="67">
          <cell r="M67">
            <v>92</v>
          </cell>
          <cell r="N67">
            <v>124.29299950034479</v>
          </cell>
          <cell r="O67">
            <v>0</v>
          </cell>
          <cell r="P67">
            <v>0</v>
          </cell>
        </row>
        <row r="68">
          <cell r="M68">
            <v>93</v>
          </cell>
          <cell r="N68">
            <v>153.19027222793105</v>
          </cell>
          <cell r="O68">
            <v>0</v>
          </cell>
          <cell r="P68">
            <v>0</v>
          </cell>
        </row>
        <row r="69">
          <cell r="M69">
            <v>94</v>
          </cell>
          <cell r="N69">
            <v>313.9962879989655</v>
          </cell>
          <cell r="O69">
            <v>0</v>
          </cell>
          <cell r="P69">
            <v>0</v>
          </cell>
        </row>
        <row r="70">
          <cell r="M70">
            <v>95</v>
          </cell>
          <cell r="N70">
            <v>106.53687436482757</v>
          </cell>
          <cell r="O70">
            <v>0</v>
          </cell>
          <cell r="P70">
            <v>0</v>
          </cell>
        </row>
        <row r="71">
          <cell r="M71">
            <v>96</v>
          </cell>
          <cell r="N71">
            <v>137.53221525172412</v>
          </cell>
          <cell r="O71">
            <v>0</v>
          </cell>
          <cell r="P71">
            <v>0</v>
          </cell>
        </row>
        <row r="72">
          <cell r="M72">
            <v>98</v>
          </cell>
          <cell r="N72">
            <v>127.02390428724139</v>
          </cell>
          <cell r="O72">
            <v>0</v>
          </cell>
          <cell r="P72">
            <v>0</v>
          </cell>
        </row>
        <row r="73">
          <cell r="M73">
            <v>99</v>
          </cell>
          <cell r="N73">
            <v>419.35969470344821</v>
          </cell>
          <cell r="O73">
            <v>0</v>
          </cell>
          <cell r="P73">
            <v>0</v>
          </cell>
        </row>
        <row r="74">
          <cell r="M74">
            <v>100</v>
          </cell>
          <cell r="N74">
            <v>301.40401657275851</v>
          </cell>
          <cell r="O74">
            <v>0</v>
          </cell>
          <cell r="P74">
            <v>0</v>
          </cell>
        </row>
        <row r="75">
          <cell r="M75">
            <v>101</v>
          </cell>
          <cell r="N75">
            <v>203.69612594172423</v>
          </cell>
          <cell r="O75">
            <v>0</v>
          </cell>
          <cell r="P75">
            <v>0</v>
          </cell>
        </row>
        <row r="76">
          <cell r="M76">
            <v>102</v>
          </cell>
          <cell r="N76">
            <v>361.10008317448279</v>
          </cell>
          <cell r="O76">
            <v>0</v>
          </cell>
          <cell r="P76">
            <v>0</v>
          </cell>
        </row>
        <row r="77">
          <cell r="M77">
            <v>103</v>
          </cell>
          <cell r="N77">
            <v>152.57788799689655</v>
          </cell>
          <cell r="O77">
            <v>0</v>
          </cell>
          <cell r="P77">
            <v>0</v>
          </cell>
        </row>
        <row r="78">
          <cell r="M78">
            <v>104</v>
          </cell>
          <cell r="N78">
            <v>340.32016821620692</v>
          </cell>
          <cell r="O78">
            <v>0</v>
          </cell>
          <cell r="P78">
            <v>0</v>
          </cell>
        </row>
        <row r="79">
          <cell r="M79">
            <v>105</v>
          </cell>
          <cell r="N79">
            <v>517.0638927955174</v>
          </cell>
          <cell r="O79">
            <v>0</v>
          </cell>
          <cell r="P79">
            <v>0</v>
          </cell>
        </row>
        <row r="80">
          <cell r="M80">
            <v>106</v>
          </cell>
          <cell r="N80">
            <v>571.70591034206882</v>
          </cell>
          <cell r="O80">
            <v>0</v>
          </cell>
          <cell r="P80">
            <v>0</v>
          </cell>
        </row>
        <row r="81">
          <cell r="M81">
            <v>107</v>
          </cell>
          <cell r="N81">
            <v>290.07654236724136</v>
          </cell>
          <cell r="O81">
            <v>0</v>
          </cell>
          <cell r="P81">
            <v>0</v>
          </cell>
        </row>
        <row r="82">
          <cell r="M82">
            <v>108</v>
          </cell>
          <cell r="N82">
            <v>636.89982035413789</v>
          </cell>
          <cell r="O82">
            <v>0</v>
          </cell>
          <cell r="P82">
            <v>0</v>
          </cell>
        </row>
        <row r="83">
          <cell r="M83">
            <v>109</v>
          </cell>
          <cell r="N83">
            <v>346.15928366379313</v>
          </cell>
          <cell r="O83">
            <v>0</v>
          </cell>
          <cell r="P83">
            <v>0</v>
          </cell>
        </row>
        <row r="84">
          <cell r="M84">
            <v>110</v>
          </cell>
          <cell r="N84">
            <v>285.00196758206897</v>
          </cell>
          <cell r="O84">
            <v>0</v>
          </cell>
          <cell r="P84">
            <v>0</v>
          </cell>
        </row>
        <row r="85">
          <cell r="M85">
            <v>111</v>
          </cell>
          <cell r="N85">
            <v>600.31327861931038</v>
          </cell>
          <cell r="O85">
            <v>0</v>
          </cell>
          <cell r="P85">
            <v>0</v>
          </cell>
        </row>
        <row r="86">
          <cell r="M86">
            <v>112</v>
          </cell>
          <cell r="N86">
            <v>840.02047688448272</v>
          </cell>
          <cell r="O86">
            <v>0</v>
          </cell>
          <cell r="P86">
            <v>0</v>
          </cell>
        </row>
        <row r="87">
          <cell r="M87">
            <v>113</v>
          </cell>
          <cell r="N87">
            <v>218.66513070724142</v>
          </cell>
          <cell r="O87">
            <v>0</v>
          </cell>
          <cell r="P87">
            <v>0</v>
          </cell>
        </row>
        <row r="88">
          <cell r="M88">
            <v>114</v>
          </cell>
          <cell r="N88">
            <v>357.90700649413787</v>
          </cell>
          <cell r="O88">
            <v>0</v>
          </cell>
          <cell r="P88">
            <v>0</v>
          </cell>
        </row>
        <row r="89">
          <cell r="M89">
            <v>115</v>
          </cell>
          <cell r="N89">
            <v>185.25751160620686</v>
          </cell>
          <cell r="O89">
            <v>0</v>
          </cell>
          <cell r="P89">
            <v>0</v>
          </cell>
        </row>
        <row r="90">
          <cell r="M90">
            <v>116</v>
          </cell>
          <cell r="N90">
            <v>512.47833607172413</v>
          </cell>
          <cell r="O90">
            <v>0</v>
          </cell>
          <cell r="P90">
            <v>0</v>
          </cell>
        </row>
        <row r="91">
          <cell r="M91">
            <v>117</v>
          </cell>
          <cell r="N91">
            <v>158.68535586965521</v>
          </cell>
          <cell r="O91">
            <v>0</v>
          </cell>
          <cell r="P91">
            <v>0</v>
          </cell>
        </row>
        <row r="92">
          <cell r="M92">
            <v>118</v>
          </cell>
          <cell r="N92">
            <v>439.07003862344834</v>
          </cell>
          <cell r="O92">
            <v>0</v>
          </cell>
          <cell r="P92">
            <v>0</v>
          </cell>
        </row>
        <row r="93">
          <cell r="M93">
            <v>119</v>
          </cell>
          <cell r="N93">
            <v>693.94078095724126</v>
          </cell>
          <cell r="O93">
            <v>0</v>
          </cell>
          <cell r="P93">
            <v>0</v>
          </cell>
        </row>
        <row r="94">
          <cell r="M94">
            <v>120</v>
          </cell>
          <cell r="N94">
            <v>173.12594699482756</v>
          </cell>
          <cell r="O94">
            <v>0</v>
          </cell>
          <cell r="P94">
            <v>0</v>
          </cell>
        </row>
        <row r="95">
          <cell r="M95">
            <v>121</v>
          </cell>
          <cell r="N95">
            <v>241.50699006724136</v>
          </cell>
          <cell r="O95">
            <v>0</v>
          </cell>
          <cell r="P95">
            <v>0</v>
          </cell>
        </row>
        <row r="96">
          <cell r="M96">
            <v>123</v>
          </cell>
          <cell r="N96">
            <v>561.65717594758621</v>
          </cell>
          <cell r="O96">
            <v>0</v>
          </cell>
          <cell r="P96">
            <v>0</v>
          </cell>
        </row>
        <row r="97">
          <cell r="M97">
            <v>124</v>
          </cell>
          <cell r="N97">
            <v>288.33185889999993</v>
          </cell>
          <cell r="O97">
            <v>0</v>
          </cell>
          <cell r="P97">
            <v>0</v>
          </cell>
        </row>
        <row r="98">
          <cell r="M98">
            <v>125</v>
          </cell>
          <cell r="N98">
            <v>876.75513885137934</v>
          </cell>
          <cell r="O98">
            <v>0</v>
          </cell>
          <cell r="P98">
            <v>0</v>
          </cell>
        </row>
        <row r="99">
          <cell r="M99">
            <v>126</v>
          </cell>
          <cell r="N99">
            <v>532.09820761517244</v>
          </cell>
          <cell r="O99">
            <v>0</v>
          </cell>
          <cell r="P99">
            <v>0</v>
          </cell>
        </row>
        <row r="100">
          <cell r="M100">
            <v>127</v>
          </cell>
          <cell r="N100">
            <v>601.9922325789654</v>
          </cell>
          <cell r="O100">
            <v>0</v>
          </cell>
          <cell r="P100">
            <v>0</v>
          </cell>
        </row>
        <row r="101">
          <cell r="M101">
            <v>128</v>
          </cell>
          <cell r="N101">
            <v>1786.0033585155172</v>
          </cell>
          <cell r="O101">
            <v>0</v>
          </cell>
          <cell r="P101">
            <v>0</v>
          </cell>
        </row>
        <row r="102">
          <cell r="M102">
            <v>129</v>
          </cell>
          <cell r="N102">
            <v>118.35285841931039</v>
          </cell>
          <cell r="O102">
            <v>0</v>
          </cell>
          <cell r="P102">
            <v>0</v>
          </cell>
        </row>
        <row r="103">
          <cell r="M103">
            <v>130</v>
          </cell>
          <cell r="N103">
            <v>449.19608463344832</v>
          </cell>
          <cell r="O103">
            <v>0</v>
          </cell>
          <cell r="P103">
            <v>0</v>
          </cell>
        </row>
        <row r="104">
          <cell r="M104">
            <v>133</v>
          </cell>
          <cell r="N104">
            <v>517.56735808517237</v>
          </cell>
          <cell r="O104">
            <v>0</v>
          </cell>
          <cell r="P104">
            <v>0</v>
          </cell>
        </row>
        <row r="105">
          <cell r="M105">
            <v>134</v>
          </cell>
          <cell r="N105">
            <v>457.29776962275855</v>
          </cell>
          <cell r="O105">
            <v>0</v>
          </cell>
          <cell r="P105">
            <v>0</v>
          </cell>
        </row>
        <row r="106">
          <cell r="M106">
            <v>135</v>
          </cell>
          <cell r="N106">
            <v>1162.4862428706897</v>
          </cell>
          <cell r="O106">
            <v>0</v>
          </cell>
          <cell r="P106">
            <v>0</v>
          </cell>
        </row>
        <row r="107">
          <cell r="M107">
            <v>136</v>
          </cell>
          <cell r="N107">
            <v>256.81432050586204</v>
          </cell>
          <cell r="O107">
            <v>0</v>
          </cell>
          <cell r="P107">
            <v>0</v>
          </cell>
        </row>
        <row r="108">
          <cell r="M108">
            <v>137</v>
          </cell>
          <cell r="N108">
            <v>589.21827237793104</v>
          </cell>
          <cell r="O108">
            <v>0</v>
          </cell>
          <cell r="P108">
            <v>0</v>
          </cell>
        </row>
        <row r="109">
          <cell r="M109">
            <v>138</v>
          </cell>
          <cell r="N109">
            <v>399.59877025413806</v>
          </cell>
          <cell r="O109">
            <v>0</v>
          </cell>
          <cell r="P109">
            <v>0</v>
          </cell>
        </row>
        <row r="110">
          <cell r="M110">
            <v>139</v>
          </cell>
          <cell r="N110">
            <v>359.6855479920689</v>
          </cell>
          <cell r="O110">
            <v>0</v>
          </cell>
          <cell r="P110">
            <v>0</v>
          </cell>
        </row>
        <row r="111">
          <cell r="M111">
            <v>140</v>
          </cell>
          <cell r="N111">
            <v>82.741963457586195</v>
          </cell>
          <cell r="O111">
            <v>0</v>
          </cell>
          <cell r="P111">
            <v>0</v>
          </cell>
        </row>
        <row r="112">
          <cell r="M112">
            <v>141</v>
          </cell>
          <cell r="N112">
            <v>209.15201282689648</v>
          </cell>
          <cell r="O112">
            <v>0</v>
          </cell>
          <cell r="P112">
            <v>0</v>
          </cell>
        </row>
        <row r="113">
          <cell r="M113">
            <v>142</v>
          </cell>
          <cell r="N113">
            <v>662.15566830896557</v>
          </cell>
          <cell r="O113">
            <v>0</v>
          </cell>
          <cell r="P113">
            <v>0</v>
          </cell>
        </row>
        <row r="114">
          <cell r="M114">
            <v>146</v>
          </cell>
          <cell r="N114">
            <v>220.74625797551721</v>
          </cell>
          <cell r="O114">
            <v>0</v>
          </cell>
          <cell r="P114">
            <v>0</v>
          </cell>
        </row>
        <row r="115">
          <cell r="M115">
            <v>147</v>
          </cell>
          <cell r="N115">
            <v>376.5033726348276</v>
          </cell>
          <cell r="O115">
            <v>0</v>
          </cell>
          <cell r="P115">
            <v>0</v>
          </cell>
        </row>
        <row r="116">
          <cell r="M116">
            <v>148</v>
          </cell>
          <cell r="N116">
            <v>123.20896072241381</v>
          </cell>
          <cell r="O116">
            <v>0</v>
          </cell>
          <cell r="P116">
            <v>0</v>
          </cell>
        </row>
        <row r="117">
          <cell r="M117">
            <v>150</v>
          </cell>
          <cell r="N117">
            <v>486.10952639551726</v>
          </cell>
          <cell r="O117">
            <v>0</v>
          </cell>
          <cell r="P117">
            <v>0</v>
          </cell>
        </row>
        <row r="118">
          <cell r="M118">
            <v>151</v>
          </cell>
          <cell r="N118">
            <v>225.81259818793109</v>
          </cell>
          <cell r="O118">
            <v>0</v>
          </cell>
          <cell r="P118">
            <v>0</v>
          </cell>
        </row>
        <row r="119">
          <cell r="M119">
            <v>152</v>
          </cell>
          <cell r="N119">
            <v>516.99285223620689</v>
          </cell>
          <cell r="O119">
            <v>0</v>
          </cell>
          <cell r="P119">
            <v>0</v>
          </cell>
        </row>
        <row r="120">
          <cell r="M120">
            <v>153</v>
          </cell>
          <cell r="N120">
            <v>97.785636075517218</v>
          </cell>
          <cell r="O120">
            <v>0</v>
          </cell>
          <cell r="P120">
            <v>0</v>
          </cell>
        </row>
        <row r="121">
          <cell r="M121">
            <v>154</v>
          </cell>
          <cell r="N121">
            <v>533.4298281913791</v>
          </cell>
          <cell r="O121">
            <v>0</v>
          </cell>
          <cell r="P121">
            <v>0</v>
          </cell>
        </row>
        <row r="122">
          <cell r="M122">
            <v>156</v>
          </cell>
          <cell r="N122">
            <v>578.71621222689669</v>
          </cell>
          <cell r="O122">
            <v>0</v>
          </cell>
          <cell r="P122">
            <v>0</v>
          </cell>
        </row>
        <row r="123">
          <cell r="M123">
            <v>158</v>
          </cell>
          <cell r="N123">
            <v>420.73317985068974</v>
          </cell>
          <cell r="O123">
            <v>0</v>
          </cell>
          <cell r="P123">
            <v>0</v>
          </cell>
        </row>
        <row r="124">
          <cell r="M124">
            <v>160</v>
          </cell>
          <cell r="N124">
            <v>947.42965931069023</v>
          </cell>
          <cell r="O124">
            <v>0</v>
          </cell>
          <cell r="P124">
            <v>0</v>
          </cell>
        </row>
        <row r="125">
          <cell r="M125">
            <v>161</v>
          </cell>
          <cell r="N125">
            <v>405.77542782827572</v>
          </cell>
          <cell r="O125">
            <v>0</v>
          </cell>
          <cell r="P125">
            <v>0</v>
          </cell>
        </row>
        <row r="126">
          <cell r="M126">
            <v>162</v>
          </cell>
          <cell r="N126">
            <v>427.872588097586</v>
          </cell>
          <cell r="O126">
            <v>0</v>
          </cell>
          <cell r="P126">
            <v>0</v>
          </cell>
        </row>
        <row r="127">
          <cell r="M127">
            <v>163</v>
          </cell>
          <cell r="N127">
            <v>161.34704294793099</v>
          </cell>
          <cell r="O127">
            <v>0</v>
          </cell>
          <cell r="P127">
            <v>0</v>
          </cell>
        </row>
        <row r="128">
          <cell r="M128">
            <v>164</v>
          </cell>
          <cell r="N128">
            <v>198.69562519827591</v>
          </cell>
          <cell r="O128">
            <v>0</v>
          </cell>
          <cell r="P128">
            <v>0</v>
          </cell>
        </row>
        <row r="129">
          <cell r="M129">
            <v>165</v>
          </cell>
          <cell r="N129">
            <v>274.55511601241369</v>
          </cell>
          <cell r="O129">
            <v>0</v>
          </cell>
          <cell r="P129">
            <v>0</v>
          </cell>
        </row>
        <row r="130">
          <cell r="M130">
            <v>166</v>
          </cell>
          <cell r="N130">
            <v>515.41028237517241</v>
          </cell>
          <cell r="O130">
            <v>0</v>
          </cell>
          <cell r="P130">
            <v>0</v>
          </cell>
        </row>
        <row r="131">
          <cell r="M131">
            <v>168</v>
          </cell>
          <cell r="N131">
            <v>331.31951904620689</v>
          </cell>
          <cell r="O131">
            <v>0</v>
          </cell>
          <cell r="P131">
            <v>0</v>
          </cell>
        </row>
        <row r="132">
          <cell r="M132">
            <v>169</v>
          </cell>
          <cell r="N132">
            <v>499.94470356413797</v>
          </cell>
          <cell r="O132">
            <v>0</v>
          </cell>
          <cell r="P132">
            <v>0</v>
          </cell>
        </row>
        <row r="133">
          <cell r="M133">
            <v>170</v>
          </cell>
          <cell r="N133">
            <v>593.44644217068958</v>
          </cell>
          <cell r="O133">
            <v>0</v>
          </cell>
          <cell r="P133">
            <v>0</v>
          </cell>
        </row>
        <row r="134">
          <cell r="M134">
            <v>171</v>
          </cell>
          <cell r="N134">
            <v>397.28177130689664</v>
          </cell>
          <cell r="O134">
            <v>0</v>
          </cell>
          <cell r="P134">
            <v>0</v>
          </cell>
        </row>
        <row r="135">
          <cell r="M135">
            <v>172</v>
          </cell>
          <cell r="N135">
            <v>1169.5428607658616</v>
          </cell>
          <cell r="O135">
            <v>0</v>
          </cell>
          <cell r="P135">
            <v>0</v>
          </cell>
        </row>
        <row r="136">
          <cell r="M136">
            <v>173</v>
          </cell>
          <cell r="N136">
            <v>279.69324969965515</v>
          </cell>
          <cell r="O136">
            <v>0</v>
          </cell>
          <cell r="P136">
            <v>0</v>
          </cell>
        </row>
        <row r="137">
          <cell r="M137">
            <v>174</v>
          </cell>
          <cell r="N137">
            <v>352.82001573379307</v>
          </cell>
          <cell r="O137">
            <v>0</v>
          </cell>
          <cell r="P137">
            <v>0</v>
          </cell>
        </row>
        <row r="138">
          <cell r="M138">
            <v>175</v>
          </cell>
          <cell r="N138">
            <v>218.61017662137934</v>
          </cell>
          <cell r="O138">
            <v>0</v>
          </cell>
          <cell r="P138">
            <v>0</v>
          </cell>
        </row>
        <row r="139">
          <cell r="M139">
            <v>176</v>
          </cell>
          <cell r="N139">
            <v>566.56115689137937</v>
          </cell>
          <cell r="O139">
            <v>0</v>
          </cell>
          <cell r="P139">
            <v>0</v>
          </cell>
        </row>
        <row r="140">
          <cell r="M140">
            <v>177</v>
          </cell>
          <cell r="N140">
            <v>929.62186140172412</v>
          </cell>
          <cell r="O140">
            <v>0</v>
          </cell>
          <cell r="P140">
            <v>0</v>
          </cell>
        </row>
        <row r="141">
          <cell r="M141">
            <v>178</v>
          </cell>
          <cell r="N141">
            <v>271.68651548655174</v>
          </cell>
          <cell r="O141">
            <v>0</v>
          </cell>
          <cell r="P141">
            <v>0</v>
          </cell>
        </row>
        <row r="142">
          <cell r="M142">
            <v>179</v>
          </cell>
          <cell r="N142">
            <v>442.19552113551731</v>
          </cell>
          <cell r="O142">
            <v>0</v>
          </cell>
          <cell r="P142">
            <v>0</v>
          </cell>
        </row>
        <row r="143">
          <cell r="M143">
            <v>180</v>
          </cell>
          <cell r="N143">
            <v>243.58339653862069</v>
          </cell>
          <cell r="O143">
            <v>0</v>
          </cell>
          <cell r="P143">
            <v>0</v>
          </cell>
        </row>
        <row r="144">
          <cell r="M144">
            <v>182</v>
          </cell>
          <cell r="N144">
            <v>1894.222519572759</v>
          </cell>
          <cell r="O144">
            <v>0</v>
          </cell>
          <cell r="P144">
            <v>0</v>
          </cell>
        </row>
        <row r="145">
          <cell r="M145">
            <v>183</v>
          </cell>
          <cell r="N145">
            <v>357.43800637310352</v>
          </cell>
          <cell r="O145">
            <v>0</v>
          </cell>
          <cell r="P145">
            <v>0</v>
          </cell>
        </row>
        <row r="146">
          <cell r="M146">
            <v>184</v>
          </cell>
          <cell r="N146">
            <v>286.06627476137936</v>
          </cell>
          <cell r="O146">
            <v>0</v>
          </cell>
          <cell r="P146">
            <v>0</v>
          </cell>
        </row>
        <row r="147">
          <cell r="M147">
            <v>185</v>
          </cell>
          <cell r="N147">
            <v>537.46783091517239</v>
          </cell>
          <cell r="O147">
            <v>0</v>
          </cell>
          <cell r="P147">
            <v>0</v>
          </cell>
        </row>
        <row r="148">
          <cell r="M148">
            <v>186</v>
          </cell>
          <cell r="N148">
            <v>385.29757336068957</v>
          </cell>
          <cell r="O148">
            <v>0</v>
          </cell>
          <cell r="P148">
            <v>0</v>
          </cell>
        </row>
        <row r="149">
          <cell r="M149">
            <v>187</v>
          </cell>
          <cell r="N149">
            <v>240.59919731344829</v>
          </cell>
          <cell r="O149">
            <v>0</v>
          </cell>
          <cell r="P149">
            <v>0</v>
          </cell>
        </row>
        <row r="150">
          <cell r="M150">
            <v>188</v>
          </cell>
          <cell r="N150">
            <v>123.90369364999998</v>
          </cell>
          <cell r="O150">
            <v>0</v>
          </cell>
          <cell r="P150">
            <v>0</v>
          </cell>
        </row>
        <row r="151">
          <cell r="M151">
            <v>189</v>
          </cell>
          <cell r="N151">
            <v>267.05913428931041</v>
          </cell>
          <cell r="O151">
            <v>0</v>
          </cell>
          <cell r="P151">
            <v>0</v>
          </cell>
        </row>
        <row r="152">
          <cell r="M152">
            <v>190</v>
          </cell>
          <cell r="N152">
            <v>716.91160676793083</v>
          </cell>
          <cell r="O152">
            <v>0</v>
          </cell>
          <cell r="P152">
            <v>0</v>
          </cell>
        </row>
        <row r="153">
          <cell r="M153">
            <v>191</v>
          </cell>
          <cell r="N153">
            <v>207.4518096955172</v>
          </cell>
          <cell r="O153">
            <v>0</v>
          </cell>
          <cell r="P153">
            <v>0</v>
          </cell>
        </row>
        <row r="154">
          <cell r="M154">
            <v>192</v>
          </cell>
          <cell r="N154">
            <v>341.29551829620686</v>
          </cell>
          <cell r="O154">
            <v>0</v>
          </cell>
          <cell r="P154">
            <v>0</v>
          </cell>
        </row>
        <row r="155">
          <cell r="M155">
            <v>194</v>
          </cell>
          <cell r="N155">
            <v>379.94166148206892</v>
          </cell>
          <cell r="O155">
            <v>0</v>
          </cell>
          <cell r="P155">
            <v>0</v>
          </cell>
        </row>
        <row r="156">
          <cell r="M156">
            <v>195</v>
          </cell>
          <cell r="N156">
            <v>628.41318818517254</v>
          </cell>
          <cell r="O156">
            <v>0</v>
          </cell>
          <cell r="P156">
            <v>0</v>
          </cell>
        </row>
        <row r="157">
          <cell r="M157">
            <v>196</v>
          </cell>
          <cell r="N157">
            <v>815.3079470282762</v>
          </cell>
          <cell r="O157">
            <v>0</v>
          </cell>
          <cell r="P157">
            <v>0</v>
          </cell>
        </row>
        <row r="158">
          <cell r="M158">
            <v>197</v>
          </cell>
          <cell r="N158">
            <v>425.98064125344843</v>
          </cell>
          <cell r="O158">
            <v>0</v>
          </cell>
          <cell r="P158">
            <v>0</v>
          </cell>
        </row>
        <row r="159">
          <cell r="M159">
            <v>198</v>
          </cell>
          <cell r="N159">
            <v>528.41775840482751</v>
          </cell>
          <cell r="O159">
            <v>0</v>
          </cell>
          <cell r="P159">
            <v>0</v>
          </cell>
        </row>
        <row r="160">
          <cell r="M160">
            <v>199</v>
          </cell>
          <cell r="N160">
            <v>460.52016319344818</v>
          </cell>
          <cell r="O160">
            <v>0</v>
          </cell>
          <cell r="P160">
            <v>0</v>
          </cell>
        </row>
        <row r="161">
          <cell r="M161">
            <v>201</v>
          </cell>
          <cell r="N161">
            <v>546.19493082896565</v>
          </cell>
          <cell r="O161">
            <v>0</v>
          </cell>
          <cell r="P161">
            <v>0</v>
          </cell>
        </row>
        <row r="162">
          <cell r="M162">
            <v>202</v>
          </cell>
          <cell r="N162">
            <v>544.27824879793093</v>
          </cell>
          <cell r="O162">
            <v>0</v>
          </cell>
          <cell r="P162">
            <v>0</v>
          </cell>
        </row>
        <row r="163">
          <cell r="M163">
            <v>203</v>
          </cell>
          <cell r="N163">
            <v>217.01503547551718</v>
          </cell>
          <cell r="O163">
            <v>0</v>
          </cell>
          <cell r="P163">
            <v>0</v>
          </cell>
        </row>
        <row r="164">
          <cell r="M164">
            <v>204</v>
          </cell>
          <cell r="N164">
            <v>238.69083750068967</v>
          </cell>
          <cell r="O164">
            <v>0</v>
          </cell>
          <cell r="P164">
            <v>0</v>
          </cell>
        </row>
        <row r="165">
          <cell r="M165">
            <v>205</v>
          </cell>
          <cell r="N165">
            <v>118.13022929724137</v>
          </cell>
          <cell r="O165">
            <v>0</v>
          </cell>
          <cell r="P165">
            <v>0</v>
          </cell>
        </row>
        <row r="166">
          <cell r="M166">
            <v>206</v>
          </cell>
          <cell r="N166">
            <v>91.481405677241398</v>
          </cell>
          <cell r="O166">
            <v>0</v>
          </cell>
          <cell r="P166">
            <v>0</v>
          </cell>
        </row>
        <row r="167">
          <cell r="M167">
            <v>207</v>
          </cell>
          <cell r="N167">
            <v>76.925736723448296</v>
          </cell>
          <cell r="O167">
            <v>0</v>
          </cell>
          <cell r="P167">
            <v>0</v>
          </cell>
        </row>
        <row r="168">
          <cell r="M168">
            <v>208</v>
          </cell>
          <cell r="N168">
            <v>237.11173224344827</v>
          </cell>
          <cell r="O168">
            <v>0</v>
          </cell>
          <cell r="P168">
            <v>0</v>
          </cell>
        </row>
        <row r="169">
          <cell r="M169">
            <v>209</v>
          </cell>
          <cell r="N169">
            <v>646.81353071103445</v>
          </cell>
          <cell r="O169">
            <v>0</v>
          </cell>
          <cell r="P169">
            <v>0</v>
          </cell>
        </row>
        <row r="170">
          <cell r="M170">
            <v>210</v>
          </cell>
          <cell r="N170">
            <v>305.31243914931036</v>
          </cell>
          <cell r="O170">
            <v>0</v>
          </cell>
          <cell r="P170">
            <v>0</v>
          </cell>
        </row>
        <row r="171">
          <cell r="M171">
            <v>211</v>
          </cell>
          <cell r="N171">
            <v>848.56080611965524</v>
          </cell>
          <cell r="O171">
            <v>0</v>
          </cell>
          <cell r="P171">
            <v>0</v>
          </cell>
        </row>
        <row r="172">
          <cell r="M172">
            <v>212</v>
          </cell>
          <cell r="N172">
            <v>250.66418880965517</v>
          </cell>
          <cell r="O172">
            <v>0</v>
          </cell>
          <cell r="P172">
            <v>0</v>
          </cell>
        </row>
        <row r="173">
          <cell r="M173">
            <v>213</v>
          </cell>
          <cell r="N173">
            <v>86.243531235862093</v>
          </cell>
          <cell r="O173">
            <v>0</v>
          </cell>
          <cell r="P173">
            <v>0</v>
          </cell>
        </row>
        <row r="174">
          <cell r="M174">
            <v>214</v>
          </cell>
          <cell r="N174">
            <v>324.63183701689655</v>
          </cell>
          <cell r="O174">
            <v>0</v>
          </cell>
          <cell r="P174">
            <v>0</v>
          </cell>
        </row>
        <row r="175">
          <cell r="M175">
            <v>215</v>
          </cell>
          <cell r="N175">
            <v>397.27871651620694</v>
          </cell>
          <cell r="O175">
            <v>0</v>
          </cell>
          <cell r="P175">
            <v>0</v>
          </cell>
        </row>
        <row r="176">
          <cell r="M176">
            <v>216</v>
          </cell>
          <cell r="N176">
            <v>452.83061255448263</v>
          </cell>
          <cell r="O176">
            <v>0</v>
          </cell>
          <cell r="P176">
            <v>0</v>
          </cell>
        </row>
        <row r="177">
          <cell r="M177">
            <v>217</v>
          </cell>
          <cell r="N177">
            <v>559.8352742451724</v>
          </cell>
          <cell r="O177">
            <v>0</v>
          </cell>
          <cell r="P177">
            <v>0</v>
          </cell>
        </row>
        <row r="178">
          <cell r="M178">
            <v>218</v>
          </cell>
          <cell r="N178">
            <v>535.55310008758647</v>
          </cell>
          <cell r="O178">
            <v>0</v>
          </cell>
          <cell r="P178">
            <v>0</v>
          </cell>
        </row>
        <row r="179">
          <cell r="M179">
            <v>219</v>
          </cell>
          <cell r="N179">
            <v>948.71998186896519</v>
          </cell>
          <cell r="O179">
            <v>0</v>
          </cell>
          <cell r="P179">
            <v>0</v>
          </cell>
        </row>
        <row r="180">
          <cell r="M180">
            <v>221</v>
          </cell>
          <cell r="N180">
            <v>1372.8504279386214</v>
          </cell>
          <cell r="O180">
            <v>0</v>
          </cell>
          <cell r="P180">
            <v>0</v>
          </cell>
        </row>
        <row r="181">
          <cell r="M181">
            <v>222</v>
          </cell>
          <cell r="N181">
            <v>763.44679021000002</v>
          </cell>
          <cell r="O181">
            <v>0</v>
          </cell>
          <cell r="P181">
            <v>0</v>
          </cell>
        </row>
        <row r="182">
          <cell r="M182">
            <v>223</v>
          </cell>
          <cell r="N182">
            <v>459.92637028931028</v>
          </cell>
          <cell r="O182">
            <v>0</v>
          </cell>
          <cell r="P182">
            <v>0</v>
          </cell>
        </row>
        <row r="183">
          <cell r="M183">
            <v>224</v>
          </cell>
          <cell r="N183">
            <v>965.10300257827589</v>
          </cell>
          <cell r="O183">
            <v>0</v>
          </cell>
          <cell r="P183">
            <v>0</v>
          </cell>
        </row>
        <row r="184">
          <cell r="M184">
            <v>225</v>
          </cell>
          <cell r="N184">
            <v>287.49708679034478</v>
          </cell>
          <cell r="O184">
            <v>0</v>
          </cell>
          <cell r="P184">
            <v>0</v>
          </cell>
        </row>
        <row r="185">
          <cell r="M185">
            <v>226</v>
          </cell>
          <cell r="N185">
            <v>85.946936593103459</v>
          </cell>
          <cell r="O185">
            <v>0</v>
          </cell>
          <cell r="P185">
            <v>0</v>
          </cell>
        </row>
        <row r="186">
          <cell r="M186">
            <v>227</v>
          </cell>
          <cell r="N186">
            <v>34.901988907931056</v>
          </cell>
          <cell r="O186">
            <v>0</v>
          </cell>
          <cell r="P186">
            <v>0</v>
          </cell>
        </row>
        <row r="187">
          <cell r="M187">
            <v>228</v>
          </cell>
          <cell r="N187">
            <v>217.77487067758619</v>
          </cell>
          <cell r="O187">
            <v>0</v>
          </cell>
          <cell r="P187">
            <v>0</v>
          </cell>
        </row>
        <row r="188">
          <cell r="M188">
            <v>229</v>
          </cell>
          <cell r="N188">
            <v>778.77235054206881</v>
          </cell>
          <cell r="O188">
            <v>0</v>
          </cell>
          <cell r="P188">
            <v>0</v>
          </cell>
        </row>
        <row r="189">
          <cell r="M189">
            <v>230</v>
          </cell>
          <cell r="N189">
            <v>364.69046940034474</v>
          </cell>
          <cell r="O189">
            <v>0</v>
          </cell>
          <cell r="P189">
            <v>0</v>
          </cell>
        </row>
        <row r="190">
          <cell r="M190">
            <v>231</v>
          </cell>
          <cell r="N190">
            <v>169.95757715206895</v>
          </cell>
          <cell r="O190">
            <v>0</v>
          </cell>
          <cell r="P190">
            <v>0</v>
          </cell>
        </row>
        <row r="191">
          <cell r="M191">
            <v>232</v>
          </cell>
          <cell r="N191">
            <v>52.268031623793092</v>
          </cell>
          <cell r="O191">
            <v>0</v>
          </cell>
          <cell r="P191">
            <v>0</v>
          </cell>
        </row>
        <row r="192">
          <cell r="M192">
            <v>233</v>
          </cell>
          <cell r="N192">
            <v>1706.1844334010343</v>
          </cell>
          <cell r="O192">
            <v>0</v>
          </cell>
          <cell r="P192">
            <v>0</v>
          </cell>
        </row>
        <row r="193">
          <cell r="M193">
            <v>234</v>
          </cell>
          <cell r="N193">
            <v>128.91849740379311</v>
          </cell>
          <cell r="O193">
            <v>0</v>
          </cell>
          <cell r="P193">
            <v>0</v>
          </cell>
        </row>
        <row r="194">
          <cell r="M194">
            <v>235</v>
          </cell>
          <cell r="N194">
            <v>492.14892411758609</v>
          </cell>
          <cell r="O194">
            <v>0</v>
          </cell>
          <cell r="P194">
            <v>0</v>
          </cell>
        </row>
        <row r="195">
          <cell r="M195">
            <v>236</v>
          </cell>
          <cell r="N195">
            <v>72.436309745862062</v>
          </cell>
          <cell r="O195">
            <v>0</v>
          </cell>
          <cell r="P195">
            <v>0</v>
          </cell>
        </row>
        <row r="196">
          <cell r="M196">
            <v>238</v>
          </cell>
          <cell r="N196">
            <v>199.17716352896554</v>
          </cell>
          <cell r="O196">
            <v>0</v>
          </cell>
          <cell r="P196">
            <v>0</v>
          </cell>
        </row>
        <row r="197">
          <cell r="M197">
            <v>240</v>
          </cell>
          <cell r="N197">
            <v>289.44737796482752</v>
          </cell>
          <cell r="O197">
            <v>0</v>
          </cell>
          <cell r="P197">
            <v>0</v>
          </cell>
        </row>
        <row r="198">
          <cell r="M198">
            <v>243</v>
          </cell>
          <cell r="N198">
            <v>454.82996614103462</v>
          </cell>
          <cell r="O198">
            <v>0</v>
          </cell>
          <cell r="P198">
            <v>0</v>
          </cell>
        </row>
        <row r="199">
          <cell r="M199">
            <v>244</v>
          </cell>
          <cell r="N199">
            <v>178.92242598068967</v>
          </cell>
          <cell r="O199">
            <v>0</v>
          </cell>
          <cell r="P199">
            <v>0</v>
          </cell>
        </row>
        <row r="200">
          <cell r="M200">
            <v>246</v>
          </cell>
          <cell r="N200">
            <v>298.06586147689654</v>
          </cell>
          <cell r="O200">
            <v>0</v>
          </cell>
          <cell r="P200">
            <v>0</v>
          </cell>
        </row>
        <row r="201">
          <cell r="M201">
            <v>248</v>
          </cell>
          <cell r="N201">
            <v>248.58910520931042</v>
          </cell>
          <cell r="O201">
            <v>0</v>
          </cell>
          <cell r="P201">
            <v>0</v>
          </cell>
        </row>
        <row r="202">
          <cell r="M202">
            <v>249</v>
          </cell>
          <cell r="N202">
            <v>56.446123646896552</v>
          </cell>
          <cell r="O202">
            <v>0</v>
          </cell>
          <cell r="P202">
            <v>0</v>
          </cell>
        </row>
        <row r="203">
          <cell r="M203">
            <v>250</v>
          </cell>
          <cell r="N203">
            <v>74.018251813448273</v>
          </cell>
          <cell r="O203">
            <v>0</v>
          </cell>
          <cell r="P203">
            <v>0</v>
          </cell>
        </row>
        <row r="204">
          <cell r="M204">
            <v>251</v>
          </cell>
          <cell r="N204">
            <v>36.087228542068956</v>
          </cell>
          <cell r="O204">
            <v>0</v>
          </cell>
          <cell r="P204">
            <v>0</v>
          </cell>
        </row>
        <row r="205">
          <cell r="M205">
            <v>255</v>
          </cell>
          <cell r="N205">
            <v>44.503225776551723</v>
          </cell>
          <cell r="O205">
            <v>0</v>
          </cell>
          <cell r="P205">
            <v>0</v>
          </cell>
        </row>
        <row r="206">
          <cell r="M206">
            <v>256</v>
          </cell>
          <cell r="N206">
            <v>45.508661387241368</v>
          </cell>
          <cell r="O206">
            <v>0</v>
          </cell>
          <cell r="P206">
            <v>0</v>
          </cell>
        </row>
        <row r="207">
          <cell r="M207">
            <v>257</v>
          </cell>
          <cell r="N207">
            <v>258.38503083275873</v>
          </cell>
          <cell r="O207">
            <v>0</v>
          </cell>
          <cell r="P207">
            <v>0</v>
          </cell>
        </row>
        <row r="208">
          <cell r="M208">
            <v>259</v>
          </cell>
          <cell r="N208">
            <v>178.01966220068968</v>
          </cell>
          <cell r="O208">
            <v>0</v>
          </cell>
          <cell r="P208">
            <v>0</v>
          </cell>
        </row>
        <row r="209">
          <cell r="M209">
            <v>260</v>
          </cell>
          <cell r="N209">
            <v>476.99778825275871</v>
          </cell>
          <cell r="O209">
            <v>0</v>
          </cell>
          <cell r="P209">
            <v>0</v>
          </cell>
        </row>
        <row r="210">
          <cell r="M210">
            <v>261</v>
          </cell>
          <cell r="N210">
            <v>97.6561164610345</v>
          </cell>
          <cell r="O210">
            <v>0</v>
          </cell>
          <cell r="P210">
            <v>0</v>
          </cell>
        </row>
        <row r="211">
          <cell r="M211">
            <v>262</v>
          </cell>
          <cell r="N211">
            <v>749.43850825862069</v>
          </cell>
          <cell r="O211">
            <v>0</v>
          </cell>
          <cell r="P211">
            <v>0</v>
          </cell>
        </row>
        <row r="212">
          <cell r="M212">
            <v>263</v>
          </cell>
          <cell r="N212">
            <v>253.12587600379314</v>
          </cell>
          <cell r="O212">
            <v>0</v>
          </cell>
          <cell r="P212">
            <v>0</v>
          </cell>
        </row>
        <row r="213">
          <cell r="M213">
            <v>264</v>
          </cell>
          <cell r="N213">
            <v>102.52688168068967</v>
          </cell>
          <cell r="O213">
            <v>0</v>
          </cell>
          <cell r="P213">
            <v>0</v>
          </cell>
        </row>
        <row r="214">
          <cell r="M214">
            <v>265</v>
          </cell>
          <cell r="N214">
            <v>162.81170597827588</v>
          </cell>
          <cell r="O214">
            <v>0</v>
          </cell>
          <cell r="P214">
            <v>0</v>
          </cell>
        </row>
        <row r="215">
          <cell r="M215">
            <v>266</v>
          </cell>
          <cell r="N215">
            <v>51.702350121379318</v>
          </cell>
          <cell r="O215">
            <v>0</v>
          </cell>
          <cell r="P215">
            <v>0</v>
          </cell>
        </row>
        <row r="216">
          <cell r="M216">
            <v>267</v>
          </cell>
          <cell r="N216">
            <v>591.56432670551692</v>
          </cell>
          <cell r="O216">
            <v>0</v>
          </cell>
          <cell r="P216">
            <v>0</v>
          </cell>
        </row>
        <row r="217">
          <cell r="M217">
            <v>268</v>
          </cell>
          <cell r="N217">
            <v>31.106177017931024</v>
          </cell>
          <cell r="O217">
            <v>0</v>
          </cell>
          <cell r="P217">
            <v>0</v>
          </cell>
        </row>
        <row r="218">
          <cell r="M218">
            <v>269</v>
          </cell>
          <cell r="N218">
            <v>65.109243430344833</v>
          </cell>
          <cell r="O218">
            <v>0</v>
          </cell>
          <cell r="P218">
            <v>0</v>
          </cell>
        </row>
        <row r="219">
          <cell r="M219">
            <v>270</v>
          </cell>
          <cell r="N219">
            <v>66.306867026551714</v>
          </cell>
          <cell r="O219">
            <v>0</v>
          </cell>
          <cell r="P219">
            <v>0</v>
          </cell>
        </row>
        <row r="220">
          <cell r="M220">
            <v>271</v>
          </cell>
          <cell r="N220">
            <v>207.87615211068962</v>
          </cell>
          <cell r="O220">
            <v>0</v>
          </cell>
          <cell r="P220">
            <v>0</v>
          </cell>
        </row>
        <row r="221">
          <cell r="M221">
            <v>273</v>
          </cell>
          <cell r="N221">
            <v>327.63873294827579</v>
          </cell>
          <cell r="O221">
            <v>0</v>
          </cell>
          <cell r="P221">
            <v>0</v>
          </cell>
        </row>
        <row r="222">
          <cell r="M222">
            <v>274</v>
          </cell>
          <cell r="N222">
            <v>285.18836347137926</v>
          </cell>
          <cell r="O222">
            <v>0</v>
          </cell>
          <cell r="P222">
            <v>0</v>
          </cell>
        </row>
        <row r="223">
          <cell r="M223">
            <v>275</v>
          </cell>
          <cell r="N223">
            <v>69.684114966551732</v>
          </cell>
          <cell r="O223">
            <v>0</v>
          </cell>
          <cell r="P223">
            <v>0</v>
          </cell>
        </row>
        <row r="224">
          <cell r="M224">
            <v>276</v>
          </cell>
          <cell r="N224">
            <v>123.38026111689651</v>
          </cell>
          <cell r="O224">
            <v>0</v>
          </cell>
          <cell r="P224">
            <v>0</v>
          </cell>
        </row>
        <row r="225">
          <cell r="M225">
            <v>277</v>
          </cell>
          <cell r="N225">
            <v>134.59597484172411</v>
          </cell>
          <cell r="O225">
            <v>0</v>
          </cell>
          <cell r="P225">
            <v>0</v>
          </cell>
        </row>
        <row r="226">
          <cell r="M226">
            <v>278</v>
          </cell>
          <cell r="N226">
            <v>499.82926597517246</v>
          </cell>
          <cell r="O226">
            <v>0</v>
          </cell>
          <cell r="P226">
            <v>0</v>
          </cell>
        </row>
        <row r="227">
          <cell r="M227">
            <v>279</v>
          </cell>
          <cell r="N227">
            <v>153.33751602379309</v>
          </cell>
          <cell r="O227">
            <v>0</v>
          </cell>
          <cell r="P227">
            <v>0</v>
          </cell>
        </row>
        <row r="228">
          <cell r="M228">
            <v>280</v>
          </cell>
          <cell r="N228">
            <v>175.68016893413792</v>
          </cell>
          <cell r="O228">
            <v>0</v>
          </cell>
          <cell r="P228">
            <v>0</v>
          </cell>
        </row>
        <row r="229">
          <cell r="M229">
            <v>281</v>
          </cell>
          <cell r="N229">
            <v>282.19486544931033</v>
          </cell>
          <cell r="O229">
            <v>0</v>
          </cell>
          <cell r="P229">
            <v>0</v>
          </cell>
        </row>
        <row r="230">
          <cell r="M230">
            <v>282</v>
          </cell>
          <cell r="N230">
            <v>85.249110458275851</v>
          </cell>
          <cell r="O230">
            <v>0</v>
          </cell>
          <cell r="P230">
            <v>0</v>
          </cell>
        </row>
        <row r="231">
          <cell r="M231">
            <v>284</v>
          </cell>
          <cell r="N231">
            <v>133.14653609068966</v>
          </cell>
          <cell r="O231">
            <v>0</v>
          </cell>
          <cell r="P231">
            <v>0</v>
          </cell>
        </row>
        <row r="232">
          <cell r="M232">
            <v>285</v>
          </cell>
          <cell r="N232">
            <v>143.35559631482761</v>
          </cell>
          <cell r="O232">
            <v>0</v>
          </cell>
          <cell r="P232">
            <v>0</v>
          </cell>
        </row>
        <row r="233">
          <cell r="M233">
            <v>286</v>
          </cell>
          <cell r="N233">
            <v>85.476758798275867</v>
          </cell>
          <cell r="O233">
            <v>0</v>
          </cell>
          <cell r="P233">
            <v>0</v>
          </cell>
        </row>
        <row r="234">
          <cell r="M234">
            <v>288</v>
          </cell>
          <cell r="N234">
            <v>348.44361597275861</v>
          </cell>
          <cell r="O234">
            <v>0</v>
          </cell>
          <cell r="P234">
            <v>0</v>
          </cell>
        </row>
        <row r="235">
          <cell r="M235">
            <v>289</v>
          </cell>
          <cell r="N235">
            <v>111.00389616413791</v>
          </cell>
          <cell r="O235">
            <v>0</v>
          </cell>
          <cell r="P235">
            <v>0</v>
          </cell>
        </row>
        <row r="236">
          <cell r="M236">
            <v>290</v>
          </cell>
          <cell r="N236">
            <v>622.56273646724105</v>
          </cell>
          <cell r="O236">
            <v>0</v>
          </cell>
          <cell r="P236">
            <v>0</v>
          </cell>
        </row>
        <row r="237">
          <cell r="M237">
            <v>291</v>
          </cell>
          <cell r="N237">
            <v>294.57922621655166</v>
          </cell>
          <cell r="O237">
            <v>0</v>
          </cell>
          <cell r="P237">
            <v>0</v>
          </cell>
        </row>
        <row r="238">
          <cell r="M238">
            <v>293</v>
          </cell>
          <cell r="N238">
            <v>15.084356909999999</v>
          </cell>
          <cell r="O238">
            <v>0</v>
          </cell>
          <cell r="P238">
            <v>0</v>
          </cell>
        </row>
        <row r="239">
          <cell r="M239">
            <v>294</v>
          </cell>
          <cell r="N239">
            <v>598.28649171206894</v>
          </cell>
          <cell r="O239">
            <v>0</v>
          </cell>
          <cell r="P239">
            <v>0</v>
          </cell>
        </row>
        <row r="240">
          <cell r="M240">
            <v>295</v>
          </cell>
          <cell r="N240">
            <v>243.13267376241382</v>
          </cell>
          <cell r="O240">
            <v>0</v>
          </cell>
          <cell r="P240">
            <v>0</v>
          </cell>
        </row>
        <row r="241">
          <cell r="M241">
            <v>296</v>
          </cell>
          <cell r="N241">
            <v>568.19905574896552</v>
          </cell>
          <cell r="O241">
            <v>0</v>
          </cell>
          <cell r="P241">
            <v>0</v>
          </cell>
        </row>
        <row r="242">
          <cell r="M242">
            <v>297</v>
          </cell>
          <cell r="N242">
            <v>83.254048589655184</v>
          </cell>
          <cell r="O242">
            <v>0</v>
          </cell>
          <cell r="P242">
            <v>0</v>
          </cell>
        </row>
        <row r="243">
          <cell r="M243">
            <v>300</v>
          </cell>
          <cell r="N243">
            <v>260.7258503631034</v>
          </cell>
          <cell r="O243">
            <v>0</v>
          </cell>
          <cell r="P243">
            <v>0</v>
          </cell>
        </row>
        <row r="244">
          <cell r="M244">
            <v>301</v>
          </cell>
          <cell r="N244">
            <v>88.441104303103472</v>
          </cell>
          <cell r="O244">
            <v>0</v>
          </cell>
          <cell r="P244">
            <v>0</v>
          </cell>
        </row>
        <row r="245">
          <cell r="M245">
            <v>302</v>
          </cell>
          <cell r="N245">
            <v>110.76280840586209</v>
          </cell>
          <cell r="O245">
            <v>0</v>
          </cell>
          <cell r="P245">
            <v>0</v>
          </cell>
        </row>
        <row r="246">
          <cell r="M246">
            <v>303</v>
          </cell>
          <cell r="N246">
            <v>66.957395192068972</v>
          </cell>
          <cell r="O246">
            <v>0</v>
          </cell>
          <cell r="P246">
            <v>0</v>
          </cell>
        </row>
        <row r="247">
          <cell r="M247">
            <v>304</v>
          </cell>
          <cell r="N247">
            <v>40.553742577586206</v>
          </cell>
          <cell r="O247">
            <v>0</v>
          </cell>
          <cell r="P247">
            <v>0</v>
          </cell>
        </row>
        <row r="248">
          <cell r="M248">
            <v>305</v>
          </cell>
          <cell r="N248">
            <v>157.53734359758624</v>
          </cell>
          <cell r="O248">
            <v>0</v>
          </cell>
          <cell r="P248">
            <v>0</v>
          </cell>
        </row>
        <row r="249">
          <cell r="M249">
            <v>307</v>
          </cell>
          <cell r="N249">
            <v>44.027953288275867</v>
          </cell>
          <cell r="O249">
            <v>0</v>
          </cell>
          <cell r="P249">
            <v>0</v>
          </cell>
        </row>
        <row r="250">
          <cell r="M250">
            <v>308</v>
          </cell>
          <cell r="N250">
            <v>320.14342251034469</v>
          </cell>
          <cell r="O250">
            <v>0</v>
          </cell>
          <cell r="P250">
            <v>0</v>
          </cell>
        </row>
        <row r="251">
          <cell r="M251">
            <v>309</v>
          </cell>
          <cell r="N251">
            <v>77.955564490344827</v>
          </cell>
          <cell r="O251">
            <v>0</v>
          </cell>
          <cell r="P251">
            <v>0</v>
          </cell>
        </row>
        <row r="252">
          <cell r="M252">
            <v>310</v>
          </cell>
          <cell r="N252">
            <v>57.177001523793102</v>
          </cell>
          <cell r="O252">
            <v>0</v>
          </cell>
          <cell r="P252">
            <v>0</v>
          </cell>
        </row>
        <row r="253">
          <cell r="M253">
            <v>311</v>
          </cell>
          <cell r="N253">
            <v>101.21868909068967</v>
          </cell>
          <cell r="O253">
            <v>0</v>
          </cell>
          <cell r="P253">
            <v>0</v>
          </cell>
        </row>
        <row r="254">
          <cell r="M254">
            <v>312</v>
          </cell>
          <cell r="N254">
            <v>145.97216613275859</v>
          </cell>
          <cell r="O254">
            <v>0</v>
          </cell>
          <cell r="P254">
            <v>0</v>
          </cell>
        </row>
        <row r="255">
          <cell r="M255">
            <v>313</v>
          </cell>
          <cell r="N255">
            <v>50.076877018275866</v>
          </cell>
          <cell r="O255">
            <v>0</v>
          </cell>
          <cell r="P255">
            <v>0</v>
          </cell>
        </row>
        <row r="256">
          <cell r="M256">
            <v>314</v>
          </cell>
          <cell r="N256">
            <v>14.068567959310345</v>
          </cell>
          <cell r="O256">
            <v>0</v>
          </cell>
          <cell r="P256">
            <v>0</v>
          </cell>
        </row>
        <row r="257">
          <cell r="M257">
            <v>315</v>
          </cell>
          <cell r="N257">
            <v>202.04084982137931</v>
          </cell>
          <cell r="O257">
            <v>0</v>
          </cell>
          <cell r="P257">
            <v>0</v>
          </cell>
        </row>
        <row r="258">
          <cell r="M258">
            <v>318</v>
          </cell>
          <cell r="N258">
            <v>28.525827243793096</v>
          </cell>
          <cell r="O258">
            <v>0</v>
          </cell>
          <cell r="P258">
            <v>0</v>
          </cell>
        </row>
        <row r="259">
          <cell r="M259">
            <v>319</v>
          </cell>
          <cell r="N259">
            <v>41.609937681724119</v>
          </cell>
          <cell r="O259">
            <v>0</v>
          </cell>
          <cell r="P259">
            <v>0</v>
          </cell>
        </row>
        <row r="260">
          <cell r="M260">
            <v>321</v>
          </cell>
          <cell r="N260">
            <v>19.168466646896544</v>
          </cell>
          <cell r="O260">
            <v>0</v>
          </cell>
          <cell r="P260">
            <v>0</v>
          </cell>
        </row>
        <row r="261">
          <cell r="M261">
            <v>322</v>
          </cell>
          <cell r="N261">
            <v>29.780035546206896</v>
          </cell>
          <cell r="O261">
            <v>0</v>
          </cell>
          <cell r="P261">
            <v>0</v>
          </cell>
        </row>
        <row r="262">
          <cell r="M262">
            <v>323</v>
          </cell>
          <cell r="N262">
            <v>158.95011864793102</v>
          </cell>
          <cell r="O262">
            <v>0</v>
          </cell>
          <cell r="P262">
            <v>0</v>
          </cell>
        </row>
        <row r="263">
          <cell r="M263">
            <v>324</v>
          </cell>
          <cell r="N263">
            <v>129.86662260586209</v>
          </cell>
          <cell r="O263">
            <v>0</v>
          </cell>
          <cell r="P263">
            <v>0</v>
          </cell>
        </row>
        <row r="264">
          <cell r="M264">
            <v>325</v>
          </cell>
          <cell r="N264">
            <v>24.54342881241379</v>
          </cell>
          <cell r="O264">
            <v>0</v>
          </cell>
          <cell r="P264">
            <v>0</v>
          </cell>
        </row>
        <row r="265">
          <cell r="M265">
            <v>326</v>
          </cell>
          <cell r="N265">
            <v>146.71853788482755</v>
          </cell>
          <cell r="O265">
            <v>0</v>
          </cell>
          <cell r="P265">
            <v>0</v>
          </cell>
        </row>
        <row r="266">
          <cell r="M266">
            <v>327</v>
          </cell>
          <cell r="N266">
            <v>71.394580143103454</v>
          </cell>
          <cell r="O266">
            <v>0</v>
          </cell>
          <cell r="P266">
            <v>0</v>
          </cell>
        </row>
        <row r="267">
          <cell r="M267">
            <v>328</v>
          </cell>
          <cell r="N267">
            <v>197.0975046937931</v>
          </cell>
          <cell r="O267">
            <v>0</v>
          </cell>
          <cell r="P267">
            <v>0</v>
          </cell>
        </row>
        <row r="268">
          <cell r="M268">
            <v>329</v>
          </cell>
          <cell r="N268">
            <v>23.891078394482754</v>
          </cell>
          <cell r="O268">
            <v>0</v>
          </cell>
          <cell r="P268">
            <v>0</v>
          </cell>
        </row>
        <row r="269">
          <cell r="M269">
            <v>331</v>
          </cell>
          <cell r="N269">
            <v>74.0854051386207</v>
          </cell>
          <cell r="O269">
            <v>0</v>
          </cell>
          <cell r="P269">
            <v>0</v>
          </cell>
        </row>
        <row r="270">
          <cell r="M270">
            <v>332</v>
          </cell>
          <cell r="N270">
            <v>115.23694616758621</v>
          </cell>
          <cell r="O270">
            <v>0</v>
          </cell>
          <cell r="P270">
            <v>0</v>
          </cell>
        </row>
        <row r="271">
          <cell r="M271">
            <v>334</v>
          </cell>
          <cell r="N271">
            <v>233.74153196068971</v>
          </cell>
          <cell r="O271">
            <v>0</v>
          </cell>
          <cell r="P271">
            <v>0</v>
          </cell>
        </row>
        <row r="272">
          <cell r="M272">
            <v>336</v>
          </cell>
          <cell r="N272">
            <v>56.991406851034483</v>
          </cell>
          <cell r="O272">
            <v>0</v>
          </cell>
          <cell r="P272">
            <v>0</v>
          </cell>
        </row>
        <row r="273">
          <cell r="M273">
            <v>337</v>
          </cell>
          <cell r="N273">
            <v>3.3354605968965525</v>
          </cell>
          <cell r="O273">
            <v>0</v>
          </cell>
          <cell r="P273">
            <v>0</v>
          </cell>
        </row>
        <row r="274">
          <cell r="M274">
            <v>338</v>
          </cell>
          <cell r="N274">
            <v>75.264072038275856</v>
          </cell>
          <cell r="O274">
            <v>0</v>
          </cell>
          <cell r="P274">
            <v>0</v>
          </cell>
        </row>
        <row r="275">
          <cell r="M275">
            <v>340</v>
          </cell>
          <cell r="N275">
            <v>117.20797836620689</v>
          </cell>
          <cell r="O275">
            <v>0</v>
          </cell>
          <cell r="P275">
            <v>0</v>
          </cell>
        </row>
        <row r="276">
          <cell r="M276">
            <v>341</v>
          </cell>
          <cell r="N276">
            <v>92.007918358275859</v>
          </cell>
          <cell r="O276">
            <v>0</v>
          </cell>
          <cell r="P276">
            <v>0</v>
          </cell>
        </row>
        <row r="277">
          <cell r="M277">
            <v>343</v>
          </cell>
          <cell r="N277">
            <v>301.19163858724141</v>
          </cell>
          <cell r="O277">
            <v>0</v>
          </cell>
          <cell r="P277">
            <v>0</v>
          </cell>
        </row>
        <row r="278">
          <cell r="M278">
            <v>344</v>
          </cell>
          <cell r="N278">
            <v>23.33295143172414</v>
          </cell>
          <cell r="O278">
            <v>0</v>
          </cell>
          <cell r="P278">
            <v>0</v>
          </cell>
        </row>
        <row r="279">
          <cell r="M279">
            <v>346</v>
          </cell>
          <cell r="N279">
            <v>101.15568368172416</v>
          </cell>
          <cell r="O279">
            <v>0</v>
          </cell>
          <cell r="P279">
            <v>0</v>
          </cell>
        </row>
        <row r="280">
          <cell r="M280">
            <v>347</v>
          </cell>
          <cell r="N280">
            <v>22.356147915862071</v>
          </cell>
          <cell r="O280">
            <v>0</v>
          </cell>
          <cell r="P280">
            <v>0</v>
          </cell>
        </row>
        <row r="281">
          <cell r="M281">
            <v>348</v>
          </cell>
          <cell r="N281">
            <v>100.26084986206898</v>
          </cell>
          <cell r="O281">
            <v>0</v>
          </cell>
          <cell r="P281">
            <v>0</v>
          </cell>
        </row>
        <row r="282">
          <cell r="M282">
            <v>349</v>
          </cell>
          <cell r="N282">
            <v>276.05442947448279</v>
          </cell>
          <cell r="O282">
            <v>0</v>
          </cell>
          <cell r="P282">
            <v>0</v>
          </cell>
        </row>
        <row r="283">
          <cell r="M283">
            <v>350</v>
          </cell>
          <cell r="N283">
            <v>419.57337454103441</v>
          </cell>
          <cell r="O283">
            <v>0</v>
          </cell>
          <cell r="P283">
            <v>0</v>
          </cell>
        </row>
        <row r="284">
          <cell r="M284">
            <v>351</v>
          </cell>
          <cell r="N284">
            <v>293.2775487624138</v>
          </cell>
          <cell r="O284">
            <v>0</v>
          </cell>
          <cell r="P284">
            <v>0</v>
          </cell>
        </row>
        <row r="285">
          <cell r="M285">
            <v>353</v>
          </cell>
          <cell r="N285">
            <v>66.376993548275863</v>
          </cell>
          <cell r="O285">
            <v>0</v>
          </cell>
          <cell r="P285">
            <v>0</v>
          </cell>
        </row>
        <row r="286">
          <cell r="M286">
            <v>354</v>
          </cell>
          <cell r="N286">
            <v>110.99221008551723</v>
          </cell>
          <cell r="O286">
            <v>0</v>
          </cell>
          <cell r="P286">
            <v>0</v>
          </cell>
        </row>
        <row r="287">
          <cell r="M287">
            <v>355</v>
          </cell>
          <cell r="N287">
            <v>476.14122745896566</v>
          </cell>
          <cell r="O287">
            <v>0</v>
          </cell>
          <cell r="P287">
            <v>0</v>
          </cell>
        </row>
        <row r="288">
          <cell r="M288">
            <v>357</v>
          </cell>
          <cell r="N288">
            <v>348.16786391103437</v>
          </cell>
          <cell r="O288">
            <v>0</v>
          </cell>
          <cell r="P288">
            <v>0</v>
          </cell>
        </row>
        <row r="289">
          <cell r="M289">
            <v>358</v>
          </cell>
          <cell r="N289">
            <v>126.27726864620686</v>
          </cell>
          <cell r="O289">
            <v>0</v>
          </cell>
          <cell r="P289">
            <v>0</v>
          </cell>
        </row>
        <row r="290">
          <cell r="M290">
            <v>359</v>
          </cell>
          <cell r="N290">
            <v>123.58675374827585</v>
          </cell>
          <cell r="O290">
            <v>0</v>
          </cell>
          <cell r="P290">
            <v>0</v>
          </cell>
        </row>
        <row r="291">
          <cell r="M291">
            <v>361</v>
          </cell>
          <cell r="N291">
            <v>321.31787077931034</v>
          </cell>
          <cell r="O291">
            <v>0</v>
          </cell>
          <cell r="P291">
            <v>0</v>
          </cell>
        </row>
        <row r="292">
          <cell r="M292">
            <v>363</v>
          </cell>
          <cell r="N292">
            <v>345.33379151310339</v>
          </cell>
          <cell r="O292">
            <v>0</v>
          </cell>
          <cell r="P292">
            <v>0</v>
          </cell>
        </row>
        <row r="293">
          <cell r="M293">
            <v>365</v>
          </cell>
          <cell r="N293">
            <v>118.7426557210345</v>
          </cell>
          <cell r="O293">
            <v>0</v>
          </cell>
          <cell r="P293">
            <v>0</v>
          </cell>
        </row>
        <row r="294">
          <cell r="M294">
            <v>366</v>
          </cell>
          <cell r="N294">
            <v>16.833573775862067</v>
          </cell>
          <cell r="O294">
            <v>0</v>
          </cell>
          <cell r="P294">
            <v>0</v>
          </cell>
        </row>
        <row r="295">
          <cell r="M295">
            <v>367</v>
          </cell>
          <cell r="N295">
            <v>166.33086026931031</v>
          </cell>
          <cell r="O295">
            <v>0</v>
          </cell>
          <cell r="P295">
            <v>0</v>
          </cell>
        </row>
        <row r="296">
          <cell r="M296">
            <v>369</v>
          </cell>
          <cell r="N296">
            <v>464.34448344862062</v>
          </cell>
          <cell r="O296">
            <v>0</v>
          </cell>
          <cell r="P296">
            <v>0</v>
          </cell>
        </row>
        <row r="297">
          <cell r="M297">
            <v>372</v>
          </cell>
          <cell r="N297">
            <v>96.189205760689646</v>
          </cell>
          <cell r="O297">
            <v>0</v>
          </cell>
          <cell r="P297">
            <v>0</v>
          </cell>
        </row>
        <row r="298">
          <cell r="M298">
            <v>373</v>
          </cell>
          <cell r="N298">
            <v>59.162037643793113</v>
          </cell>
          <cell r="O298">
            <v>0</v>
          </cell>
          <cell r="P298">
            <v>0</v>
          </cell>
        </row>
        <row r="299">
          <cell r="M299">
            <v>374</v>
          </cell>
          <cell r="N299">
            <v>49.690062957931033</v>
          </cell>
          <cell r="O299">
            <v>0</v>
          </cell>
          <cell r="P299">
            <v>0</v>
          </cell>
        </row>
        <row r="300">
          <cell r="M300">
            <v>375</v>
          </cell>
          <cell r="N300">
            <v>75.861955087931037</v>
          </cell>
          <cell r="O300">
            <v>0</v>
          </cell>
          <cell r="P300">
            <v>0</v>
          </cell>
        </row>
        <row r="301">
          <cell r="M301">
            <v>376</v>
          </cell>
          <cell r="N301">
            <v>44.128113563448274</v>
          </cell>
          <cell r="O301">
            <v>0</v>
          </cell>
          <cell r="P301">
            <v>0</v>
          </cell>
        </row>
        <row r="302">
          <cell r="M302">
            <v>378</v>
          </cell>
          <cell r="N302">
            <v>343.08885066448283</v>
          </cell>
          <cell r="O302">
            <v>0</v>
          </cell>
          <cell r="P302">
            <v>0</v>
          </cell>
        </row>
        <row r="303">
          <cell r="M303">
            <v>379</v>
          </cell>
          <cell r="N303">
            <v>69.747979895862073</v>
          </cell>
          <cell r="O303">
            <v>0</v>
          </cell>
          <cell r="P303">
            <v>0</v>
          </cell>
        </row>
        <row r="304">
          <cell r="M304">
            <v>381</v>
          </cell>
          <cell r="N304">
            <v>94.472893986551711</v>
          </cell>
          <cell r="O304">
            <v>0</v>
          </cell>
          <cell r="P304">
            <v>0</v>
          </cell>
        </row>
        <row r="305">
          <cell r="M305">
            <v>382</v>
          </cell>
          <cell r="N305">
            <v>60.93332780724139</v>
          </cell>
          <cell r="O305">
            <v>0</v>
          </cell>
          <cell r="P305">
            <v>0</v>
          </cell>
        </row>
        <row r="306">
          <cell r="M306">
            <v>383</v>
          </cell>
          <cell r="N306">
            <v>35.667167213793114</v>
          </cell>
          <cell r="O306">
            <v>0</v>
          </cell>
          <cell r="P306">
            <v>0</v>
          </cell>
        </row>
        <row r="307">
          <cell r="M307">
            <v>384</v>
          </cell>
          <cell r="N307">
            <v>63.614142927241389</v>
          </cell>
          <cell r="O307">
            <v>0</v>
          </cell>
          <cell r="P307">
            <v>0</v>
          </cell>
        </row>
        <row r="308">
          <cell r="M308">
            <v>385</v>
          </cell>
          <cell r="N308">
            <v>119.85896700689656</v>
          </cell>
          <cell r="O308">
            <v>0</v>
          </cell>
          <cell r="P308">
            <v>0</v>
          </cell>
        </row>
        <row r="309">
          <cell r="M309">
            <v>386</v>
          </cell>
          <cell r="N309">
            <v>555.47990604931033</v>
          </cell>
          <cell r="O309">
            <v>0</v>
          </cell>
          <cell r="P309">
            <v>0</v>
          </cell>
        </row>
        <row r="310">
          <cell r="M310">
            <v>387</v>
          </cell>
          <cell r="N310">
            <v>164.45193134896547</v>
          </cell>
          <cell r="O310">
            <v>0</v>
          </cell>
          <cell r="P310">
            <v>0</v>
          </cell>
        </row>
        <row r="311">
          <cell r="M311">
            <v>388</v>
          </cell>
          <cell r="N311">
            <v>62.120217828275891</v>
          </cell>
          <cell r="O311">
            <v>0</v>
          </cell>
          <cell r="P311">
            <v>0</v>
          </cell>
        </row>
        <row r="312">
          <cell r="M312">
            <v>392</v>
          </cell>
          <cell r="N312">
            <v>82.211045106206896</v>
          </cell>
          <cell r="O312">
            <v>0</v>
          </cell>
          <cell r="P312">
            <v>0</v>
          </cell>
        </row>
        <row r="313">
          <cell r="M313">
            <v>393</v>
          </cell>
          <cell r="N313">
            <v>91.687022092068958</v>
          </cell>
          <cell r="O313">
            <v>0</v>
          </cell>
          <cell r="P313">
            <v>0</v>
          </cell>
        </row>
        <row r="314">
          <cell r="M314">
            <v>394</v>
          </cell>
          <cell r="N314">
            <v>13.824634365862064</v>
          </cell>
          <cell r="O314">
            <v>0</v>
          </cell>
          <cell r="P314">
            <v>0</v>
          </cell>
        </row>
        <row r="315">
          <cell r="M315">
            <v>395</v>
          </cell>
          <cell r="N315">
            <v>139.36083821827586</v>
          </cell>
          <cell r="O315">
            <v>0</v>
          </cell>
          <cell r="P315">
            <v>0</v>
          </cell>
        </row>
        <row r="316">
          <cell r="M316">
            <v>396</v>
          </cell>
          <cell r="N316">
            <v>521.45478539689657</v>
          </cell>
          <cell r="O316">
            <v>0</v>
          </cell>
          <cell r="P316">
            <v>0</v>
          </cell>
        </row>
        <row r="317">
          <cell r="M317">
            <v>397</v>
          </cell>
          <cell r="N317">
            <v>142.41030302586208</v>
          </cell>
          <cell r="O317">
            <v>0</v>
          </cell>
          <cell r="P317">
            <v>0</v>
          </cell>
        </row>
        <row r="318">
          <cell r="M318">
            <v>398</v>
          </cell>
          <cell r="N318">
            <v>46.202459402068953</v>
          </cell>
          <cell r="O318">
            <v>0</v>
          </cell>
          <cell r="P318">
            <v>0</v>
          </cell>
        </row>
        <row r="319">
          <cell r="M319">
            <v>400</v>
          </cell>
          <cell r="N319">
            <v>681.97349992137947</v>
          </cell>
          <cell r="O319">
            <v>0</v>
          </cell>
          <cell r="P319">
            <v>0</v>
          </cell>
        </row>
        <row r="320">
          <cell r="M320">
            <v>401</v>
          </cell>
          <cell r="N320">
            <v>261.61436174448278</v>
          </cell>
          <cell r="O320">
            <v>0</v>
          </cell>
          <cell r="P320">
            <v>0</v>
          </cell>
        </row>
        <row r="321">
          <cell r="M321">
            <v>402</v>
          </cell>
          <cell r="N321">
            <v>142.13689888655182</v>
          </cell>
          <cell r="O321">
            <v>0</v>
          </cell>
          <cell r="P321">
            <v>0</v>
          </cell>
        </row>
        <row r="322">
          <cell r="M322">
            <v>403</v>
          </cell>
          <cell r="N322">
            <v>699.47586948275864</v>
          </cell>
          <cell r="O322">
            <v>0</v>
          </cell>
          <cell r="P322">
            <v>0</v>
          </cell>
        </row>
        <row r="323">
          <cell r="M323">
            <v>404</v>
          </cell>
          <cell r="N323">
            <v>793.27203822655167</v>
          </cell>
          <cell r="O323">
            <v>0</v>
          </cell>
          <cell r="P323">
            <v>0</v>
          </cell>
        </row>
        <row r="324">
          <cell r="M324">
            <v>405</v>
          </cell>
          <cell r="N324">
            <v>343.5386396168966</v>
          </cell>
          <cell r="O324">
            <v>0</v>
          </cell>
          <cell r="P324">
            <v>0</v>
          </cell>
        </row>
        <row r="325">
          <cell r="M325">
            <v>406</v>
          </cell>
          <cell r="N325">
            <v>426.91553880689668</v>
          </cell>
          <cell r="O325">
            <v>0</v>
          </cell>
          <cell r="P325">
            <v>0</v>
          </cell>
        </row>
        <row r="326">
          <cell r="M326">
            <v>407</v>
          </cell>
          <cell r="N326">
            <v>162.72964783103447</v>
          </cell>
          <cell r="O326">
            <v>0</v>
          </cell>
          <cell r="P326">
            <v>0</v>
          </cell>
        </row>
        <row r="327">
          <cell r="M327">
            <v>408</v>
          </cell>
          <cell r="N327">
            <v>176.19556763206896</v>
          </cell>
          <cell r="O327">
            <v>0</v>
          </cell>
          <cell r="P327">
            <v>0</v>
          </cell>
        </row>
        <row r="328">
          <cell r="M328">
            <v>409</v>
          </cell>
          <cell r="N328">
            <v>49.354413565517248</v>
          </cell>
          <cell r="O328">
            <v>0</v>
          </cell>
          <cell r="P328">
            <v>0</v>
          </cell>
        </row>
        <row r="329">
          <cell r="M329">
            <v>410</v>
          </cell>
          <cell r="N329">
            <v>82.441297022413792</v>
          </cell>
          <cell r="O329">
            <v>0</v>
          </cell>
          <cell r="P329">
            <v>0</v>
          </cell>
        </row>
        <row r="330">
          <cell r="M330">
            <v>411</v>
          </cell>
          <cell r="N330">
            <v>293.68873496413789</v>
          </cell>
          <cell r="O330">
            <v>0</v>
          </cell>
          <cell r="P330">
            <v>0</v>
          </cell>
        </row>
        <row r="331">
          <cell r="M331">
            <v>412</v>
          </cell>
          <cell r="N331">
            <v>444.85541140137934</v>
          </cell>
          <cell r="O331">
            <v>0</v>
          </cell>
          <cell r="P331">
            <v>0</v>
          </cell>
        </row>
        <row r="332">
          <cell r="M332">
            <v>413</v>
          </cell>
          <cell r="N332">
            <v>489.51797358724139</v>
          </cell>
          <cell r="O332">
            <v>0</v>
          </cell>
          <cell r="P332">
            <v>0</v>
          </cell>
        </row>
        <row r="333">
          <cell r="M333">
            <v>414</v>
          </cell>
          <cell r="N333">
            <v>274.43286980344828</v>
          </cell>
          <cell r="O333">
            <v>0</v>
          </cell>
          <cell r="P333">
            <v>0</v>
          </cell>
        </row>
        <row r="334">
          <cell r="M334">
            <v>415</v>
          </cell>
          <cell r="N334">
            <v>283.93844574275863</v>
          </cell>
          <cell r="O334">
            <v>0</v>
          </cell>
          <cell r="P334">
            <v>0</v>
          </cell>
        </row>
        <row r="335">
          <cell r="M335">
            <v>416</v>
          </cell>
          <cell r="N335">
            <v>647.85579354896527</v>
          </cell>
          <cell r="O335">
            <v>0</v>
          </cell>
          <cell r="P335">
            <v>0</v>
          </cell>
        </row>
        <row r="336">
          <cell r="M336">
            <v>417</v>
          </cell>
          <cell r="N336">
            <v>306.2178565462068</v>
          </cell>
          <cell r="O336">
            <v>0</v>
          </cell>
          <cell r="P336">
            <v>0</v>
          </cell>
        </row>
        <row r="337">
          <cell r="M337">
            <v>418</v>
          </cell>
          <cell r="N337">
            <v>204.18634556965515</v>
          </cell>
          <cell r="O337">
            <v>0</v>
          </cell>
          <cell r="P337">
            <v>0</v>
          </cell>
        </row>
        <row r="338">
          <cell r="M338">
            <v>419</v>
          </cell>
          <cell r="N338">
            <v>110.7433716665517</v>
          </cell>
          <cell r="O338">
            <v>0</v>
          </cell>
          <cell r="P338">
            <v>0</v>
          </cell>
        </row>
        <row r="339">
          <cell r="M339">
            <v>422</v>
          </cell>
          <cell r="N339">
            <v>230.95913515517239</v>
          </cell>
          <cell r="O339">
            <v>0</v>
          </cell>
          <cell r="P339">
            <v>0</v>
          </cell>
        </row>
        <row r="340">
          <cell r="M340">
            <v>423</v>
          </cell>
          <cell r="N340">
            <v>1307.3792668251724</v>
          </cell>
          <cell r="O340">
            <v>0</v>
          </cell>
          <cell r="P340">
            <v>0</v>
          </cell>
        </row>
        <row r="341">
          <cell r="M341">
            <v>425</v>
          </cell>
          <cell r="N341">
            <v>322.33658481586212</v>
          </cell>
          <cell r="O341">
            <v>0</v>
          </cell>
          <cell r="P341">
            <v>0</v>
          </cell>
        </row>
        <row r="342">
          <cell r="M342">
            <v>427</v>
          </cell>
          <cell r="N342">
            <v>328.2348911837932</v>
          </cell>
          <cell r="O342">
            <v>0</v>
          </cell>
          <cell r="P342">
            <v>0</v>
          </cell>
        </row>
        <row r="343">
          <cell r="M343">
            <v>428</v>
          </cell>
          <cell r="N343">
            <v>189.95511723206897</v>
          </cell>
          <cell r="O343">
            <v>0</v>
          </cell>
          <cell r="P343">
            <v>0</v>
          </cell>
        </row>
        <row r="344">
          <cell r="M344">
            <v>429</v>
          </cell>
          <cell r="N344">
            <v>123.02173984931035</v>
          </cell>
          <cell r="O344">
            <v>0</v>
          </cell>
          <cell r="P344">
            <v>0</v>
          </cell>
        </row>
        <row r="345">
          <cell r="M345">
            <v>430</v>
          </cell>
          <cell r="N345">
            <v>155.4373860817241</v>
          </cell>
          <cell r="O345">
            <v>0</v>
          </cell>
          <cell r="P345">
            <v>0</v>
          </cell>
        </row>
        <row r="346">
          <cell r="M346">
            <v>431</v>
          </cell>
          <cell r="N346">
            <v>466.8799915155173</v>
          </cell>
          <cell r="O346">
            <v>0</v>
          </cell>
          <cell r="P346">
            <v>0</v>
          </cell>
        </row>
        <row r="347">
          <cell r="M347">
            <v>432</v>
          </cell>
          <cell r="N347">
            <v>258.07279061310345</v>
          </cell>
          <cell r="O347">
            <v>0</v>
          </cell>
          <cell r="P347">
            <v>0</v>
          </cell>
        </row>
        <row r="348">
          <cell r="M348">
            <v>433</v>
          </cell>
          <cell r="N348">
            <v>92.690014589655178</v>
          </cell>
          <cell r="O348">
            <v>0</v>
          </cell>
          <cell r="P348">
            <v>0</v>
          </cell>
        </row>
        <row r="349">
          <cell r="M349">
            <v>434</v>
          </cell>
          <cell r="N349">
            <v>494.22949471793106</v>
          </cell>
          <cell r="O349">
            <v>0</v>
          </cell>
          <cell r="P349">
            <v>0</v>
          </cell>
        </row>
        <row r="350">
          <cell r="M350">
            <v>435</v>
          </cell>
          <cell r="N350">
            <v>120.74514621586208</v>
          </cell>
          <cell r="O350">
            <v>0</v>
          </cell>
          <cell r="P350">
            <v>0</v>
          </cell>
        </row>
        <row r="351">
          <cell r="M351">
            <v>436</v>
          </cell>
          <cell r="N351">
            <v>79.888821185517244</v>
          </cell>
          <cell r="O351">
            <v>0</v>
          </cell>
          <cell r="P351">
            <v>0</v>
          </cell>
        </row>
        <row r="352">
          <cell r="M352">
            <v>438</v>
          </cell>
          <cell r="N352">
            <v>83.975326002068925</v>
          </cell>
          <cell r="O352">
            <v>0</v>
          </cell>
          <cell r="P352">
            <v>0</v>
          </cell>
        </row>
        <row r="353">
          <cell r="M353">
            <v>439</v>
          </cell>
          <cell r="N353">
            <v>159.02682533931031</v>
          </cell>
          <cell r="O353">
            <v>0</v>
          </cell>
          <cell r="P353">
            <v>0</v>
          </cell>
        </row>
        <row r="354">
          <cell r="M354">
            <v>440</v>
          </cell>
          <cell r="N354">
            <v>443.7938748127587</v>
          </cell>
          <cell r="O354">
            <v>0</v>
          </cell>
          <cell r="P354">
            <v>0</v>
          </cell>
        </row>
        <row r="355">
          <cell r="M355">
            <v>441</v>
          </cell>
          <cell r="N355">
            <v>224.31007366965525</v>
          </cell>
          <cell r="O355">
            <v>0</v>
          </cell>
          <cell r="P355">
            <v>0</v>
          </cell>
        </row>
        <row r="356">
          <cell r="M356">
            <v>442</v>
          </cell>
          <cell r="N356">
            <v>524.06296646965507</v>
          </cell>
          <cell r="O356">
            <v>0</v>
          </cell>
          <cell r="P356">
            <v>0</v>
          </cell>
        </row>
        <row r="357">
          <cell r="M357">
            <v>444</v>
          </cell>
          <cell r="N357">
            <v>520.07709961793091</v>
          </cell>
          <cell r="O357">
            <v>0</v>
          </cell>
          <cell r="P357">
            <v>0</v>
          </cell>
        </row>
        <row r="358">
          <cell r="M358">
            <v>445</v>
          </cell>
          <cell r="N358">
            <v>308.1021459055172</v>
          </cell>
          <cell r="O358">
            <v>0</v>
          </cell>
          <cell r="P358">
            <v>0</v>
          </cell>
        </row>
        <row r="359">
          <cell r="M359">
            <v>446</v>
          </cell>
          <cell r="N359">
            <v>602.43212377931059</v>
          </cell>
          <cell r="O359">
            <v>0</v>
          </cell>
          <cell r="P359">
            <v>0</v>
          </cell>
        </row>
        <row r="360">
          <cell r="M360">
            <v>447</v>
          </cell>
          <cell r="N360">
            <v>316.42078704344823</v>
          </cell>
          <cell r="O360">
            <v>0</v>
          </cell>
          <cell r="P360">
            <v>0</v>
          </cell>
        </row>
        <row r="361">
          <cell r="M361">
            <v>448</v>
          </cell>
          <cell r="N361">
            <v>316.85994600931019</v>
          </cell>
          <cell r="O361">
            <v>0</v>
          </cell>
          <cell r="P361">
            <v>0</v>
          </cell>
        </row>
        <row r="362">
          <cell r="M362">
            <v>449</v>
          </cell>
          <cell r="N362">
            <v>330.5478198486208</v>
          </cell>
          <cell r="O362">
            <v>0</v>
          </cell>
          <cell r="P362">
            <v>0</v>
          </cell>
        </row>
        <row r="363">
          <cell r="M363">
            <v>450</v>
          </cell>
          <cell r="N363">
            <v>125.13539192241377</v>
          </cell>
          <cell r="O363">
            <v>0</v>
          </cell>
          <cell r="P363">
            <v>0</v>
          </cell>
        </row>
        <row r="364">
          <cell r="M364">
            <v>451</v>
          </cell>
          <cell r="N364">
            <v>84.96765375999999</v>
          </cell>
          <cell r="O364">
            <v>0</v>
          </cell>
          <cell r="P364">
            <v>0</v>
          </cell>
        </row>
        <row r="365">
          <cell r="M365">
            <v>453</v>
          </cell>
          <cell r="N365">
            <v>311.97948365482756</v>
          </cell>
          <cell r="O365">
            <v>0</v>
          </cell>
          <cell r="P365">
            <v>0</v>
          </cell>
        </row>
        <row r="366">
          <cell r="M366">
            <v>454</v>
          </cell>
          <cell r="N366">
            <v>188.15868306931034</v>
          </cell>
          <cell r="O366">
            <v>0</v>
          </cell>
          <cell r="P366">
            <v>0</v>
          </cell>
        </row>
        <row r="367">
          <cell r="M367">
            <v>455</v>
          </cell>
          <cell r="N367">
            <v>456.18979225482758</v>
          </cell>
          <cell r="O367">
            <v>0</v>
          </cell>
          <cell r="P367">
            <v>0</v>
          </cell>
        </row>
        <row r="368">
          <cell r="M368">
            <v>457</v>
          </cell>
          <cell r="N368">
            <v>451.43088724103438</v>
          </cell>
          <cell r="O368">
            <v>0</v>
          </cell>
          <cell r="P368">
            <v>0</v>
          </cell>
        </row>
        <row r="369">
          <cell r="M369">
            <v>458</v>
          </cell>
          <cell r="N369">
            <v>308.71326532310337</v>
          </cell>
          <cell r="O369">
            <v>0</v>
          </cell>
          <cell r="P369">
            <v>0</v>
          </cell>
        </row>
        <row r="370">
          <cell r="M370">
            <v>459</v>
          </cell>
          <cell r="N370">
            <v>155.39271018551722</v>
          </cell>
          <cell r="O370">
            <v>0</v>
          </cell>
          <cell r="P370">
            <v>0</v>
          </cell>
        </row>
        <row r="371">
          <cell r="M371">
            <v>460</v>
          </cell>
          <cell r="N371">
            <v>627.65167580172397</v>
          </cell>
          <cell r="O371">
            <v>0</v>
          </cell>
          <cell r="P371">
            <v>0</v>
          </cell>
        </row>
        <row r="372">
          <cell r="M372">
            <v>461</v>
          </cell>
          <cell r="N372">
            <v>147.14917265310345</v>
          </cell>
          <cell r="O372">
            <v>0</v>
          </cell>
          <cell r="P372">
            <v>0</v>
          </cell>
        </row>
        <row r="373">
          <cell r="M373">
            <v>462</v>
          </cell>
          <cell r="N373">
            <v>557.68453799310339</v>
          </cell>
          <cell r="O373">
            <v>0</v>
          </cell>
          <cell r="P373">
            <v>0</v>
          </cell>
        </row>
        <row r="374">
          <cell r="M374">
            <v>463</v>
          </cell>
          <cell r="N374">
            <v>584.41925943103456</v>
          </cell>
          <cell r="O374">
            <v>0</v>
          </cell>
          <cell r="P374">
            <v>0</v>
          </cell>
        </row>
        <row r="375">
          <cell r="M375">
            <v>464</v>
          </cell>
          <cell r="N375">
            <v>549.18406758896549</v>
          </cell>
          <cell r="O375">
            <v>0</v>
          </cell>
          <cell r="P375">
            <v>0</v>
          </cell>
        </row>
        <row r="376">
          <cell r="M376">
            <v>465</v>
          </cell>
          <cell r="N376">
            <v>135.56069059689651</v>
          </cell>
          <cell r="O376">
            <v>0</v>
          </cell>
          <cell r="P376">
            <v>0</v>
          </cell>
        </row>
        <row r="377">
          <cell r="M377">
            <v>466</v>
          </cell>
          <cell r="N377">
            <v>695.94258354517262</v>
          </cell>
          <cell r="O377">
            <v>0</v>
          </cell>
          <cell r="P377">
            <v>0</v>
          </cell>
        </row>
        <row r="378">
          <cell r="M378">
            <v>467</v>
          </cell>
          <cell r="N378">
            <v>79.376504595517233</v>
          </cell>
          <cell r="O378">
            <v>0</v>
          </cell>
          <cell r="P378">
            <v>0</v>
          </cell>
        </row>
        <row r="379">
          <cell r="M379">
            <v>468</v>
          </cell>
          <cell r="N379">
            <v>118.22340036482755</v>
          </cell>
          <cell r="O379">
            <v>0</v>
          </cell>
          <cell r="P379">
            <v>0</v>
          </cell>
        </row>
        <row r="380">
          <cell r="M380">
            <v>469</v>
          </cell>
          <cell r="N380">
            <v>364.36503364620683</v>
          </cell>
          <cell r="O380">
            <v>0</v>
          </cell>
          <cell r="P380">
            <v>0</v>
          </cell>
        </row>
        <row r="381">
          <cell r="M381">
            <v>470</v>
          </cell>
          <cell r="N381">
            <v>275.32723811448267</v>
          </cell>
          <cell r="O381">
            <v>0</v>
          </cell>
          <cell r="P381">
            <v>0</v>
          </cell>
        </row>
        <row r="382">
          <cell r="M382">
            <v>472</v>
          </cell>
          <cell r="N382">
            <v>442.66215172172394</v>
          </cell>
          <cell r="O382">
            <v>0</v>
          </cell>
          <cell r="P382">
            <v>0</v>
          </cell>
        </row>
        <row r="383">
          <cell r="M383">
            <v>473</v>
          </cell>
          <cell r="N383">
            <v>207.57838823620691</v>
          </cell>
          <cell r="O383">
            <v>0</v>
          </cell>
          <cell r="P383">
            <v>0</v>
          </cell>
        </row>
        <row r="384">
          <cell r="M384">
            <v>475</v>
          </cell>
          <cell r="N384">
            <v>200.1523139448276</v>
          </cell>
          <cell r="O384">
            <v>0</v>
          </cell>
          <cell r="P384">
            <v>0</v>
          </cell>
        </row>
        <row r="385">
          <cell r="M385">
            <v>476</v>
          </cell>
          <cell r="N385">
            <v>230.51727534896551</v>
          </cell>
          <cell r="O385">
            <v>0</v>
          </cell>
          <cell r="P385">
            <v>0</v>
          </cell>
        </row>
        <row r="386">
          <cell r="M386">
            <v>477</v>
          </cell>
          <cell r="N386">
            <v>236.55379794310343</v>
          </cell>
          <cell r="O386">
            <v>0</v>
          </cell>
          <cell r="P386">
            <v>0</v>
          </cell>
        </row>
        <row r="387">
          <cell r="M387">
            <v>478</v>
          </cell>
          <cell r="N387">
            <v>269.53716414241387</v>
          </cell>
          <cell r="O387">
            <v>0</v>
          </cell>
          <cell r="P387">
            <v>0</v>
          </cell>
        </row>
        <row r="388">
          <cell r="M388">
            <v>480</v>
          </cell>
          <cell r="N388">
            <v>594.9844600717239</v>
          </cell>
          <cell r="O388">
            <v>0</v>
          </cell>
          <cell r="P388">
            <v>0</v>
          </cell>
        </row>
        <row r="389">
          <cell r="M389">
            <v>481</v>
          </cell>
          <cell r="N389">
            <v>179.69618846206896</v>
          </cell>
          <cell r="O389">
            <v>0</v>
          </cell>
          <cell r="P389">
            <v>0</v>
          </cell>
        </row>
        <row r="390">
          <cell r="M390">
            <v>482</v>
          </cell>
          <cell r="N390">
            <v>112.07309750965518</v>
          </cell>
          <cell r="O390">
            <v>0</v>
          </cell>
          <cell r="P390">
            <v>0</v>
          </cell>
        </row>
        <row r="391">
          <cell r="M391">
            <v>483</v>
          </cell>
          <cell r="N391">
            <v>301.41783179517245</v>
          </cell>
          <cell r="O391">
            <v>0</v>
          </cell>
          <cell r="P391">
            <v>0</v>
          </cell>
        </row>
        <row r="392">
          <cell r="M392">
            <v>484</v>
          </cell>
          <cell r="N392">
            <v>5.861047394827585</v>
          </cell>
          <cell r="O392">
            <v>0</v>
          </cell>
          <cell r="P392">
            <v>0</v>
          </cell>
        </row>
        <row r="393">
          <cell r="M393">
            <v>486</v>
          </cell>
          <cell r="N393">
            <v>162.1178562262069</v>
          </cell>
          <cell r="O393">
            <v>0</v>
          </cell>
          <cell r="P393">
            <v>0</v>
          </cell>
        </row>
        <row r="394">
          <cell r="M394">
            <v>487</v>
          </cell>
          <cell r="N394">
            <v>338.70637824655165</v>
          </cell>
          <cell r="O394">
            <v>0</v>
          </cell>
          <cell r="P394">
            <v>0</v>
          </cell>
        </row>
        <row r="395">
          <cell r="M395">
            <v>488</v>
          </cell>
          <cell r="N395">
            <v>502.69419735344832</v>
          </cell>
          <cell r="O395">
            <v>0</v>
          </cell>
          <cell r="P395">
            <v>0</v>
          </cell>
        </row>
        <row r="396">
          <cell r="M396">
            <v>489</v>
          </cell>
          <cell r="N396">
            <v>1154.1924017827585</v>
          </cell>
          <cell r="O396">
            <v>0</v>
          </cell>
          <cell r="P396">
            <v>0</v>
          </cell>
        </row>
        <row r="397">
          <cell r="M397">
            <v>490</v>
          </cell>
          <cell r="N397">
            <v>565.52221805137958</v>
          </cell>
          <cell r="O397">
            <v>0</v>
          </cell>
          <cell r="P397">
            <v>0</v>
          </cell>
        </row>
        <row r="398">
          <cell r="M398">
            <v>491</v>
          </cell>
          <cell r="N398">
            <v>33.943336736551721</v>
          </cell>
          <cell r="O398">
            <v>0</v>
          </cell>
          <cell r="P398">
            <v>0</v>
          </cell>
        </row>
        <row r="399">
          <cell r="M399">
            <v>492</v>
          </cell>
          <cell r="N399">
            <v>211.16546873068961</v>
          </cell>
          <cell r="O399">
            <v>0</v>
          </cell>
          <cell r="P399">
            <v>0</v>
          </cell>
        </row>
        <row r="400">
          <cell r="M400">
            <v>493</v>
          </cell>
          <cell r="N400">
            <v>495.0729432710346</v>
          </cell>
          <cell r="O400">
            <v>0</v>
          </cell>
          <cell r="P400">
            <v>0</v>
          </cell>
        </row>
        <row r="401">
          <cell r="M401">
            <v>495</v>
          </cell>
          <cell r="N401">
            <v>54.108176530000009</v>
          </cell>
          <cell r="O401">
            <v>0</v>
          </cell>
          <cell r="P401">
            <v>0</v>
          </cell>
        </row>
        <row r="402">
          <cell r="M402">
            <v>496</v>
          </cell>
          <cell r="N402">
            <v>83.488799883793092</v>
          </cell>
          <cell r="O402">
            <v>0</v>
          </cell>
          <cell r="P402">
            <v>0</v>
          </cell>
        </row>
        <row r="403">
          <cell r="M403">
            <v>498</v>
          </cell>
          <cell r="N403">
            <v>329.67842493827595</v>
          </cell>
          <cell r="O403">
            <v>0</v>
          </cell>
          <cell r="P403">
            <v>0</v>
          </cell>
        </row>
        <row r="404">
          <cell r="M404">
            <v>499</v>
          </cell>
          <cell r="N404">
            <v>119.35102339344829</v>
          </cell>
          <cell r="O404">
            <v>0</v>
          </cell>
          <cell r="P404">
            <v>0</v>
          </cell>
        </row>
        <row r="405">
          <cell r="M405">
            <v>502</v>
          </cell>
          <cell r="N405">
            <v>622.76515313586208</v>
          </cell>
          <cell r="O405">
            <v>0</v>
          </cell>
          <cell r="P405">
            <v>0</v>
          </cell>
        </row>
        <row r="406">
          <cell r="M406">
            <v>503</v>
          </cell>
          <cell r="N406">
            <v>287.25232547655173</v>
          </cell>
          <cell r="O406">
            <v>0</v>
          </cell>
          <cell r="P406">
            <v>0</v>
          </cell>
        </row>
        <row r="407">
          <cell r="M407">
            <v>504</v>
          </cell>
          <cell r="N407">
            <v>1410.6952607982762</v>
          </cell>
          <cell r="O407">
            <v>0</v>
          </cell>
          <cell r="P407">
            <v>0</v>
          </cell>
        </row>
        <row r="408">
          <cell r="M408">
            <v>505</v>
          </cell>
          <cell r="N408">
            <v>226.60634754758615</v>
          </cell>
          <cell r="O408">
            <v>0</v>
          </cell>
          <cell r="P408">
            <v>0</v>
          </cell>
        </row>
        <row r="409">
          <cell r="M409">
            <v>506</v>
          </cell>
          <cell r="N409">
            <v>439.70501638310338</v>
          </cell>
          <cell r="O409">
            <v>0</v>
          </cell>
          <cell r="P409">
            <v>0</v>
          </cell>
        </row>
        <row r="410">
          <cell r="M410">
            <v>507</v>
          </cell>
          <cell r="N410">
            <v>139.28243923344829</v>
          </cell>
          <cell r="O410">
            <v>0</v>
          </cell>
          <cell r="P410">
            <v>0</v>
          </cell>
        </row>
        <row r="411">
          <cell r="M411">
            <v>508</v>
          </cell>
          <cell r="N411">
            <v>118.77848473000003</v>
          </cell>
          <cell r="O411">
            <v>0</v>
          </cell>
          <cell r="P411">
            <v>0</v>
          </cell>
        </row>
        <row r="412">
          <cell r="M412">
            <v>509</v>
          </cell>
          <cell r="N412">
            <v>168.87411177068969</v>
          </cell>
          <cell r="O412">
            <v>0</v>
          </cell>
          <cell r="P412">
            <v>0</v>
          </cell>
        </row>
        <row r="413">
          <cell r="M413">
            <v>510</v>
          </cell>
          <cell r="N413">
            <v>280.71204100344829</v>
          </cell>
          <cell r="O413">
            <v>0</v>
          </cell>
          <cell r="P413">
            <v>0</v>
          </cell>
        </row>
        <row r="414">
          <cell r="M414">
            <v>514</v>
          </cell>
          <cell r="N414">
            <v>37.944961991724135</v>
          </cell>
          <cell r="O414">
            <v>0</v>
          </cell>
          <cell r="P414">
            <v>0</v>
          </cell>
        </row>
        <row r="415">
          <cell r="M415">
            <v>516</v>
          </cell>
          <cell r="N415">
            <v>251.34611376172418</v>
          </cell>
          <cell r="O415">
            <v>0</v>
          </cell>
          <cell r="P415">
            <v>0</v>
          </cell>
        </row>
        <row r="416">
          <cell r="M416">
            <v>517</v>
          </cell>
          <cell r="N416">
            <v>187.62756278620691</v>
          </cell>
          <cell r="O416">
            <v>0</v>
          </cell>
          <cell r="P416">
            <v>0</v>
          </cell>
        </row>
        <row r="417">
          <cell r="M417">
            <v>518</v>
          </cell>
          <cell r="N417">
            <v>471.62883764344821</v>
          </cell>
          <cell r="O417">
            <v>0</v>
          </cell>
          <cell r="P417">
            <v>0</v>
          </cell>
        </row>
        <row r="418">
          <cell r="M418">
            <v>519</v>
          </cell>
          <cell r="N418">
            <v>523.99510401517239</v>
          </cell>
          <cell r="O418">
            <v>0</v>
          </cell>
          <cell r="P418">
            <v>0</v>
          </cell>
        </row>
        <row r="419">
          <cell r="M419">
            <v>522</v>
          </cell>
          <cell r="N419">
            <v>509.43201477034495</v>
          </cell>
          <cell r="O419">
            <v>0</v>
          </cell>
          <cell r="P419">
            <v>0</v>
          </cell>
        </row>
        <row r="420">
          <cell r="M420">
            <v>523</v>
          </cell>
          <cell r="N420">
            <v>467.65636594344824</v>
          </cell>
          <cell r="O420">
            <v>0</v>
          </cell>
          <cell r="P420">
            <v>0</v>
          </cell>
        </row>
        <row r="421">
          <cell r="M421">
            <v>524</v>
          </cell>
          <cell r="N421">
            <v>118.30609479310343</v>
          </cell>
          <cell r="O421">
            <v>0</v>
          </cell>
          <cell r="P421">
            <v>0</v>
          </cell>
        </row>
        <row r="422">
          <cell r="M422">
            <v>525</v>
          </cell>
          <cell r="N422">
            <v>94.750565195172413</v>
          </cell>
          <cell r="O422">
            <v>0</v>
          </cell>
          <cell r="P422">
            <v>0</v>
          </cell>
        </row>
        <row r="423">
          <cell r="M423">
            <v>526</v>
          </cell>
          <cell r="N423">
            <v>1416.9966377565515</v>
          </cell>
          <cell r="O423">
            <v>0</v>
          </cell>
          <cell r="P423">
            <v>0</v>
          </cell>
        </row>
        <row r="424">
          <cell r="M424">
            <v>527</v>
          </cell>
          <cell r="N424">
            <v>208.858780127931</v>
          </cell>
          <cell r="O424">
            <v>0</v>
          </cell>
          <cell r="P424">
            <v>0</v>
          </cell>
        </row>
        <row r="425">
          <cell r="M425">
            <v>530</v>
          </cell>
          <cell r="N425">
            <v>129.58888511827587</v>
          </cell>
          <cell r="O425">
            <v>0</v>
          </cell>
          <cell r="P425">
            <v>0</v>
          </cell>
        </row>
        <row r="426">
          <cell r="M426">
            <v>532</v>
          </cell>
          <cell r="N426">
            <v>295.94915937448275</v>
          </cell>
          <cell r="O426">
            <v>0</v>
          </cell>
          <cell r="P426">
            <v>0</v>
          </cell>
        </row>
        <row r="427">
          <cell r="M427">
            <v>533</v>
          </cell>
          <cell r="N427">
            <v>240.11174129379313</v>
          </cell>
          <cell r="O427">
            <v>0</v>
          </cell>
          <cell r="P427">
            <v>0</v>
          </cell>
        </row>
        <row r="428">
          <cell r="M428">
            <v>534</v>
          </cell>
          <cell r="N428">
            <v>485.84588701965515</v>
          </cell>
          <cell r="O428">
            <v>0</v>
          </cell>
          <cell r="P428">
            <v>0</v>
          </cell>
        </row>
        <row r="429">
          <cell r="M429">
            <v>535</v>
          </cell>
          <cell r="N429">
            <v>366.85741936965513</v>
          </cell>
          <cell r="O429">
            <v>0</v>
          </cell>
          <cell r="P429">
            <v>0</v>
          </cell>
        </row>
        <row r="430">
          <cell r="M430">
            <v>536</v>
          </cell>
          <cell r="N430">
            <v>441.27061468275866</v>
          </cell>
          <cell r="O430">
            <v>0</v>
          </cell>
          <cell r="P430">
            <v>0</v>
          </cell>
        </row>
        <row r="431">
          <cell r="M431">
            <v>537</v>
          </cell>
          <cell r="N431">
            <v>134.13899968034482</v>
          </cell>
          <cell r="O431">
            <v>0</v>
          </cell>
          <cell r="P431">
            <v>0</v>
          </cell>
        </row>
        <row r="432">
          <cell r="M432">
            <v>538</v>
          </cell>
          <cell r="N432">
            <v>142.04143932724136</v>
          </cell>
          <cell r="O432">
            <v>0</v>
          </cell>
          <cell r="P432">
            <v>0</v>
          </cell>
        </row>
        <row r="433">
          <cell r="M433">
            <v>539</v>
          </cell>
          <cell r="N433">
            <v>49.508421873103458</v>
          </cell>
          <cell r="O433">
            <v>0</v>
          </cell>
          <cell r="P433">
            <v>0</v>
          </cell>
        </row>
        <row r="434">
          <cell r="M434">
            <v>541</v>
          </cell>
          <cell r="N434">
            <v>957.931325945862</v>
          </cell>
          <cell r="O434">
            <v>0</v>
          </cell>
          <cell r="P434">
            <v>0</v>
          </cell>
        </row>
        <row r="435">
          <cell r="M435">
            <v>543</v>
          </cell>
          <cell r="N435">
            <v>320.43513129862066</v>
          </cell>
          <cell r="O435">
            <v>0</v>
          </cell>
          <cell r="P435">
            <v>0</v>
          </cell>
        </row>
        <row r="436">
          <cell r="M436">
            <v>545</v>
          </cell>
          <cell r="N436">
            <v>898.89372839310363</v>
          </cell>
          <cell r="O436">
            <v>0</v>
          </cell>
          <cell r="P436">
            <v>0</v>
          </cell>
        </row>
        <row r="437">
          <cell r="M437">
            <v>546</v>
          </cell>
          <cell r="N437">
            <v>106.06142552137932</v>
          </cell>
          <cell r="O437">
            <v>0</v>
          </cell>
          <cell r="P437">
            <v>0</v>
          </cell>
        </row>
        <row r="438">
          <cell r="M438">
            <v>547</v>
          </cell>
          <cell r="N438">
            <v>132.66048936172416</v>
          </cell>
          <cell r="O438">
            <v>0</v>
          </cell>
          <cell r="P438">
            <v>0</v>
          </cell>
        </row>
        <row r="439">
          <cell r="M439">
            <v>548</v>
          </cell>
          <cell r="N439">
            <v>36.205636767586213</v>
          </cell>
          <cell r="O439">
            <v>0</v>
          </cell>
          <cell r="P439">
            <v>0</v>
          </cell>
        </row>
        <row r="440">
          <cell r="M440">
            <v>549</v>
          </cell>
          <cell r="N440">
            <v>87.534109433103453</v>
          </cell>
          <cell r="O440">
            <v>0</v>
          </cell>
          <cell r="P440">
            <v>0</v>
          </cell>
        </row>
        <row r="441">
          <cell r="M441">
            <v>550</v>
          </cell>
          <cell r="N441">
            <v>454.13288565379304</v>
          </cell>
          <cell r="O441">
            <v>0</v>
          </cell>
          <cell r="P441">
            <v>0</v>
          </cell>
        </row>
        <row r="442">
          <cell r="M442">
            <v>551</v>
          </cell>
          <cell r="N442">
            <v>251.01250149310354</v>
          </cell>
          <cell r="O442">
            <v>0</v>
          </cell>
          <cell r="P442">
            <v>0</v>
          </cell>
        </row>
        <row r="443">
          <cell r="M443">
            <v>552</v>
          </cell>
          <cell r="N443">
            <v>435.43904554965496</v>
          </cell>
          <cell r="O443">
            <v>0</v>
          </cell>
          <cell r="P443">
            <v>0</v>
          </cell>
        </row>
        <row r="444">
          <cell r="M444">
            <v>554</v>
          </cell>
          <cell r="N444">
            <v>369.20068967517221</v>
          </cell>
          <cell r="O444">
            <v>0</v>
          </cell>
          <cell r="P444">
            <v>0</v>
          </cell>
        </row>
        <row r="445">
          <cell r="M445">
            <v>556</v>
          </cell>
          <cell r="N445">
            <v>344.92118822965517</v>
          </cell>
          <cell r="O445">
            <v>0</v>
          </cell>
          <cell r="P445">
            <v>0</v>
          </cell>
        </row>
        <row r="446">
          <cell r="M446">
            <v>557</v>
          </cell>
          <cell r="N446">
            <v>426.81932600655176</v>
          </cell>
          <cell r="O446">
            <v>0</v>
          </cell>
          <cell r="P446">
            <v>0</v>
          </cell>
        </row>
        <row r="447">
          <cell r="M447">
            <v>558</v>
          </cell>
          <cell r="N447">
            <v>266.50393034724135</v>
          </cell>
          <cell r="O447">
            <v>0</v>
          </cell>
          <cell r="P447">
            <v>0</v>
          </cell>
        </row>
        <row r="448">
          <cell r="M448">
            <v>559</v>
          </cell>
          <cell r="N448">
            <v>142.65506669103451</v>
          </cell>
          <cell r="O448">
            <v>0</v>
          </cell>
          <cell r="P448">
            <v>0</v>
          </cell>
        </row>
        <row r="449">
          <cell r="M449">
            <v>560</v>
          </cell>
          <cell r="N449">
            <v>217.18201883793103</v>
          </cell>
          <cell r="O449">
            <v>0</v>
          </cell>
          <cell r="P449">
            <v>0</v>
          </cell>
        </row>
        <row r="450">
          <cell r="M450">
            <v>561</v>
          </cell>
          <cell r="N450">
            <v>117.78643867448275</v>
          </cell>
          <cell r="O450">
            <v>0</v>
          </cell>
          <cell r="P450">
            <v>0</v>
          </cell>
        </row>
        <row r="451">
          <cell r="M451">
            <v>562</v>
          </cell>
          <cell r="N451">
            <v>97.718829341379305</v>
          </cell>
          <cell r="O451">
            <v>0</v>
          </cell>
          <cell r="P451">
            <v>0</v>
          </cell>
        </row>
        <row r="452">
          <cell r="M452">
            <v>563</v>
          </cell>
          <cell r="N452">
            <v>106.8744715013793</v>
          </cell>
          <cell r="O452">
            <v>0</v>
          </cell>
          <cell r="P452">
            <v>0</v>
          </cell>
        </row>
        <row r="453">
          <cell r="M453">
            <v>565</v>
          </cell>
          <cell r="N453">
            <v>151.86488218689655</v>
          </cell>
          <cell r="O453">
            <v>0</v>
          </cell>
          <cell r="P453">
            <v>0</v>
          </cell>
        </row>
        <row r="454">
          <cell r="M454">
            <v>566</v>
          </cell>
          <cell r="N454">
            <v>270.34060956000002</v>
          </cell>
          <cell r="O454">
            <v>0</v>
          </cell>
          <cell r="P454">
            <v>0</v>
          </cell>
        </row>
        <row r="455">
          <cell r="M455">
            <v>567</v>
          </cell>
          <cell r="N455">
            <v>217.11823467413791</v>
          </cell>
          <cell r="O455">
            <v>0</v>
          </cell>
          <cell r="P455">
            <v>0</v>
          </cell>
        </row>
        <row r="456">
          <cell r="M456">
            <v>568</v>
          </cell>
          <cell r="N456">
            <v>501.77071945034481</v>
          </cell>
          <cell r="O456">
            <v>0</v>
          </cell>
          <cell r="P456">
            <v>0</v>
          </cell>
        </row>
        <row r="457">
          <cell r="M457">
            <v>569</v>
          </cell>
          <cell r="N457">
            <v>58.251937028275862</v>
          </cell>
          <cell r="O457">
            <v>0</v>
          </cell>
          <cell r="P457">
            <v>0</v>
          </cell>
        </row>
        <row r="458">
          <cell r="M458">
            <v>570</v>
          </cell>
          <cell r="N458">
            <v>251.09464257965516</v>
          </cell>
          <cell r="O458">
            <v>0</v>
          </cell>
          <cell r="P458">
            <v>0</v>
          </cell>
        </row>
        <row r="459">
          <cell r="M459">
            <v>571</v>
          </cell>
          <cell r="N459">
            <v>30.211147796206891</v>
          </cell>
          <cell r="O459">
            <v>0</v>
          </cell>
          <cell r="P459">
            <v>0</v>
          </cell>
        </row>
        <row r="460">
          <cell r="M460">
            <v>575</v>
          </cell>
          <cell r="N460">
            <v>154.2155838051724</v>
          </cell>
          <cell r="O460">
            <v>0</v>
          </cell>
          <cell r="P460">
            <v>0</v>
          </cell>
        </row>
        <row r="461">
          <cell r="M461">
            <v>577</v>
          </cell>
          <cell r="N461">
            <v>53.482713374827597</v>
          </cell>
          <cell r="O461">
            <v>0</v>
          </cell>
          <cell r="P461">
            <v>0</v>
          </cell>
        </row>
        <row r="462">
          <cell r="M462">
            <v>579</v>
          </cell>
          <cell r="N462">
            <v>87.070795398965529</v>
          </cell>
          <cell r="O462">
            <v>0</v>
          </cell>
          <cell r="P462">
            <v>0</v>
          </cell>
        </row>
        <row r="463">
          <cell r="M463">
            <v>581</v>
          </cell>
          <cell r="N463">
            <v>225.53975453275865</v>
          </cell>
          <cell r="O463">
            <v>0</v>
          </cell>
          <cell r="P463">
            <v>0</v>
          </cell>
        </row>
        <row r="464">
          <cell r="M464">
            <v>582</v>
          </cell>
          <cell r="N464">
            <v>269.10184232620685</v>
          </cell>
          <cell r="O464">
            <v>0</v>
          </cell>
          <cell r="P464">
            <v>0</v>
          </cell>
        </row>
        <row r="465">
          <cell r="M465">
            <v>583</v>
          </cell>
          <cell r="N465">
            <v>229.69926114827581</v>
          </cell>
          <cell r="O465">
            <v>0</v>
          </cell>
          <cell r="P465">
            <v>0</v>
          </cell>
        </row>
        <row r="466">
          <cell r="M466">
            <v>585</v>
          </cell>
          <cell r="N466">
            <v>186.44932381482761</v>
          </cell>
          <cell r="O466">
            <v>0</v>
          </cell>
          <cell r="P466">
            <v>0</v>
          </cell>
        </row>
        <row r="467">
          <cell r="M467">
            <v>586</v>
          </cell>
          <cell r="N467">
            <v>94.86930400379309</v>
          </cell>
          <cell r="O467">
            <v>0</v>
          </cell>
          <cell r="P467">
            <v>0</v>
          </cell>
        </row>
        <row r="468">
          <cell r="M468">
            <v>587</v>
          </cell>
          <cell r="N468">
            <v>121.78199840172415</v>
          </cell>
          <cell r="O468">
            <v>0</v>
          </cell>
          <cell r="P468">
            <v>0</v>
          </cell>
        </row>
        <row r="469">
          <cell r="M469">
            <v>588</v>
          </cell>
          <cell r="N469">
            <v>265.34994590965522</v>
          </cell>
          <cell r="O469">
            <v>0</v>
          </cell>
          <cell r="P469">
            <v>0</v>
          </cell>
        </row>
        <row r="470">
          <cell r="M470">
            <v>589</v>
          </cell>
          <cell r="N470">
            <v>167.22952061275859</v>
          </cell>
          <cell r="O470">
            <v>0</v>
          </cell>
          <cell r="P470">
            <v>0</v>
          </cell>
        </row>
        <row r="471">
          <cell r="M471">
            <v>592</v>
          </cell>
          <cell r="N471">
            <v>326.96829345931036</v>
          </cell>
          <cell r="O471">
            <v>0</v>
          </cell>
          <cell r="P471">
            <v>0</v>
          </cell>
        </row>
        <row r="472">
          <cell r="M472">
            <v>593</v>
          </cell>
          <cell r="N472">
            <v>278.75715852448275</v>
          </cell>
          <cell r="O472">
            <v>0</v>
          </cell>
          <cell r="P472">
            <v>0</v>
          </cell>
        </row>
        <row r="473">
          <cell r="M473">
            <v>594</v>
          </cell>
          <cell r="N473">
            <v>631.18723368586211</v>
          </cell>
          <cell r="O473">
            <v>0</v>
          </cell>
          <cell r="P473">
            <v>0</v>
          </cell>
        </row>
        <row r="474">
          <cell r="M474">
            <v>595</v>
          </cell>
          <cell r="N474">
            <v>84.411518054137915</v>
          </cell>
          <cell r="O474">
            <v>0</v>
          </cell>
          <cell r="P474">
            <v>0</v>
          </cell>
        </row>
        <row r="475">
          <cell r="M475">
            <v>596</v>
          </cell>
          <cell r="N475">
            <v>605.76239711965525</v>
          </cell>
          <cell r="O475">
            <v>0</v>
          </cell>
          <cell r="P475">
            <v>0</v>
          </cell>
        </row>
        <row r="476">
          <cell r="M476">
            <v>599</v>
          </cell>
          <cell r="N476">
            <v>1272.9432759510341</v>
          </cell>
          <cell r="O476">
            <v>0</v>
          </cell>
          <cell r="P476">
            <v>0</v>
          </cell>
        </row>
        <row r="477">
          <cell r="M477">
            <v>601</v>
          </cell>
          <cell r="N477">
            <v>360.18768449862057</v>
          </cell>
          <cell r="O477">
            <v>0</v>
          </cell>
          <cell r="P477">
            <v>0</v>
          </cell>
        </row>
        <row r="478">
          <cell r="M478">
            <v>602</v>
          </cell>
          <cell r="N478">
            <v>3421.0668334993097</v>
          </cell>
          <cell r="O478">
            <v>0</v>
          </cell>
          <cell r="P478">
            <v>0</v>
          </cell>
        </row>
        <row r="479">
          <cell r="M479">
            <v>604</v>
          </cell>
          <cell r="N479">
            <v>396.31691885827593</v>
          </cell>
          <cell r="O479">
            <v>0</v>
          </cell>
          <cell r="P479">
            <v>0</v>
          </cell>
        </row>
        <row r="480">
          <cell r="M480">
            <v>605</v>
          </cell>
          <cell r="N480">
            <v>95.176714676551725</v>
          </cell>
          <cell r="O480">
            <v>0</v>
          </cell>
          <cell r="P480">
            <v>0</v>
          </cell>
        </row>
        <row r="481">
          <cell r="M481">
            <v>606</v>
          </cell>
          <cell r="N481">
            <v>2006.6943285431028</v>
          </cell>
          <cell r="O481">
            <v>0</v>
          </cell>
          <cell r="P481">
            <v>0</v>
          </cell>
        </row>
        <row r="482">
          <cell r="M482">
            <v>607</v>
          </cell>
          <cell r="N482">
            <v>414.64767438793109</v>
          </cell>
          <cell r="O482">
            <v>0</v>
          </cell>
          <cell r="P482">
            <v>0</v>
          </cell>
        </row>
        <row r="483">
          <cell r="M483">
            <v>609</v>
          </cell>
          <cell r="N483">
            <v>368.43238442862082</v>
          </cell>
          <cell r="O483">
            <v>0</v>
          </cell>
          <cell r="P483">
            <v>0</v>
          </cell>
        </row>
        <row r="484">
          <cell r="M484">
            <v>611</v>
          </cell>
          <cell r="N484">
            <v>292.68457163379321</v>
          </cell>
          <cell r="O484">
            <v>0</v>
          </cell>
          <cell r="P484">
            <v>0</v>
          </cell>
        </row>
        <row r="485">
          <cell r="M485">
            <v>612</v>
          </cell>
          <cell r="N485">
            <v>193.28172318793108</v>
          </cell>
          <cell r="O485">
            <v>0</v>
          </cell>
          <cell r="P485">
            <v>0</v>
          </cell>
        </row>
        <row r="486">
          <cell r="M486">
            <v>613</v>
          </cell>
          <cell r="N486">
            <v>78.945964066551724</v>
          </cell>
          <cell r="O486">
            <v>0</v>
          </cell>
          <cell r="P486">
            <v>0</v>
          </cell>
        </row>
        <row r="487">
          <cell r="M487">
            <v>614</v>
          </cell>
          <cell r="N487">
            <v>456.55537483034499</v>
          </cell>
          <cell r="O487">
            <v>0</v>
          </cell>
          <cell r="P487">
            <v>0</v>
          </cell>
        </row>
        <row r="488">
          <cell r="M488">
            <v>616</v>
          </cell>
          <cell r="N488">
            <v>355.40688125793099</v>
          </cell>
          <cell r="O488">
            <v>0</v>
          </cell>
          <cell r="P488">
            <v>0</v>
          </cell>
        </row>
        <row r="489">
          <cell r="M489">
            <v>617</v>
          </cell>
          <cell r="N489">
            <v>502.070825862069</v>
          </cell>
          <cell r="O489">
            <v>0</v>
          </cell>
          <cell r="P489">
            <v>0</v>
          </cell>
        </row>
        <row r="490">
          <cell r="M490">
            <v>618</v>
          </cell>
          <cell r="N490">
            <v>694.55577519896553</v>
          </cell>
          <cell r="O490">
            <v>0</v>
          </cell>
          <cell r="P490">
            <v>0</v>
          </cell>
        </row>
        <row r="491">
          <cell r="M491">
            <v>619</v>
          </cell>
          <cell r="N491">
            <v>39.212383284482762</v>
          </cell>
          <cell r="O491">
            <v>0</v>
          </cell>
          <cell r="P491">
            <v>0</v>
          </cell>
        </row>
        <row r="492">
          <cell r="M492">
            <v>620</v>
          </cell>
          <cell r="N492">
            <v>249.73759459620686</v>
          </cell>
          <cell r="O492">
            <v>0</v>
          </cell>
          <cell r="P492">
            <v>0</v>
          </cell>
        </row>
        <row r="493">
          <cell r="M493">
            <v>621</v>
          </cell>
          <cell r="N493">
            <v>448.34587895482747</v>
          </cell>
          <cell r="O493">
            <v>0</v>
          </cell>
          <cell r="P493">
            <v>0</v>
          </cell>
        </row>
        <row r="494">
          <cell r="M494">
            <v>622</v>
          </cell>
          <cell r="N494">
            <v>318.48195890379316</v>
          </cell>
          <cell r="O494">
            <v>0</v>
          </cell>
          <cell r="P494">
            <v>0</v>
          </cell>
        </row>
        <row r="495">
          <cell r="M495">
            <v>623</v>
          </cell>
          <cell r="N495">
            <v>63.908623455517223</v>
          </cell>
          <cell r="O495">
            <v>0</v>
          </cell>
          <cell r="P495">
            <v>0</v>
          </cell>
        </row>
        <row r="496">
          <cell r="M496">
            <v>624</v>
          </cell>
          <cell r="N496">
            <v>25.478464956206899</v>
          </cell>
          <cell r="O496">
            <v>0</v>
          </cell>
          <cell r="P496">
            <v>0</v>
          </cell>
        </row>
        <row r="497">
          <cell r="M497">
            <v>625</v>
          </cell>
          <cell r="N497">
            <v>150.38558575137935</v>
          </cell>
          <cell r="O497">
            <v>0</v>
          </cell>
          <cell r="P497">
            <v>0</v>
          </cell>
        </row>
        <row r="498">
          <cell r="M498">
            <v>626</v>
          </cell>
          <cell r="N498">
            <v>122.74689342896556</v>
          </cell>
          <cell r="O498">
            <v>0</v>
          </cell>
          <cell r="P498">
            <v>0</v>
          </cell>
        </row>
        <row r="499">
          <cell r="M499">
            <v>627</v>
          </cell>
          <cell r="N499">
            <v>66.975376103793096</v>
          </cell>
          <cell r="O499">
            <v>0</v>
          </cell>
          <cell r="P499">
            <v>0</v>
          </cell>
        </row>
        <row r="500">
          <cell r="M500">
            <v>631</v>
          </cell>
          <cell r="N500">
            <v>178.70519335896552</v>
          </cell>
          <cell r="O500">
            <v>0</v>
          </cell>
          <cell r="P500">
            <v>0</v>
          </cell>
        </row>
        <row r="501">
          <cell r="M501">
            <v>632</v>
          </cell>
          <cell r="N501">
            <v>301.69535365137926</v>
          </cell>
          <cell r="O501">
            <v>0</v>
          </cell>
          <cell r="P501">
            <v>0</v>
          </cell>
        </row>
        <row r="502">
          <cell r="M502">
            <v>634</v>
          </cell>
          <cell r="N502">
            <v>266.3621711624138</v>
          </cell>
          <cell r="O502">
            <v>0</v>
          </cell>
          <cell r="P502">
            <v>0</v>
          </cell>
        </row>
        <row r="503">
          <cell r="M503">
            <v>636</v>
          </cell>
          <cell r="N503">
            <v>144.98296296034479</v>
          </cell>
          <cell r="O503">
            <v>0</v>
          </cell>
          <cell r="P503">
            <v>0</v>
          </cell>
        </row>
        <row r="504">
          <cell r="M504">
            <v>637</v>
          </cell>
          <cell r="N504">
            <v>107.35522911517242</v>
          </cell>
          <cell r="O504">
            <v>0</v>
          </cell>
          <cell r="P504">
            <v>0</v>
          </cell>
        </row>
        <row r="505">
          <cell r="M505">
            <v>640</v>
          </cell>
          <cell r="N505">
            <v>467.704524545862</v>
          </cell>
          <cell r="O505">
            <v>0</v>
          </cell>
          <cell r="P505">
            <v>0</v>
          </cell>
        </row>
        <row r="506">
          <cell r="M506">
            <v>641</v>
          </cell>
          <cell r="N506">
            <v>129.30613464931037</v>
          </cell>
          <cell r="O506">
            <v>0</v>
          </cell>
          <cell r="P506">
            <v>0</v>
          </cell>
        </row>
        <row r="507">
          <cell r="M507">
            <v>642</v>
          </cell>
          <cell r="N507">
            <v>94.508023310689651</v>
          </cell>
          <cell r="O507">
            <v>0</v>
          </cell>
          <cell r="P507">
            <v>0</v>
          </cell>
        </row>
        <row r="508">
          <cell r="M508">
            <v>643</v>
          </cell>
          <cell r="N508">
            <v>27.71059715931035</v>
          </cell>
          <cell r="O508">
            <v>0</v>
          </cell>
          <cell r="P508">
            <v>0</v>
          </cell>
        </row>
        <row r="509">
          <cell r="M509">
            <v>644</v>
          </cell>
          <cell r="N509">
            <v>338.54937802896552</v>
          </cell>
          <cell r="O509">
            <v>0</v>
          </cell>
          <cell r="P509">
            <v>0</v>
          </cell>
        </row>
        <row r="510">
          <cell r="M510">
            <v>645</v>
          </cell>
          <cell r="N510">
            <v>135.50275925310345</v>
          </cell>
          <cell r="O510">
            <v>0</v>
          </cell>
          <cell r="P510">
            <v>0</v>
          </cell>
        </row>
        <row r="511">
          <cell r="M511">
            <v>646</v>
          </cell>
          <cell r="N511">
            <v>83.18473767827588</v>
          </cell>
          <cell r="O511">
            <v>0</v>
          </cell>
          <cell r="P511">
            <v>0</v>
          </cell>
        </row>
        <row r="512">
          <cell r="M512">
            <v>647</v>
          </cell>
          <cell r="N512">
            <v>120.195115624138</v>
          </cell>
          <cell r="O512">
            <v>0</v>
          </cell>
          <cell r="P512">
            <v>0</v>
          </cell>
        </row>
        <row r="513">
          <cell r="M513">
            <v>648</v>
          </cell>
          <cell r="N513">
            <v>63.533441669310356</v>
          </cell>
          <cell r="O513">
            <v>0</v>
          </cell>
          <cell r="P513">
            <v>0</v>
          </cell>
        </row>
        <row r="514">
          <cell r="M514">
            <v>649</v>
          </cell>
          <cell r="N514">
            <v>434.36439682965533</v>
          </cell>
          <cell r="O514">
            <v>0</v>
          </cell>
          <cell r="P514">
            <v>0</v>
          </cell>
        </row>
        <row r="515">
          <cell r="M515">
            <v>650</v>
          </cell>
          <cell r="N515">
            <v>86.399783363793091</v>
          </cell>
          <cell r="O515">
            <v>0</v>
          </cell>
          <cell r="P515">
            <v>0</v>
          </cell>
        </row>
        <row r="516">
          <cell r="M516">
            <v>653</v>
          </cell>
          <cell r="N516">
            <v>176.26614197965512</v>
          </cell>
          <cell r="O516">
            <v>0</v>
          </cell>
          <cell r="P516">
            <v>0</v>
          </cell>
        </row>
        <row r="517">
          <cell r="M517">
            <v>654</v>
          </cell>
          <cell r="N517">
            <v>79.929284945172427</v>
          </cell>
          <cell r="O517">
            <v>0</v>
          </cell>
          <cell r="P517">
            <v>0</v>
          </cell>
        </row>
        <row r="518">
          <cell r="M518">
            <v>655</v>
          </cell>
          <cell r="N518">
            <v>19.97227106137931</v>
          </cell>
          <cell r="O518">
            <v>0</v>
          </cell>
          <cell r="P518">
            <v>0</v>
          </cell>
        </row>
        <row r="519">
          <cell r="M519">
            <v>656</v>
          </cell>
          <cell r="N519">
            <v>124.25147437793103</v>
          </cell>
          <cell r="O519">
            <v>0</v>
          </cell>
          <cell r="P519">
            <v>0</v>
          </cell>
        </row>
        <row r="520">
          <cell r="M520">
            <v>657</v>
          </cell>
          <cell r="N520">
            <v>190.97832352965517</v>
          </cell>
          <cell r="O520">
            <v>0</v>
          </cell>
          <cell r="P520">
            <v>0</v>
          </cell>
        </row>
        <row r="521">
          <cell r="M521">
            <v>658</v>
          </cell>
          <cell r="N521">
            <v>889.71615237103435</v>
          </cell>
          <cell r="O521">
            <v>0</v>
          </cell>
          <cell r="P521">
            <v>0</v>
          </cell>
        </row>
        <row r="522">
          <cell r="M522">
            <v>659</v>
          </cell>
          <cell r="N522">
            <v>61.953605075862058</v>
          </cell>
          <cell r="O522">
            <v>0</v>
          </cell>
          <cell r="P522">
            <v>0</v>
          </cell>
        </row>
        <row r="523">
          <cell r="M523">
            <v>660</v>
          </cell>
          <cell r="N523">
            <v>208.57171395758616</v>
          </cell>
          <cell r="O523">
            <v>0</v>
          </cell>
          <cell r="P523">
            <v>0</v>
          </cell>
        </row>
        <row r="524">
          <cell r="M524">
            <v>662</v>
          </cell>
          <cell r="N524">
            <v>739.98502113310337</v>
          </cell>
          <cell r="O524">
            <v>0</v>
          </cell>
          <cell r="P524">
            <v>0</v>
          </cell>
        </row>
        <row r="525">
          <cell r="M525">
            <v>663</v>
          </cell>
          <cell r="N525">
            <v>390.46961425689653</v>
          </cell>
          <cell r="O525">
            <v>0</v>
          </cell>
          <cell r="P525">
            <v>0</v>
          </cell>
        </row>
        <row r="526">
          <cell r="M526">
            <v>664</v>
          </cell>
          <cell r="N526">
            <v>190.64554028931033</v>
          </cell>
          <cell r="O526">
            <v>0</v>
          </cell>
          <cell r="P526">
            <v>0</v>
          </cell>
        </row>
        <row r="527">
          <cell r="M527">
            <v>665</v>
          </cell>
          <cell r="N527">
            <v>25.047961648620692</v>
          </cell>
          <cell r="O527">
            <v>0</v>
          </cell>
          <cell r="P527">
            <v>0</v>
          </cell>
        </row>
        <row r="528">
          <cell r="M528">
            <v>666</v>
          </cell>
          <cell r="N528">
            <v>104.51803061896548</v>
          </cell>
          <cell r="O528">
            <v>0</v>
          </cell>
          <cell r="P528">
            <v>0</v>
          </cell>
        </row>
        <row r="529">
          <cell r="M529">
            <v>667</v>
          </cell>
          <cell r="N529">
            <v>41.660994908275853</v>
          </cell>
          <cell r="O529">
            <v>0</v>
          </cell>
          <cell r="P529">
            <v>0</v>
          </cell>
        </row>
        <row r="530">
          <cell r="M530">
            <v>668</v>
          </cell>
          <cell r="N530">
            <v>137.4937327758621</v>
          </cell>
          <cell r="O530">
            <v>0</v>
          </cell>
          <cell r="P530">
            <v>0</v>
          </cell>
        </row>
        <row r="531">
          <cell r="M531">
            <v>669</v>
          </cell>
          <cell r="N531">
            <v>130.7268620562069</v>
          </cell>
          <cell r="O531">
            <v>0</v>
          </cell>
          <cell r="P531">
            <v>0</v>
          </cell>
        </row>
        <row r="532">
          <cell r="M532">
            <v>670</v>
          </cell>
          <cell r="N532">
            <v>172.88173486724136</v>
          </cell>
          <cell r="O532">
            <v>0</v>
          </cell>
          <cell r="P532">
            <v>0</v>
          </cell>
        </row>
        <row r="533">
          <cell r="M533">
            <v>671</v>
          </cell>
          <cell r="N533">
            <v>65.680522661724154</v>
          </cell>
          <cell r="O533">
            <v>0</v>
          </cell>
          <cell r="P533">
            <v>0</v>
          </cell>
        </row>
        <row r="534">
          <cell r="M534">
            <v>672</v>
          </cell>
          <cell r="N534">
            <v>173.98872776482762</v>
          </cell>
          <cell r="O534">
            <v>0</v>
          </cell>
          <cell r="P534">
            <v>0</v>
          </cell>
        </row>
        <row r="535">
          <cell r="M535">
            <v>673</v>
          </cell>
          <cell r="N535">
            <v>38.343385154137934</v>
          </cell>
          <cell r="O535">
            <v>0</v>
          </cell>
          <cell r="P535">
            <v>0</v>
          </cell>
        </row>
        <row r="536">
          <cell r="M536">
            <v>674</v>
          </cell>
          <cell r="N536">
            <v>75.663050552758619</v>
          </cell>
          <cell r="O536">
            <v>0</v>
          </cell>
          <cell r="P536">
            <v>0</v>
          </cell>
        </row>
        <row r="537">
          <cell r="M537">
            <v>675</v>
          </cell>
          <cell r="N537">
            <v>609.13983397965524</v>
          </cell>
          <cell r="O537">
            <v>0</v>
          </cell>
          <cell r="P537">
            <v>0</v>
          </cell>
        </row>
        <row r="538">
          <cell r="M538">
            <v>676</v>
          </cell>
          <cell r="N538">
            <v>126.49643298724141</v>
          </cell>
          <cell r="O538">
            <v>0</v>
          </cell>
          <cell r="P538">
            <v>0</v>
          </cell>
        </row>
        <row r="539">
          <cell r="M539">
            <v>677</v>
          </cell>
          <cell r="N539">
            <v>202.76476649689653</v>
          </cell>
          <cell r="O539">
            <v>0</v>
          </cell>
          <cell r="P539">
            <v>0</v>
          </cell>
        </row>
        <row r="540">
          <cell r="M540">
            <v>678</v>
          </cell>
          <cell r="N540">
            <v>152.93587199517242</v>
          </cell>
          <cell r="O540">
            <v>0</v>
          </cell>
          <cell r="P540">
            <v>0</v>
          </cell>
        </row>
        <row r="541">
          <cell r="M541">
            <v>680</v>
          </cell>
          <cell r="N541">
            <v>70.175249957241348</v>
          </cell>
          <cell r="O541">
            <v>0</v>
          </cell>
          <cell r="P541">
            <v>0</v>
          </cell>
        </row>
        <row r="542">
          <cell r="M542">
            <v>682</v>
          </cell>
          <cell r="N542">
            <v>515.38108723931032</v>
          </cell>
          <cell r="O542">
            <v>0</v>
          </cell>
          <cell r="P542">
            <v>0</v>
          </cell>
        </row>
        <row r="543">
          <cell r="M543">
            <v>684</v>
          </cell>
          <cell r="N543">
            <v>60.465430513103442</v>
          </cell>
          <cell r="O543">
            <v>0</v>
          </cell>
          <cell r="P543">
            <v>0</v>
          </cell>
        </row>
        <row r="544">
          <cell r="M544">
            <v>686</v>
          </cell>
          <cell r="N544">
            <v>185.35331744965518</v>
          </cell>
          <cell r="O544">
            <v>0</v>
          </cell>
          <cell r="P544">
            <v>0</v>
          </cell>
        </row>
        <row r="545">
          <cell r="M545">
            <v>687</v>
          </cell>
          <cell r="N545">
            <v>102.8871831972414</v>
          </cell>
          <cell r="O545">
            <v>0</v>
          </cell>
          <cell r="P545">
            <v>0</v>
          </cell>
        </row>
        <row r="546">
          <cell r="M546">
            <v>688</v>
          </cell>
          <cell r="N546">
            <v>61.19204456931034</v>
          </cell>
          <cell r="O546">
            <v>0</v>
          </cell>
          <cell r="P546">
            <v>0</v>
          </cell>
        </row>
        <row r="547">
          <cell r="M547">
            <v>689</v>
          </cell>
          <cell r="N547">
            <v>81.977063579999992</v>
          </cell>
          <cell r="O547">
            <v>0</v>
          </cell>
          <cell r="P547">
            <v>0</v>
          </cell>
        </row>
        <row r="548">
          <cell r="M548">
            <v>690</v>
          </cell>
          <cell r="N548">
            <v>147.6789526748276</v>
          </cell>
          <cell r="O548">
            <v>0</v>
          </cell>
          <cell r="P548">
            <v>0</v>
          </cell>
        </row>
        <row r="549">
          <cell r="M549">
            <v>691</v>
          </cell>
          <cell r="N549">
            <v>48.420919093793117</v>
          </cell>
          <cell r="O549">
            <v>0</v>
          </cell>
          <cell r="P549">
            <v>0</v>
          </cell>
        </row>
        <row r="550">
          <cell r="M550">
            <v>692</v>
          </cell>
          <cell r="N550">
            <v>271.60021813413789</v>
          </cell>
          <cell r="O550">
            <v>0</v>
          </cell>
          <cell r="P550">
            <v>0</v>
          </cell>
        </row>
        <row r="551">
          <cell r="M551">
            <v>693</v>
          </cell>
          <cell r="N551">
            <v>236.40169893344827</v>
          </cell>
          <cell r="O551">
            <v>0</v>
          </cell>
          <cell r="P551">
            <v>0</v>
          </cell>
        </row>
        <row r="552">
          <cell r="M552">
            <v>694</v>
          </cell>
          <cell r="N552">
            <v>460.47478210241394</v>
          </cell>
          <cell r="O552">
            <v>0</v>
          </cell>
          <cell r="P552">
            <v>0</v>
          </cell>
        </row>
        <row r="553">
          <cell r="M553">
            <v>696</v>
          </cell>
          <cell r="N553">
            <v>302.41276908206902</v>
          </cell>
          <cell r="O553">
            <v>0</v>
          </cell>
          <cell r="P553">
            <v>0</v>
          </cell>
        </row>
        <row r="554">
          <cell r="M554">
            <v>697</v>
          </cell>
          <cell r="N554">
            <v>115.76888571862068</v>
          </cell>
          <cell r="O554">
            <v>0</v>
          </cell>
          <cell r="P554">
            <v>0</v>
          </cell>
        </row>
        <row r="555">
          <cell r="M555">
            <v>698</v>
          </cell>
          <cell r="N555">
            <v>173.46756404517242</v>
          </cell>
          <cell r="O555">
            <v>0</v>
          </cell>
          <cell r="P555">
            <v>0</v>
          </cell>
        </row>
        <row r="556">
          <cell r="M556">
            <v>786</v>
          </cell>
          <cell r="N556">
            <v>802.87747307551729</v>
          </cell>
          <cell r="O556">
            <v>0</v>
          </cell>
          <cell r="P556">
            <v>0</v>
          </cell>
        </row>
        <row r="557">
          <cell r="M557">
            <v>801</v>
          </cell>
          <cell r="N557">
            <v>365.81968101137932</v>
          </cell>
          <cell r="O557">
            <v>0</v>
          </cell>
          <cell r="P557">
            <v>0</v>
          </cell>
        </row>
        <row r="558">
          <cell r="M558">
            <v>802</v>
          </cell>
          <cell r="N558">
            <v>117.66897133896553</v>
          </cell>
          <cell r="O558">
            <v>0</v>
          </cell>
          <cell r="P558">
            <v>0</v>
          </cell>
        </row>
        <row r="559">
          <cell r="M559">
            <v>803</v>
          </cell>
          <cell r="N559">
            <v>378.06408068103457</v>
          </cell>
          <cell r="O559">
            <v>0</v>
          </cell>
          <cell r="P559">
            <v>0</v>
          </cell>
        </row>
        <row r="560">
          <cell r="M560">
            <v>804</v>
          </cell>
          <cell r="N560">
            <v>235.59770819344823</v>
          </cell>
          <cell r="O560">
            <v>0</v>
          </cell>
          <cell r="P560">
            <v>0</v>
          </cell>
        </row>
        <row r="561">
          <cell r="M561">
            <v>805</v>
          </cell>
          <cell r="N561">
            <v>42.576800021724139</v>
          </cell>
          <cell r="O561">
            <v>0</v>
          </cell>
          <cell r="P561">
            <v>0</v>
          </cell>
        </row>
        <row r="562">
          <cell r="M562">
            <v>806</v>
          </cell>
          <cell r="N562">
            <v>121.56591500827587</v>
          </cell>
          <cell r="O562">
            <v>0</v>
          </cell>
          <cell r="P562">
            <v>0</v>
          </cell>
        </row>
        <row r="563">
          <cell r="M563">
            <v>808</v>
          </cell>
          <cell r="N563">
            <v>54.911385342758628</v>
          </cell>
          <cell r="O563">
            <v>0</v>
          </cell>
          <cell r="P563">
            <v>0</v>
          </cell>
        </row>
        <row r="564">
          <cell r="M564">
            <v>809</v>
          </cell>
          <cell r="N564">
            <v>147.94341806275864</v>
          </cell>
          <cell r="O564">
            <v>0</v>
          </cell>
          <cell r="P564">
            <v>0</v>
          </cell>
        </row>
        <row r="565">
          <cell r="M565">
            <v>810</v>
          </cell>
          <cell r="N565">
            <v>116.41278513655176</v>
          </cell>
          <cell r="O565">
            <v>0</v>
          </cell>
          <cell r="P565">
            <v>0</v>
          </cell>
        </row>
        <row r="566">
          <cell r="M566">
            <v>813</v>
          </cell>
          <cell r="N566">
            <v>352.74460697620697</v>
          </cell>
          <cell r="O566">
            <v>0</v>
          </cell>
          <cell r="P566">
            <v>0</v>
          </cell>
        </row>
        <row r="567">
          <cell r="M567">
            <v>814</v>
          </cell>
          <cell r="N567">
            <v>1228.1720528051728</v>
          </cell>
          <cell r="O567">
            <v>0</v>
          </cell>
          <cell r="P567">
            <v>0</v>
          </cell>
        </row>
        <row r="568">
          <cell r="M568">
            <v>815</v>
          </cell>
          <cell r="N568">
            <v>137.33790264206897</v>
          </cell>
          <cell r="O568">
            <v>0</v>
          </cell>
          <cell r="P568">
            <v>0</v>
          </cell>
        </row>
        <row r="569">
          <cell r="M569">
            <v>816</v>
          </cell>
          <cell r="N569">
            <v>63.888486932758639</v>
          </cell>
          <cell r="O569">
            <v>0</v>
          </cell>
          <cell r="P569">
            <v>0</v>
          </cell>
        </row>
        <row r="570">
          <cell r="M570">
            <v>817</v>
          </cell>
          <cell r="N570">
            <v>66.341242692413786</v>
          </cell>
          <cell r="O570">
            <v>0</v>
          </cell>
          <cell r="P570">
            <v>0</v>
          </cell>
        </row>
        <row r="571">
          <cell r="M571">
            <v>819</v>
          </cell>
          <cell r="N571">
            <v>57.775790856896549</v>
          </cell>
          <cell r="O571">
            <v>0</v>
          </cell>
          <cell r="P571">
            <v>0</v>
          </cell>
        </row>
        <row r="572">
          <cell r="M572">
            <v>820</v>
          </cell>
          <cell r="N572">
            <v>21.922070669655177</v>
          </cell>
          <cell r="O572">
            <v>0</v>
          </cell>
          <cell r="P572">
            <v>0</v>
          </cell>
        </row>
        <row r="573">
          <cell r="M573">
            <v>822</v>
          </cell>
          <cell r="N573">
            <v>49.40529944793105</v>
          </cell>
          <cell r="O573">
            <v>0</v>
          </cell>
          <cell r="P573">
            <v>0</v>
          </cell>
        </row>
        <row r="574">
          <cell r="M574">
            <v>823</v>
          </cell>
          <cell r="N574">
            <v>137.66865234827583</v>
          </cell>
          <cell r="O574">
            <v>0</v>
          </cell>
          <cell r="P574">
            <v>0</v>
          </cell>
        </row>
        <row r="575">
          <cell r="M575">
            <v>824</v>
          </cell>
          <cell r="N575">
            <v>163.44179928</v>
          </cell>
          <cell r="O575">
            <v>0</v>
          </cell>
          <cell r="P575">
            <v>0</v>
          </cell>
        </row>
        <row r="576">
          <cell r="M576">
            <v>825</v>
          </cell>
          <cell r="N576">
            <v>325.61853949413791</v>
          </cell>
          <cell r="O576">
            <v>0</v>
          </cell>
          <cell r="P576">
            <v>0</v>
          </cell>
        </row>
        <row r="577">
          <cell r="M577">
            <v>826</v>
          </cell>
          <cell r="N577">
            <v>204.58970354931037</v>
          </cell>
          <cell r="O577">
            <v>0</v>
          </cell>
          <cell r="P577">
            <v>0</v>
          </cell>
        </row>
        <row r="578">
          <cell r="M578">
            <v>827</v>
          </cell>
          <cell r="N578">
            <v>270.49922187241378</v>
          </cell>
          <cell r="O578">
            <v>0</v>
          </cell>
          <cell r="P578">
            <v>0</v>
          </cell>
        </row>
        <row r="579">
          <cell r="M579">
            <v>828</v>
          </cell>
          <cell r="N579">
            <v>137.06499254689649</v>
          </cell>
          <cell r="O579">
            <v>0</v>
          </cell>
          <cell r="P579">
            <v>0</v>
          </cell>
        </row>
        <row r="580">
          <cell r="M580">
            <v>829</v>
          </cell>
          <cell r="N580">
            <v>155.65736845793106</v>
          </cell>
          <cell r="O580">
            <v>0</v>
          </cell>
          <cell r="P580">
            <v>0</v>
          </cell>
        </row>
        <row r="581">
          <cell r="M581">
            <v>830</v>
          </cell>
          <cell r="N581">
            <v>372.73046254689649</v>
          </cell>
          <cell r="O581">
            <v>0</v>
          </cell>
          <cell r="P581">
            <v>0</v>
          </cell>
        </row>
        <row r="582">
          <cell r="M582">
            <v>832</v>
          </cell>
          <cell r="N582">
            <v>277.76522527206907</v>
          </cell>
          <cell r="O582">
            <v>0</v>
          </cell>
          <cell r="P582">
            <v>0</v>
          </cell>
        </row>
        <row r="583">
          <cell r="M583">
            <v>833</v>
          </cell>
          <cell r="N583">
            <v>85.17034256517239</v>
          </cell>
          <cell r="O583">
            <v>0</v>
          </cell>
          <cell r="P583">
            <v>0</v>
          </cell>
        </row>
        <row r="584">
          <cell r="M584">
            <v>834</v>
          </cell>
          <cell r="N584">
            <v>28.943359143793103</v>
          </cell>
          <cell r="O584">
            <v>0</v>
          </cell>
          <cell r="P584">
            <v>0</v>
          </cell>
        </row>
        <row r="585">
          <cell r="M585">
            <v>835</v>
          </cell>
          <cell r="N585">
            <v>141.32141985241378</v>
          </cell>
          <cell r="O585">
            <v>0</v>
          </cell>
          <cell r="P585">
            <v>0</v>
          </cell>
        </row>
        <row r="586">
          <cell r="M586">
            <v>836</v>
          </cell>
          <cell r="N586">
            <v>408.51855818172413</v>
          </cell>
          <cell r="O586">
            <v>0</v>
          </cell>
          <cell r="P586">
            <v>0</v>
          </cell>
        </row>
        <row r="587">
          <cell r="M587">
            <v>837</v>
          </cell>
          <cell r="N587">
            <v>141.65197602586207</v>
          </cell>
          <cell r="O587">
            <v>0</v>
          </cell>
          <cell r="P587">
            <v>0</v>
          </cell>
        </row>
        <row r="588">
          <cell r="M588">
            <v>838</v>
          </cell>
          <cell r="N588">
            <v>59.806821769310339</v>
          </cell>
          <cell r="O588">
            <v>0</v>
          </cell>
          <cell r="P588">
            <v>0</v>
          </cell>
        </row>
        <row r="589">
          <cell r="M589">
            <v>840</v>
          </cell>
          <cell r="N589">
            <v>184.79384370344823</v>
          </cell>
          <cell r="O589">
            <v>0</v>
          </cell>
          <cell r="P589">
            <v>0</v>
          </cell>
        </row>
        <row r="590">
          <cell r="M590">
            <v>841</v>
          </cell>
          <cell r="N590">
            <v>32.99476876517241</v>
          </cell>
          <cell r="O590">
            <v>0</v>
          </cell>
          <cell r="P590">
            <v>0</v>
          </cell>
        </row>
        <row r="591">
          <cell r="M591">
            <v>842</v>
          </cell>
          <cell r="N591">
            <v>167.69447272758617</v>
          </cell>
          <cell r="O591">
            <v>0</v>
          </cell>
          <cell r="P591">
            <v>0</v>
          </cell>
        </row>
        <row r="592">
          <cell r="M592">
            <v>843</v>
          </cell>
          <cell r="N592">
            <v>170.36403430689654</v>
          </cell>
          <cell r="O592">
            <v>0</v>
          </cell>
          <cell r="P592">
            <v>0</v>
          </cell>
        </row>
        <row r="593">
          <cell r="M593">
            <v>844</v>
          </cell>
          <cell r="N593">
            <v>88.175138145172411</v>
          </cell>
          <cell r="O593">
            <v>0</v>
          </cell>
          <cell r="P593">
            <v>0</v>
          </cell>
        </row>
        <row r="594">
          <cell r="M594">
            <v>845</v>
          </cell>
          <cell r="N594">
            <v>163.61201784758615</v>
          </cell>
          <cell r="O594">
            <v>0</v>
          </cell>
          <cell r="P594">
            <v>0</v>
          </cell>
        </row>
        <row r="595">
          <cell r="M595">
            <v>846</v>
          </cell>
          <cell r="N595">
            <v>129.21209691999996</v>
          </cell>
          <cell r="O595">
            <v>0</v>
          </cell>
          <cell r="P595">
            <v>0</v>
          </cell>
        </row>
        <row r="596">
          <cell r="M596">
            <v>847</v>
          </cell>
          <cell r="N596">
            <v>273.04146999</v>
          </cell>
          <cell r="O596">
            <v>0</v>
          </cell>
          <cell r="P596">
            <v>0</v>
          </cell>
        </row>
        <row r="597">
          <cell r="M597">
            <v>848</v>
          </cell>
          <cell r="N597">
            <v>135.76513847413793</v>
          </cell>
          <cell r="O597">
            <v>0</v>
          </cell>
          <cell r="P597">
            <v>0</v>
          </cell>
        </row>
        <row r="598">
          <cell r="M598">
            <v>849</v>
          </cell>
          <cell r="N598">
            <v>388.16333654034486</v>
          </cell>
          <cell r="O598">
            <v>0</v>
          </cell>
          <cell r="P598">
            <v>0</v>
          </cell>
        </row>
        <row r="599">
          <cell r="M599">
            <v>850</v>
          </cell>
          <cell r="N599">
            <v>46.773900116206867</v>
          </cell>
          <cell r="O599">
            <v>0</v>
          </cell>
          <cell r="P599">
            <v>0</v>
          </cell>
        </row>
        <row r="600">
          <cell r="M600">
            <v>851</v>
          </cell>
          <cell r="N600">
            <v>342.51081922310357</v>
          </cell>
          <cell r="O600">
            <v>0</v>
          </cell>
          <cell r="P600">
            <v>0</v>
          </cell>
        </row>
        <row r="601">
          <cell r="M601">
            <v>852</v>
          </cell>
          <cell r="N601">
            <v>154.40945748103451</v>
          </cell>
          <cell r="O601">
            <v>0</v>
          </cell>
          <cell r="P601">
            <v>0</v>
          </cell>
        </row>
        <row r="602">
          <cell r="M602">
            <v>853</v>
          </cell>
          <cell r="N602">
            <v>201.5547017041379</v>
          </cell>
          <cell r="O602">
            <v>0</v>
          </cell>
          <cell r="P602">
            <v>0</v>
          </cell>
        </row>
        <row r="603">
          <cell r="M603">
            <v>854</v>
          </cell>
          <cell r="N603">
            <v>200.61998625034471</v>
          </cell>
          <cell r="O603">
            <v>0</v>
          </cell>
          <cell r="P603">
            <v>0</v>
          </cell>
        </row>
        <row r="604">
          <cell r="M604">
            <v>855</v>
          </cell>
          <cell r="N604">
            <v>35.636526033793103</v>
          </cell>
          <cell r="O604">
            <v>0</v>
          </cell>
          <cell r="P604">
            <v>0</v>
          </cell>
        </row>
        <row r="605">
          <cell r="M605">
            <v>857</v>
          </cell>
          <cell r="N605">
            <v>857.84175721758606</v>
          </cell>
          <cell r="O605">
            <v>0</v>
          </cell>
          <cell r="P605">
            <v>0</v>
          </cell>
        </row>
        <row r="606">
          <cell r="M606">
            <v>859</v>
          </cell>
          <cell r="N606">
            <v>153.02758336172411</v>
          </cell>
          <cell r="O606">
            <v>0</v>
          </cell>
          <cell r="P606">
            <v>0</v>
          </cell>
        </row>
        <row r="607">
          <cell r="M607">
            <v>860</v>
          </cell>
          <cell r="N607">
            <v>78.376838596551721</v>
          </cell>
          <cell r="O607">
            <v>0</v>
          </cell>
          <cell r="P607">
            <v>0</v>
          </cell>
        </row>
        <row r="608">
          <cell r="M608">
            <v>861</v>
          </cell>
          <cell r="N608">
            <v>301.7056700765516</v>
          </cell>
          <cell r="O608">
            <v>0</v>
          </cell>
          <cell r="P608">
            <v>0</v>
          </cell>
        </row>
        <row r="609">
          <cell r="M609">
            <v>862</v>
          </cell>
          <cell r="N609">
            <v>243.96343147793101</v>
          </cell>
          <cell r="O609">
            <v>0</v>
          </cell>
          <cell r="P609">
            <v>0</v>
          </cell>
        </row>
        <row r="610">
          <cell r="M610">
            <v>863</v>
          </cell>
          <cell r="N610">
            <v>186.01257850068964</v>
          </cell>
          <cell r="O610">
            <v>0</v>
          </cell>
          <cell r="P610">
            <v>0</v>
          </cell>
        </row>
        <row r="611">
          <cell r="M611">
            <v>864</v>
          </cell>
          <cell r="N611">
            <v>73.941208206206895</v>
          </cell>
          <cell r="O611">
            <v>0</v>
          </cell>
          <cell r="P611">
            <v>0</v>
          </cell>
        </row>
        <row r="612">
          <cell r="M612">
            <v>865</v>
          </cell>
          <cell r="N612">
            <v>179.02121491793102</v>
          </cell>
          <cell r="O612">
            <v>0</v>
          </cell>
          <cell r="P612">
            <v>0</v>
          </cell>
        </row>
        <row r="613">
          <cell r="M613">
            <v>867</v>
          </cell>
          <cell r="N613">
            <v>82.99861628068966</v>
          </cell>
          <cell r="O613">
            <v>0</v>
          </cell>
          <cell r="P613">
            <v>0</v>
          </cell>
        </row>
        <row r="614">
          <cell r="M614">
            <v>868</v>
          </cell>
          <cell r="N614">
            <v>172.71459980586206</v>
          </cell>
          <cell r="O614">
            <v>0</v>
          </cell>
          <cell r="P614">
            <v>0</v>
          </cell>
        </row>
        <row r="615">
          <cell r="M615">
            <v>869</v>
          </cell>
          <cell r="N615">
            <v>158.90215553965518</v>
          </cell>
          <cell r="O615">
            <v>0</v>
          </cell>
          <cell r="P615">
            <v>0</v>
          </cell>
        </row>
        <row r="616">
          <cell r="M616">
            <v>870</v>
          </cell>
          <cell r="N616">
            <v>393.55960173724134</v>
          </cell>
          <cell r="O616">
            <v>0</v>
          </cell>
          <cell r="P616">
            <v>0</v>
          </cell>
        </row>
        <row r="617">
          <cell r="M617">
            <v>871</v>
          </cell>
          <cell r="N617">
            <v>48.669638162758631</v>
          </cell>
          <cell r="O617">
            <v>0</v>
          </cell>
          <cell r="P617">
            <v>0</v>
          </cell>
        </row>
        <row r="618">
          <cell r="M618">
            <v>873</v>
          </cell>
          <cell r="N618">
            <v>719.23968494620681</v>
          </cell>
          <cell r="O618">
            <v>0</v>
          </cell>
          <cell r="P618">
            <v>0</v>
          </cell>
        </row>
        <row r="619">
          <cell r="M619">
            <v>875</v>
          </cell>
          <cell r="N619">
            <v>135.45825277586209</v>
          </cell>
          <cell r="O619">
            <v>0</v>
          </cell>
          <cell r="P619">
            <v>0</v>
          </cell>
        </row>
        <row r="620">
          <cell r="M620">
            <v>877</v>
          </cell>
          <cell r="N620">
            <v>399.96789615344829</v>
          </cell>
          <cell r="O620">
            <v>0</v>
          </cell>
          <cell r="P620">
            <v>0</v>
          </cell>
        </row>
        <row r="621">
          <cell r="M621">
            <v>878</v>
          </cell>
          <cell r="N621">
            <v>540.40492949793088</v>
          </cell>
          <cell r="O621">
            <v>0</v>
          </cell>
          <cell r="P621">
            <v>0</v>
          </cell>
        </row>
        <row r="622">
          <cell r="M622">
            <v>879</v>
          </cell>
          <cell r="N622">
            <v>626.85858992586225</v>
          </cell>
          <cell r="O622">
            <v>0</v>
          </cell>
          <cell r="P622">
            <v>0</v>
          </cell>
        </row>
        <row r="623">
          <cell r="M623">
            <v>882</v>
          </cell>
          <cell r="N623">
            <v>78.910035870689654</v>
          </cell>
          <cell r="O623">
            <v>0</v>
          </cell>
          <cell r="P623">
            <v>0</v>
          </cell>
        </row>
        <row r="624">
          <cell r="M624">
            <v>884</v>
          </cell>
          <cell r="N624">
            <v>116.8237850386207</v>
          </cell>
          <cell r="O624">
            <v>0</v>
          </cell>
          <cell r="P624">
            <v>0</v>
          </cell>
        </row>
        <row r="625">
          <cell r="M625">
            <v>885</v>
          </cell>
          <cell r="N625">
            <v>199.00830083000002</v>
          </cell>
          <cell r="O625">
            <v>0</v>
          </cell>
          <cell r="P625">
            <v>0</v>
          </cell>
        </row>
        <row r="626">
          <cell r="M626">
            <v>886</v>
          </cell>
          <cell r="N626">
            <v>155.77766932655169</v>
          </cell>
          <cell r="O626">
            <v>0</v>
          </cell>
          <cell r="P626">
            <v>0</v>
          </cell>
        </row>
        <row r="627">
          <cell r="M627">
            <v>887</v>
          </cell>
          <cell r="N627">
            <v>61.613038820344833</v>
          </cell>
          <cell r="O627">
            <v>0</v>
          </cell>
          <cell r="P627">
            <v>0</v>
          </cell>
        </row>
        <row r="628">
          <cell r="M628">
            <v>889</v>
          </cell>
          <cell r="N628">
            <v>230.23600269172405</v>
          </cell>
          <cell r="O628">
            <v>0</v>
          </cell>
          <cell r="P628">
            <v>0</v>
          </cell>
        </row>
        <row r="629">
          <cell r="M629">
            <v>890</v>
          </cell>
          <cell r="N629">
            <v>167.50608223275859</v>
          </cell>
          <cell r="O629">
            <v>0</v>
          </cell>
          <cell r="P629">
            <v>0</v>
          </cell>
        </row>
        <row r="630">
          <cell r="M630">
            <v>891</v>
          </cell>
          <cell r="N630">
            <v>188.00727188793107</v>
          </cell>
          <cell r="O630">
            <v>0</v>
          </cell>
          <cell r="P630">
            <v>0</v>
          </cell>
        </row>
        <row r="631">
          <cell r="M631">
            <v>893</v>
          </cell>
          <cell r="N631">
            <v>152.43299830931034</v>
          </cell>
          <cell r="O631">
            <v>0</v>
          </cell>
          <cell r="P631">
            <v>0</v>
          </cell>
        </row>
        <row r="632">
          <cell r="M632">
            <v>894</v>
          </cell>
          <cell r="N632">
            <v>265.56557687758624</v>
          </cell>
          <cell r="O632">
            <v>0</v>
          </cell>
          <cell r="P632">
            <v>0</v>
          </cell>
        </row>
        <row r="633">
          <cell r="M633">
            <v>895</v>
          </cell>
          <cell r="N633">
            <v>161.09088637137933</v>
          </cell>
          <cell r="O633">
            <v>0</v>
          </cell>
          <cell r="P633">
            <v>0</v>
          </cell>
        </row>
        <row r="634">
          <cell r="M634">
            <v>896</v>
          </cell>
          <cell r="N634">
            <v>841.9540767637933</v>
          </cell>
          <cell r="O634">
            <v>0</v>
          </cell>
          <cell r="P634">
            <v>0</v>
          </cell>
        </row>
        <row r="635">
          <cell r="M635">
            <v>897</v>
          </cell>
          <cell r="N635">
            <v>265.17797725241371</v>
          </cell>
          <cell r="O635">
            <v>0</v>
          </cell>
          <cell r="P635">
            <v>0</v>
          </cell>
        </row>
        <row r="636">
          <cell r="M636">
            <v>898</v>
          </cell>
          <cell r="N636">
            <v>454.68677271586205</v>
          </cell>
          <cell r="O636">
            <v>0</v>
          </cell>
          <cell r="P636">
            <v>0</v>
          </cell>
        </row>
        <row r="637">
          <cell r="M637">
            <v>899</v>
          </cell>
          <cell r="N637">
            <v>166.43954095724138</v>
          </cell>
          <cell r="O637">
            <v>0</v>
          </cell>
          <cell r="P637">
            <v>0</v>
          </cell>
        </row>
        <row r="638">
          <cell r="M638">
            <v>900</v>
          </cell>
          <cell r="N638">
            <v>407.31407168310346</v>
          </cell>
          <cell r="O638">
            <v>0</v>
          </cell>
          <cell r="P638">
            <v>0</v>
          </cell>
        </row>
        <row r="639">
          <cell r="M639">
            <v>902</v>
          </cell>
          <cell r="N639">
            <v>96.113305710344832</v>
          </cell>
          <cell r="O639">
            <v>0</v>
          </cell>
          <cell r="P639">
            <v>0</v>
          </cell>
        </row>
        <row r="640">
          <cell r="M640">
            <v>903</v>
          </cell>
          <cell r="N640">
            <v>232.02087488413798</v>
          </cell>
          <cell r="O640">
            <v>0</v>
          </cell>
          <cell r="P640">
            <v>0</v>
          </cell>
        </row>
        <row r="641">
          <cell r="M641">
            <v>904</v>
          </cell>
          <cell r="N641">
            <v>65.170047627931027</v>
          </cell>
          <cell r="O641">
            <v>0</v>
          </cell>
          <cell r="P641">
            <v>0</v>
          </cell>
        </row>
        <row r="642">
          <cell r="M642">
            <v>905</v>
          </cell>
          <cell r="N642">
            <v>181.7609849348276</v>
          </cell>
          <cell r="O642">
            <v>0</v>
          </cell>
          <cell r="P642">
            <v>0</v>
          </cell>
        </row>
        <row r="643">
          <cell r="M643">
            <v>906</v>
          </cell>
          <cell r="N643">
            <v>199.41620145655176</v>
          </cell>
          <cell r="O643">
            <v>0</v>
          </cell>
          <cell r="P643">
            <v>0</v>
          </cell>
        </row>
        <row r="644">
          <cell r="M644">
            <v>907</v>
          </cell>
          <cell r="N644">
            <v>97.264186900344825</v>
          </cell>
          <cell r="O644">
            <v>0</v>
          </cell>
          <cell r="P644">
            <v>0</v>
          </cell>
        </row>
        <row r="645">
          <cell r="M645">
            <v>908</v>
          </cell>
          <cell r="N645">
            <v>293.99655985206891</v>
          </cell>
          <cell r="O645">
            <v>0</v>
          </cell>
          <cell r="P645">
            <v>0</v>
          </cell>
        </row>
        <row r="646">
          <cell r="M646">
            <v>909</v>
          </cell>
          <cell r="N646">
            <v>129.08806380551724</v>
          </cell>
          <cell r="O646">
            <v>0</v>
          </cell>
          <cell r="P646">
            <v>0</v>
          </cell>
        </row>
        <row r="647">
          <cell r="M647">
            <v>910</v>
          </cell>
          <cell r="N647">
            <v>495.43942712827578</v>
          </cell>
          <cell r="O647">
            <v>0</v>
          </cell>
          <cell r="P647">
            <v>0</v>
          </cell>
        </row>
        <row r="648">
          <cell r="M648">
            <v>911</v>
          </cell>
          <cell r="N648">
            <v>195.6607427937931</v>
          </cell>
          <cell r="O648">
            <v>0</v>
          </cell>
          <cell r="P648">
            <v>0</v>
          </cell>
        </row>
        <row r="649">
          <cell r="M649">
            <v>912</v>
          </cell>
          <cell r="N649">
            <v>222.53886121275863</v>
          </cell>
          <cell r="O649">
            <v>0</v>
          </cell>
          <cell r="P649">
            <v>0</v>
          </cell>
        </row>
        <row r="650">
          <cell r="M650">
            <v>913</v>
          </cell>
          <cell r="N650">
            <v>609.72447048793106</v>
          </cell>
          <cell r="O650">
            <v>0</v>
          </cell>
          <cell r="P650">
            <v>0</v>
          </cell>
        </row>
        <row r="651">
          <cell r="M651">
            <v>914</v>
          </cell>
          <cell r="N651">
            <v>267.19689097517244</v>
          </cell>
          <cell r="O651">
            <v>0</v>
          </cell>
          <cell r="P651">
            <v>0</v>
          </cell>
        </row>
        <row r="652">
          <cell r="M652">
            <v>915</v>
          </cell>
          <cell r="N652">
            <v>34.871781881724147</v>
          </cell>
          <cell r="O652">
            <v>0</v>
          </cell>
          <cell r="P652">
            <v>0</v>
          </cell>
        </row>
        <row r="653">
          <cell r="M653">
            <v>916</v>
          </cell>
          <cell r="N653">
            <v>325.46289536068963</v>
          </cell>
          <cell r="O653">
            <v>0</v>
          </cell>
          <cell r="P653">
            <v>0</v>
          </cell>
        </row>
        <row r="654">
          <cell r="M654">
            <v>917</v>
          </cell>
          <cell r="N654">
            <v>50.139059045517236</v>
          </cell>
          <cell r="O654">
            <v>0</v>
          </cell>
          <cell r="P654">
            <v>0</v>
          </cell>
        </row>
        <row r="655">
          <cell r="M655">
            <v>919</v>
          </cell>
          <cell r="N655">
            <v>59.257514053793095</v>
          </cell>
          <cell r="O655">
            <v>0</v>
          </cell>
          <cell r="P655">
            <v>0</v>
          </cell>
        </row>
        <row r="656">
          <cell r="M656">
            <v>920</v>
          </cell>
          <cell r="N656">
            <v>95.601742642413797</v>
          </cell>
          <cell r="O656">
            <v>0</v>
          </cell>
          <cell r="P656">
            <v>0</v>
          </cell>
        </row>
        <row r="657">
          <cell r="M657">
            <v>921</v>
          </cell>
          <cell r="N657">
            <v>44.609398292758627</v>
          </cell>
          <cell r="O657">
            <v>0</v>
          </cell>
          <cell r="P657">
            <v>0</v>
          </cell>
        </row>
        <row r="658">
          <cell r="M658">
            <v>923</v>
          </cell>
          <cell r="N658">
            <v>235.83540840793111</v>
          </cell>
          <cell r="O658">
            <v>0</v>
          </cell>
          <cell r="P658">
            <v>0</v>
          </cell>
        </row>
        <row r="659">
          <cell r="M659">
            <v>924</v>
          </cell>
          <cell r="N659">
            <v>188.64718109172412</v>
          </cell>
          <cell r="O659">
            <v>0</v>
          </cell>
          <cell r="P659">
            <v>0</v>
          </cell>
        </row>
        <row r="660">
          <cell r="M660">
            <v>925</v>
          </cell>
          <cell r="N660">
            <v>28.209418181379309</v>
          </cell>
          <cell r="O660">
            <v>0</v>
          </cell>
          <cell r="P660">
            <v>0</v>
          </cell>
        </row>
        <row r="661">
          <cell r="M661">
            <v>926</v>
          </cell>
          <cell r="N661">
            <v>717.54799520655183</v>
          </cell>
          <cell r="O661">
            <v>0</v>
          </cell>
          <cell r="P661">
            <v>0</v>
          </cell>
        </row>
        <row r="662">
          <cell r="M662">
            <v>928</v>
          </cell>
          <cell r="N662">
            <v>112.80189896586205</v>
          </cell>
          <cell r="O662">
            <v>0</v>
          </cell>
          <cell r="P662">
            <v>0</v>
          </cell>
        </row>
        <row r="663">
          <cell r="M663">
            <v>929</v>
          </cell>
          <cell r="N663">
            <v>122.67507067206895</v>
          </cell>
          <cell r="O663">
            <v>0</v>
          </cell>
          <cell r="P663">
            <v>0</v>
          </cell>
        </row>
        <row r="664">
          <cell r="M664">
            <v>930</v>
          </cell>
          <cell r="N664">
            <v>714.03375219655175</v>
          </cell>
          <cell r="O664">
            <v>0</v>
          </cell>
          <cell r="P664">
            <v>0</v>
          </cell>
        </row>
        <row r="665">
          <cell r="M665">
            <v>932</v>
          </cell>
          <cell r="N665">
            <v>958.34854288758652</v>
          </cell>
          <cell r="O665">
            <v>0</v>
          </cell>
          <cell r="P665">
            <v>0</v>
          </cell>
        </row>
        <row r="666">
          <cell r="M666">
            <v>933</v>
          </cell>
          <cell r="N666">
            <v>18.273141766551714</v>
          </cell>
          <cell r="O666">
            <v>0</v>
          </cell>
          <cell r="P666">
            <v>0</v>
          </cell>
        </row>
        <row r="667">
          <cell r="M667">
            <v>934</v>
          </cell>
          <cell r="N667">
            <v>60.511179771724137</v>
          </cell>
          <cell r="O667">
            <v>0</v>
          </cell>
          <cell r="P667">
            <v>0</v>
          </cell>
        </row>
        <row r="668">
          <cell r="M668">
            <v>937</v>
          </cell>
          <cell r="N668">
            <v>344.98864139655171</v>
          </cell>
          <cell r="O668">
            <v>0</v>
          </cell>
          <cell r="P668">
            <v>0</v>
          </cell>
        </row>
        <row r="669">
          <cell r="M669">
            <v>939</v>
          </cell>
          <cell r="N669">
            <v>386.3918640724138</v>
          </cell>
          <cell r="O669">
            <v>0</v>
          </cell>
          <cell r="P669">
            <v>0</v>
          </cell>
        </row>
        <row r="670">
          <cell r="M670">
            <v>941</v>
          </cell>
          <cell r="N670">
            <v>519.24323715275864</v>
          </cell>
          <cell r="O670">
            <v>0</v>
          </cell>
          <cell r="P670">
            <v>0</v>
          </cell>
        </row>
        <row r="671">
          <cell r="M671">
            <v>942</v>
          </cell>
          <cell r="N671">
            <v>338.65200362034483</v>
          </cell>
          <cell r="O671">
            <v>0</v>
          </cell>
          <cell r="P671">
            <v>0</v>
          </cell>
        </row>
        <row r="672">
          <cell r="M672">
            <v>943</v>
          </cell>
          <cell r="N672">
            <v>65.203605131379319</v>
          </cell>
          <cell r="O672">
            <v>0</v>
          </cell>
          <cell r="P672">
            <v>0</v>
          </cell>
        </row>
        <row r="673">
          <cell r="M673">
            <v>944</v>
          </cell>
          <cell r="N673">
            <v>36.478362803793104</v>
          </cell>
          <cell r="O673">
            <v>0</v>
          </cell>
          <cell r="P673">
            <v>0</v>
          </cell>
        </row>
        <row r="674">
          <cell r="M674">
            <v>946</v>
          </cell>
          <cell r="N674">
            <v>71.504794039655152</v>
          </cell>
          <cell r="O674">
            <v>0</v>
          </cell>
          <cell r="P674">
            <v>0</v>
          </cell>
        </row>
        <row r="675">
          <cell r="M675">
            <v>949</v>
          </cell>
          <cell r="N675">
            <v>98.728713990689627</v>
          </cell>
          <cell r="O675">
            <v>0</v>
          </cell>
          <cell r="P675">
            <v>0</v>
          </cell>
        </row>
        <row r="676">
          <cell r="M676">
            <v>950</v>
          </cell>
          <cell r="N676">
            <v>295.30172084999998</v>
          </cell>
          <cell r="O676">
            <v>0</v>
          </cell>
          <cell r="P676">
            <v>0</v>
          </cell>
        </row>
        <row r="677">
          <cell r="M677">
            <v>951</v>
          </cell>
          <cell r="N677">
            <v>96.864017599655156</v>
          </cell>
          <cell r="O677">
            <v>0</v>
          </cell>
          <cell r="P677">
            <v>0</v>
          </cell>
        </row>
        <row r="678">
          <cell r="M678">
            <v>952</v>
          </cell>
          <cell r="N678">
            <v>615.41936252724156</v>
          </cell>
          <cell r="O678">
            <v>0</v>
          </cell>
          <cell r="P678">
            <v>0</v>
          </cell>
        </row>
        <row r="679">
          <cell r="M679">
            <v>954</v>
          </cell>
          <cell r="N679">
            <v>26.256608080344829</v>
          </cell>
          <cell r="O679">
            <v>0</v>
          </cell>
          <cell r="P679">
            <v>0</v>
          </cell>
        </row>
        <row r="680">
          <cell r="M680">
            <v>957</v>
          </cell>
          <cell r="N680">
            <v>245.0453321886207</v>
          </cell>
          <cell r="O680">
            <v>0</v>
          </cell>
          <cell r="P680">
            <v>0</v>
          </cell>
        </row>
        <row r="681">
          <cell r="M681">
            <v>958</v>
          </cell>
          <cell r="N681">
            <v>97.825401861034479</v>
          </cell>
          <cell r="O681">
            <v>0</v>
          </cell>
          <cell r="P681">
            <v>0</v>
          </cell>
        </row>
        <row r="682">
          <cell r="M682">
            <v>960</v>
          </cell>
          <cell r="N682">
            <v>52.117066006896557</v>
          </cell>
          <cell r="O682">
            <v>0</v>
          </cell>
          <cell r="P682">
            <v>0</v>
          </cell>
        </row>
        <row r="683">
          <cell r="M683">
            <v>961</v>
          </cell>
          <cell r="N683">
            <v>42.849312053103453</v>
          </cell>
          <cell r="O683">
            <v>0</v>
          </cell>
          <cell r="P683">
            <v>0</v>
          </cell>
        </row>
        <row r="684">
          <cell r="M684">
            <v>962</v>
          </cell>
          <cell r="N684">
            <v>231.82567925689654</v>
          </cell>
          <cell r="O684">
            <v>0</v>
          </cell>
          <cell r="P684">
            <v>0</v>
          </cell>
        </row>
        <row r="685">
          <cell r="M685">
            <v>963</v>
          </cell>
          <cell r="N685">
            <v>220.53118424586202</v>
          </cell>
          <cell r="O685">
            <v>0</v>
          </cell>
          <cell r="P685">
            <v>0</v>
          </cell>
        </row>
        <row r="686">
          <cell r="M686">
            <v>964</v>
          </cell>
          <cell r="N686">
            <v>108.98298094758623</v>
          </cell>
          <cell r="O686">
            <v>0</v>
          </cell>
          <cell r="P686">
            <v>0</v>
          </cell>
        </row>
        <row r="687">
          <cell r="M687">
            <v>965</v>
          </cell>
          <cell r="N687">
            <v>456.1689917544827</v>
          </cell>
          <cell r="O687">
            <v>0</v>
          </cell>
          <cell r="P687">
            <v>0</v>
          </cell>
        </row>
        <row r="688">
          <cell r="M688">
            <v>967</v>
          </cell>
          <cell r="N688">
            <v>160.42838767793111</v>
          </cell>
          <cell r="O688">
            <v>0</v>
          </cell>
          <cell r="P688">
            <v>0</v>
          </cell>
        </row>
        <row r="689">
          <cell r="M689">
            <v>969</v>
          </cell>
          <cell r="N689">
            <v>357.9069142244827</v>
          </cell>
          <cell r="O689">
            <v>0</v>
          </cell>
          <cell r="P689">
            <v>0</v>
          </cell>
        </row>
        <row r="690">
          <cell r="M690">
            <v>970</v>
          </cell>
          <cell r="N690">
            <v>107.08122380172414</v>
          </cell>
          <cell r="O690">
            <v>0</v>
          </cell>
          <cell r="P690">
            <v>0</v>
          </cell>
        </row>
        <row r="691">
          <cell r="M691">
            <v>971</v>
          </cell>
          <cell r="N691">
            <v>270.39764002448277</v>
          </cell>
          <cell r="O691">
            <v>0</v>
          </cell>
          <cell r="P691">
            <v>0</v>
          </cell>
        </row>
        <row r="692">
          <cell r="M692">
            <v>973</v>
          </cell>
          <cell r="N692">
            <v>171.69532995275858</v>
          </cell>
          <cell r="O692">
            <v>0</v>
          </cell>
          <cell r="P692">
            <v>0</v>
          </cell>
        </row>
        <row r="693">
          <cell r="M693">
            <v>974</v>
          </cell>
          <cell r="N693">
            <v>193.79823661000003</v>
          </cell>
          <cell r="O693">
            <v>0</v>
          </cell>
          <cell r="P693">
            <v>0</v>
          </cell>
        </row>
        <row r="694">
          <cell r="M694">
            <v>975</v>
          </cell>
          <cell r="N694">
            <v>182.40103032551727</v>
          </cell>
          <cell r="O694">
            <v>0</v>
          </cell>
          <cell r="P694">
            <v>0</v>
          </cell>
        </row>
        <row r="695">
          <cell r="M695">
            <v>976</v>
          </cell>
          <cell r="N695">
            <v>472.30573080344823</v>
          </cell>
          <cell r="O695">
            <v>0</v>
          </cell>
          <cell r="P695">
            <v>0</v>
          </cell>
        </row>
        <row r="696">
          <cell r="M696">
            <v>977</v>
          </cell>
          <cell r="N696">
            <v>197.51437038034481</v>
          </cell>
          <cell r="O696">
            <v>0</v>
          </cell>
          <cell r="P696">
            <v>0</v>
          </cell>
        </row>
        <row r="697">
          <cell r="M697">
            <v>978</v>
          </cell>
          <cell r="N697">
            <v>161.20212778068969</v>
          </cell>
          <cell r="O697">
            <v>0</v>
          </cell>
          <cell r="P697">
            <v>0</v>
          </cell>
        </row>
        <row r="698">
          <cell r="M698">
            <v>979</v>
          </cell>
          <cell r="N698">
            <v>76.497083942758621</v>
          </cell>
          <cell r="O698">
            <v>0</v>
          </cell>
          <cell r="P698">
            <v>0</v>
          </cell>
        </row>
        <row r="699">
          <cell r="M699">
            <v>980</v>
          </cell>
          <cell r="N699">
            <v>57.971601392068962</v>
          </cell>
          <cell r="O699">
            <v>0</v>
          </cell>
          <cell r="P699">
            <v>0</v>
          </cell>
        </row>
        <row r="700">
          <cell r="M700">
            <v>982</v>
          </cell>
          <cell r="N700">
            <v>366.50220574275852</v>
          </cell>
          <cell r="O700">
            <v>0</v>
          </cell>
          <cell r="P700">
            <v>0</v>
          </cell>
        </row>
        <row r="701">
          <cell r="M701">
            <v>984</v>
          </cell>
          <cell r="N701">
            <v>103.61459089275863</v>
          </cell>
          <cell r="O701">
            <v>0</v>
          </cell>
          <cell r="P701">
            <v>0</v>
          </cell>
        </row>
        <row r="702">
          <cell r="M702">
            <v>985</v>
          </cell>
          <cell r="N702">
            <v>15.78289212517241</v>
          </cell>
          <cell r="O702">
            <v>0</v>
          </cell>
          <cell r="P702">
            <v>0</v>
          </cell>
        </row>
        <row r="703">
          <cell r="M703">
            <v>987</v>
          </cell>
          <cell r="N703">
            <v>108.68100502862069</v>
          </cell>
          <cell r="O703">
            <v>0</v>
          </cell>
          <cell r="P703">
            <v>0</v>
          </cell>
        </row>
        <row r="704">
          <cell r="M704">
            <v>988</v>
          </cell>
          <cell r="N704">
            <v>139.66835161551725</v>
          </cell>
          <cell r="O704">
            <v>0</v>
          </cell>
          <cell r="P704">
            <v>0</v>
          </cell>
        </row>
        <row r="705">
          <cell r="M705">
            <v>989</v>
          </cell>
          <cell r="N705">
            <v>47.872277567586202</v>
          </cell>
          <cell r="O705">
            <v>0</v>
          </cell>
          <cell r="P705">
            <v>0</v>
          </cell>
        </row>
        <row r="706">
          <cell r="M706">
            <v>991</v>
          </cell>
          <cell r="N706">
            <v>331.67832642620692</v>
          </cell>
          <cell r="O706">
            <v>0</v>
          </cell>
          <cell r="P706">
            <v>0</v>
          </cell>
        </row>
        <row r="707">
          <cell r="M707">
            <v>992</v>
          </cell>
          <cell r="N707">
            <v>159.32761879896552</v>
          </cell>
          <cell r="O707">
            <v>0</v>
          </cell>
          <cell r="P707">
            <v>0</v>
          </cell>
        </row>
        <row r="708">
          <cell r="M708">
            <v>994</v>
          </cell>
          <cell r="N708">
            <v>484.15220390103445</v>
          </cell>
          <cell r="O708">
            <v>0</v>
          </cell>
          <cell r="P708">
            <v>0</v>
          </cell>
        </row>
        <row r="709">
          <cell r="M709">
            <v>996</v>
          </cell>
          <cell r="N709">
            <v>117.99871311413794</v>
          </cell>
          <cell r="O709">
            <v>0</v>
          </cell>
          <cell r="P709">
            <v>0</v>
          </cell>
        </row>
        <row r="710">
          <cell r="M710">
            <v>997</v>
          </cell>
          <cell r="N710">
            <v>110.61344666448278</v>
          </cell>
          <cell r="O710">
            <v>0</v>
          </cell>
          <cell r="P710">
            <v>0</v>
          </cell>
        </row>
        <row r="711">
          <cell r="M711">
            <v>1002</v>
          </cell>
          <cell r="N711">
            <v>208.1220640075862</v>
          </cell>
          <cell r="O711">
            <v>0</v>
          </cell>
          <cell r="P711">
            <v>0</v>
          </cell>
        </row>
        <row r="712">
          <cell r="M712">
            <v>1003</v>
          </cell>
          <cell r="N712">
            <v>169.27091984758621</v>
          </cell>
          <cell r="O712">
            <v>0</v>
          </cell>
          <cell r="P712">
            <v>0</v>
          </cell>
        </row>
        <row r="713">
          <cell r="M713">
            <v>1004</v>
          </cell>
          <cell r="N713">
            <v>31.124485957586202</v>
          </cell>
          <cell r="O713">
            <v>0</v>
          </cell>
          <cell r="P713">
            <v>0</v>
          </cell>
        </row>
        <row r="714">
          <cell r="M714">
            <v>1005</v>
          </cell>
          <cell r="N714">
            <v>186.93971780034485</v>
          </cell>
          <cell r="O714">
            <v>0</v>
          </cell>
          <cell r="P714">
            <v>0</v>
          </cell>
        </row>
        <row r="715">
          <cell r="M715">
            <v>1006</v>
          </cell>
          <cell r="N715">
            <v>207.78959906965514</v>
          </cell>
          <cell r="O715">
            <v>0</v>
          </cell>
          <cell r="P715">
            <v>0</v>
          </cell>
        </row>
        <row r="716">
          <cell r="M716">
            <v>1007</v>
          </cell>
          <cell r="N716">
            <v>488.49024996965522</v>
          </cell>
          <cell r="O716">
            <v>0</v>
          </cell>
          <cell r="P716">
            <v>0</v>
          </cell>
        </row>
        <row r="717">
          <cell r="M717">
            <v>1009</v>
          </cell>
          <cell r="N717">
            <v>35.071562379310329</v>
          </cell>
          <cell r="O717">
            <v>0</v>
          </cell>
          <cell r="P717">
            <v>0</v>
          </cell>
        </row>
        <row r="718">
          <cell r="M718">
            <v>1010</v>
          </cell>
          <cell r="N718">
            <v>52.504634694137927</v>
          </cell>
          <cell r="O718">
            <v>0</v>
          </cell>
          <cell r="P718">
            <v>0</v>
          </cell>
        </row>
        <row r="719">
          <cell r="M719">
            <v>1011</v>
          </cell>
          <cell r="N719">
            <v>576.34697845758626</v>
          </cell>
          <cell r="O719">
            <v>0</v>
          </cell>
          <cell r="P719">
            <v>0</v>
          </cell>
        </row>
        <row r="720">
          <cell r="M720">
            <v>1015</v>
          </cell>
          <cell r="N720">
            <v>442.49093139655184</v>
          </cell>
          <cell r="O720">
            <v>0</v>
          </cell>
          <cell r="P720">
            <v>0</v>
          </cell>
        </row>
        <row r="721">
          <cell r="M721">
            <v>1016</v>
          </cell>
          <cell r="N721">
            <v>148.34528151000001</v>
          </cell>
          <cell r="O721">
            <v>0</v>
          </cell>
          <cell r="P721">
            <v>0</v>
          </cell>
        </row>
        <row r="722">
          <cell r="M722">
            <v>1017</v>
          </cell>
          <cell r="N722">
            <v>184.02504981758622</v>
          </cell>
          <cell r="O722">
            <v>0</v>
          </cell>
          <cell r="P722">
            <v>0</v>
          </cell>
        </row>
        <row r="723">
          <cell r="M723">
            <v>1018</v>
          </cell>
          <cell r="N723">
            <v>377.31804727827569</v>
          </cell>
          <cell r="O723">
            <v>0</v>
          </cell>
          <cell r="P723">
            <v>0</v>
          </cell>
        </row>
        <row r="724">
          <cell r="M724">
            <v>1019</v>
          </cell>
          <cell r="N724">
            <v>1055.4352539558624</v>
          </cell>
          <cell r="O724">
            <v>0</v>
          </cell>
          <cell r="P724">
            <v>0</v>
          </cell>
        </row>
        <row r="725">
          <cell r="M725">
            <v>1021</v>
          </cell>
          <cell r="N725">
            <v>267.48965722275864</v>
          </cell>
          <cell r="O725">
            <v>0</v>
          </cell>
          <cell r="P725">
            <v>0</v>
          </cell>
        </row>
        <row r="726">
          <cell r="M726">
            <v>1023</v>
          </cell>
          <cell r="N726">
            <v>243.31031419275865</v>
          </cell>
          <cell r="O726">
            <v>0</v>
          </cell>
          <cell r="P726">
            <v>0</v>
          </cell>
        </row>
        <row r="727">
          <cell r="M727">
            <v>1025</v>
          </cell>
          <cell r="N727">
            <v>840.31124165413803</v>
          </cell>
          <cell r="O727">
            <v>0</v>
          </cell>
          <cell r="P727">
            <v>0</v>
          </cell>
        </row>
        <row r="728">
          <cell r="M728">
            <v>1028</v>
          </cell>
          <cell r="N728">
            <v>16.112216663793106</v>
          </cell>
          <cell r="O728">
            <v>0</v>
          </cell>
          <cell r="P728">
            <v>0</v>
          </cell>
        </row>
        <row r="729">
          <cell r="M729">
            <v>1030</v>
          </cell>
          <cell r="N729">
            <v>53.260813986551724</v>
          </cell>
          <cell r="O729">
            <v>0</v>
          </cell>
          <cell r="P729">
            <v>0</v>
          </cell>
        </row>
        <row r="730">
          <cell r="M730">
            <v>1032</v>
          </cell>
          <cell r="N730">
            <v>117.59534373137933</v>
          </cell>
          <cell r="O730">
            <v>0</v>
          </cell>
          <cell r="P730">
            <v>0</v>
          </cell>
        </row>
        <row r="731">
          <cell r="M731">
            <v>1033</v>
          </cell>
          <cell r="N731">
            <v>119.67058534103452</v>
          </cell>
          <cell r="O731">
            <v>0</v>
          </cell>
          <cell r="P731">
            <v>0</v>
          </cell>
        </row>
        <row r="732">
          <cell r="M732">
            <v>1035</v>
          </cell>
          <cell r="N732">
            <v>175.62650002896555</v>
          </cell>
          <cell r="O732">
            <v>0</v>
          </cell>
          <cell r="P732">
            <v>0</v>
          </cell>
        </row>
        <row r="733">
          <cell r="M733">
            <v>1036</v>
          </cell>
          <cell r="N733">
            <v>59.99365806896553</v>
          </cell>
          <cell r="O733">
            <v>0</v>
          </cell>
          <cell r="P733">
            <v>0</v>
          </cell>
        </row>
        <row r="734">
          <cell r="M734">
            <v>1037</v>
          </cell>
          <cell r="N734">
            <v>59.324500788965516</v>
          </cell>
          <cell r="O734">
            <v>0</v>
          </cell>
          <cell r="P734">
            <v>0</v>
          </cell>
        </row>
        <row r="735">
          <cell r="M735">
            <v>1039</v>
          </cell>
          <cell r="N735">
            <v>179.46795209379312</v>
          </cell>
          <cell r="O735">
            <v>0</v>
          </cell>
          <cell r="P735">
            <v>0</v>
          </cell>
        </row>
        <row r="736">
          <cell r="M736">
            <v>1040</v>
          </cell>
          <cell r="N736">
            <v>830.93657555793129</v>
          </cell>
          <cell r="O736">
            <v>0</v>
          </cell>
          <cell r="P736">
            <v>0</v>
          </cell>
        </row>
        <row r="737">
          <cell r="M737">
            <v>1041</v>
          </cell>
          <cell r="N737">
            <v>83.828351175862039</v>
          </cell>
          <cell r="O737">
            <v>0</v>
          </cell>
          <cell r="P737">
            <v>0</v>
          </cell>
        </row>
        <row r="738">
          <cell r="M738">
            <v>1043</v>
          </cell>
          <cell r="N738">
            <v>229.89185754999991</v>
          </cell>
          <cell r="O738">
            <v>0</v>
          </cell>
          <cell r="P738">
            <v>0</v>
          </cell>
        </row>
        <row r="739">
          <cell r="M739">
            <v>1045</v>
          </cell>
          <cell r="N739">
            <v>305.60815605586203</v>
          </cell>
          <cell r="O739">
            <v>0</v>
          </cell>
          <cell r="P739">
            <v>0</v>
          </cell>
        </row>
        <row r="740">
          <cell r="M740">
            <v>1046</v>
          </cell>
          <cell r="N740">
            <v>194.62193887551723</v>
          </cell>
          <cell r="O740">
            <v>0</v>
          </cell>
          <cell r="P740">
            <v>0</v>
          </cell>
        </row>
        <row r="741">
          <cell r="M741">
            <v>1047</v>
          </cell>
          <cell r="N741">
            <v>93.687017754482781</v>
          </cell>
          <cell r="O741">
            <v>0</v>
          </cell>
          <cell r="P741">
            <v>0</v>
          </cell>
        </row>
        <row r="742">
          <cell r="M742">
            <v>1049</v>
          </cell>
          <cell r="N742">
            <v>346.14072973448276</v>
          </cell>
          <cell r="O742">
            <v>0</v>
          </cell>
          <cell r="P742">
            <v>0</v>
          </cell>
        </row>
        <row r="743">
          <cell r="M743">
            <v>1050</v>
          </cell>
          <cell r="N743">
            <v>63.392060132758637</v>
          </cell>
          <cell r="O743">
            <v>0</v>
          </cell>
          <cell r="P743">
            <v>0</v>
          </cell>
        </row>
        <row r="744">
          <cell r="M744">
            <v>1051</v>
          </cell>
          <cell r="N744">
            <v>112.53032844172414</v>
          </cell>
          <cell r="O744">
            <v>0</v>
          </cell>
          <cell r="P744">
            <v>0</v>
          </cell>
        </row>
        <row r="745">
          <cell r="M745">
            <v>1053</v>
          </cell>
          <cell r="N745">
            <v>185.21763139586207</v>
          </cell>
          <cell r="O745">
            <v>0</v>
          </cell>
          <cell r="P745">
            <v>0</v>
          </cell>
        </row>
        <row r="746">
          <cell r="M746">
            <v>1054</v>
          </cell>
          <cell r="N746">
            <v>437.87015420413803</v>
          </cell>
          <cell r="O746">
            <v>0</v>
          </cell>
          <cell r="P746">
            <v>0</v>
          </cell>
        </row>
        <row r="747">
          <cell r="M747">
            <v>1056</v>
          </cell>
          <cell r="N747">
            <v>22.888770132413796</v>
          </cell>
          <cell r="O747">
            <v>0</v>
          </cell>
          <cell r="P747">
            <v>0</v>
          </cell>
        </row>
        <row r="748">
          <cell r="M748">
            <v>1060</v>
          </cell>
          <cell r="N748">
            <v>448.29405721931039</v>
          </cell>
          <cell r="O748">
            <v>0</v>
          </cell>
          <cell r="P748">
            <v>0</v>
          </cell>
        </row>
        <row r="749">
          <cell r="M749">
            <v>1061</v>
          </cell>
          <cell r="N749">
            <v>352.14390857931039</v>
          </cell>
          <cell r="O749">
            <v>0</v>
          </cell>
          <cell r="P749">
            <v>0</v>
          </cell>
        </row>
        <row r="750">
          <cell r="M750">
            <v>1062</v>
          </cell>
          <cell r="N750">
            <v>68.992962418620692</v>
          </cell>
          <cell r="O750">
            <v>0</v>
          </cell>
          <cell r="P750">
            <v>0</v>
          </cell>
        </row>
        <row r="751">
          <cell r="M751">
            <v>1063</v>
          </cell>
          <cell r="N751">
            <v>159.0364945748276</v>
          </cell>
          <cell r="O751">
            <v>0</v>
          </cell>
          <cell r="P751">
            <v>0</v>
          </cell>
        </row>
        <row r="752">
          <cell r="M752">
            <v>1064</v>
          </cell>
          <cell r="N752">
            <v>376.07129672689661</v>
          </cell>
          <cell r="O752">
            <v>0</v>
          </cell>
          <cell r="P752">
            <v>0</v>
          </cell>
        </row>
        <row r="753">
          <cell r="M753">
            <v>1066</v>
          </cell>
          <cell r="N753">
            <v>281.28672006068956</v>
          </cell>
          <cell r="O753">
            <v>0</v>
          </cell>
          <cell r="P753">
            <v>0</v>
          </cell>
        </row>
        <row r="754">
          <cell r="M754">
            <v>1067</v>
          </cell>
          <cell r="N754">
            <v>182.96865239862061</v>
          </cell>
          <cell r="O754">
            <v>0</v>
          </cell>
          <cell r="P754">
            <v>0</v>
          </cell>
        </row>
        <row r="755">
          <cell r="M755">
            <v>1068</v>
          </cell>
          <cell r="N755">
            <v>26.320455604137919</v>
          </cell>
          <cell r="O755">
            <v>0</v>
          </cell>
          <cell r="P755">
            <v>0</v>
          </cell>
        </row>
        <row r="756">
          <cell r="M756">
            <v>1071</v>
          </cell>
          <cell r="N756">
            <v>113.45405493965518</v>
          </cell>
          <cell r="O756">
            <v>0</v>
          </cell>
          <cell r="P756">
            <v>0</v>
          </cell>
        </row>
        <row r="757">
          <cell r="M757">
            <v>1072</v>
          </cell>
          <cell r="N757">
            <v>258.44820143172416</v>
          </cell>
          <cell r="O757">
            <v>0</v>
          </cell>
          <cell r="P757">
            <v>0</v>
          </cell>
        </row>
        <row r="758">
          <cell r="M758">
            <v>1075</v>
          </cell>
          <cell r="N758">
            <v>378.80519459241378</v>
          </cell>
          <cell r="O758">
            <v>0</v>
          </cell>
          <cell r="P758">
            <v>0</v>
          </cell>
        </row>
        <row r="759">
          <cell r="M759">
            <v>1076</v>
          </cell>
          <cell r="N759">
            <v>817.6226727937933</v>
          </cell>
          <cell r="O759">
            <v>0</v>
          </cell>
          <cell r="P759">
            <v>0</v>
          </cell>
        </row>
        <row r="760">
          <cell r="M760">
            <v>1078</v>
          </cell>
          <cell r="N760">
            <v>191.23410052965519</v>
          </cell>
          <cell r="O760">
            <v>0</v>
          </cell>
          <cell r="P760">
            <v>0</v>
          </cell>
        </row>
        <row r="761">
          <cell r="M761">
            <v>1079</v>
          </cell>
          <cell r="N761">
            <v>82.372491788275838</v>
          </cell>
          <cell r="O761">
            <v>0</v>
          </cell>
          <cell r="P761">
            <v>0</v>
          </cell>
        </row>
        <row r="762">
          <cell r="M762">
            <v>1080</v>
          </cell>
          <cell r="N762">
            <v>299.94923575413793</v>
          </cell>
          <cell r="O762">
            <v>0</v>
          </cell>
          <cell r="P762">
            <v>0</v>
          </cell>
        </row>
        <row r="763">
          <cell r="M763">
            <v>1082</v>
          </cell>
          <cell r="N763">
            <v>166.22269821999998</v>
          </cell>
          <cell r="O763">
            <v>0</v>
          </cell>
          <cell r="P763">
            <v>0</v>
          </cell>
        </row>
        <row r="764">
          <cell r="M764">
            <v>1084</v>
          </cell>
          <cell r="N764">
            <v>452.99400496655176</v>
          </cell>
          <cell r="O764">
            <v>0</v>
          </cell>
          <cell r="P764">
            <v>0</v>
          </cell>
        </row>
        <row r="765">
          <cell r="M765">
            <v>1085</v>
          </cell>
          <cell r="N765">
            <v>45.916233711724132</v>
          </cell>
          <cell r="O765">
            <v>0</v>
          </cell>
          <cell r="P765">
            <v>0</v>
          </cell>
        </row>
        <row r="766">
          <cell r="M766">
            <v>1088</v>
          </cell>
          <cell r="N766">
            <v>415.69670810275858</v>
          </cell>
          <cell r="O766">
            <v>0</v>
          </cell>
          <cell r="P766">
            <v>0</v>
          </cell>
        </row>
        <row r="767">
          <cell r="M767">
            <v>1089</v>
          </cell>
          <cell r="N767">
            <v>258.16134419206895</v>
          </cell>
          <cell r="O767">
            <v>0</v>
          </cell>
          <cell r="P767">
            <v>0</v>
          </cell>
        </row>
        <row r="768">
          <cell r="M768">
            <v>1092</v>
          </cell>
          <cell r="N768">
            <v>183.17435170586197</v>
          </cell>
          <cell r="O768">
            <v>0</v>
          </cell>
          <cell r="P768">
            <v>0</v>
          </cell>
        </row>
        <row r="769">
          <cell r="M769">
            <v>1094</v>
          </cell>
          <cell r="N769">
            <v>106.29552714793104</v>
          </cell>
          <cell r="O769">
            <v>0</v>
          </cell>
          <cell r="P769">
            <v>0</v>
          </cell>
        </row>
        <row r="770">
          <cell r="M770">
            <v>1095</v>
          </cell>
          <cell r="N770">
            <v>176.74468752724138</v>
          </cell>
          <cell r="O770">
            <v>0</v>
          </cell>
          <cell r="P770">
            <v>0</v>
          </cell>
        </row>
        <row r="771">
          <cell r="M771">
            <v>1096</v>
          </cell>
          <cell r="N771">
            <v>10.402929445862069</v>
          </cell>
          <cell r="O771">
            <v>0</v>
          </cell>
          <cell r="P771">
            <v>0</v>
          </cell>
        </row>
        <row r="772">
          <cell r="M772">
            <v>1097</v>
          </cell>
          <cell r="N772">
            <v>322.38328997965522</v>
          </cell>
          <cell r="O772">
            <v>0</v>
          </cell>
          <cell r="P772">
            <v>0</v>
          </cell>
        </row>
        <row r="773">
          <cell r="M773">
            <v>1098</v>
          </cell>
          <cell r="N773">
            <v>130.90641841758622</v>
          </cell>
          <cell r="O773">
            <v>0</v>
          </cell>
          <cell r="P773">
            <v>0</v>
          </cell>
        </row>
        <row r="774">
          <cell r="M774">
            <v>1099</v>
          </cell>
          <cell r="N774">
            <v>144.81901756689655</v>
          </cell>
          <cell r="O774">
            <v>0</v>
          </cell>
          <cell r="P774">
            <v>0</v>
          </cell>
        </row>
        <row r="775">
          <cell r="M775">
            <v>1101</v>
          </cell>
          <cell r="N775">
            <v>222.98095733862075</v>
          </cell>
          <cell r="O775">
            <v>0</v>
          </cell>
          <cell r="P775">
            <v>0</v>
          </cell>
        </row>
        <row r="776">
          <cell r="M776">
            <v>1102</v>
          </cell>
          <cell r="N776">
            <v>445.76040975827584</v>
          </cell>
          <cell r="O776">
            <v>0</v>
          </cell>
          <cell r="P776">
            <v>0</v>
          </cell>
        </row>
        <row r="777">
          <cell r="M777">
            <v>1103</v>
          </cell>
          <cell r="N777">
            <v>217.46523951034476</v>
          </cell>
          <cell r="O777">
            <v>0</v>
          </cell>
          <cell r="P777">
            <v>0</v>
          </cell>
        </row>
        <row r="778">
          <cell r="M778">
            <v>1104</v>
          </cell>
          <cell r="N778">
            <v>409.76789621758633</v>
          </cell>
          <cell r="O778">
            <v>0</v>
          </cell>
          <cell r="P778">
            <v>0</v>
          </cell>
        </row>
        <row r="779">
          <cell r="M779">
            <v>1106</v>
          </cell>
          <cell r="N779">
            <v>235.7822419841379</v>
          </cell>
          <cell r="O779">
            <v>0</v>
          </cell>
          <cell r="P779">
            <v>0</v>
          </cell>
        </row>
        <row r="780">
          <cell r="M780">
            <v>1107</v>
          </cell>
          <cell r="N780">
            <v>161.38548995586206</v>
          </cell>
          <cell r="O780">
            <v>0</v>
          </cell>
          <cell r="P780">
            <v>0</v>
          </cell>
        </row>
        <row r="781">
          <cell r="M781">
            <v>1108</v>
          </cell>
          <cell r="N781">
            <v>140.27788297793106</v>
          </cell>
          <cell r="O781">
            <v>0</v>
          </cell>
          <cell r="P781">
            <v>0</v>
          </cell>
        </row>
        <row r="782">
          <cell r="M782">
            <v>1109</v>
          </cell>
          <cell r="N782">
            <v>295.86207838862066</v>
          </cell>
          <cell r="O782">
            <v>0</v>
          </cell>
          <cell r="P782">
            <v>0</v>
          </cell>
        </row>
        <row r="783">
          <cell r="M783">
            <v>1110</v>
          </cell>
          <cell r="N783">
            <v>696.9994737031036</v>
          </cell>
          <cell r="O783">
            <v>0</v>
          </cell>
          <cell r="P783">
            <v>0</v>
          </cell>
        </row>
        <row r="784">
          <cell r="M784">
            <v>1111</v>
          </cell>
          <cell r="N784">
            <v>44.660144186896552</v>
          </cell>
          <cell r="O784">
            <v>0</v>
          </cell>
          <cell r="P784">
            <v>0</v>
          </cell>
        </row>
        <row r="785">
          <cell r="M785">
            <v>1113</v>
          </cell>
          <cell r="N785">
            <v>1134.9654095258622</v>
          </cell>
          <cell r="O785">
            <v>0</v>
          </cell>
          <cell r="P785">
            <v>0</v>
          </cell>
        </row>
        <row r="786">
          <cell r="M786">
            <v>1114</v>
          </cell>
          <cell r="N786">
            <v>325.78311231586196</v>
          </cell>
          <cell r="O786">
            <v>0</v>
          </cell>
          <cell r="P786">
            <v>0</v>
          </cell>
        </row>
        <row r="787">
          <cell r="M787">
            <v>1115</v>
          </cell>
          <cell r="N787">
            <v>486.88295705172413</v>
          </cell>
          <cell r="O787">
            <v>0</v>
          </cell>
          <cell r="P787">
            <v>0</v>
          </cell>
        </row>
        <row r="788">
          <cell r="M788">
            <v>1116</v>
          </cell>
          <cell r="N788">
            <v>445.66466456000001</v>
          </cell>
          <cell r="O788">
            <v>0</v>
          </cell>
          <cell r="P788">
            <v>0</v>
          </cell>
        </row>
        <row r="789">
          <cell r="M789">
            <v>1117</v>
          </cell>
          <cell r="N789">
            <v>286.60446953068964</v>
          </cell>
          <cell r="O789">
            <v>0</v>
          </cell>
          <cell r="P789">
            <v>0</v>
          </cell>
        </row>
        <row r="790">
          <cell r="M790">
            <v>1118</v>
          </cell>
          <cell r="N790">
            <v>500.88173987206915</v>
          </cell>
          <cell r="O790">
            <v>0</v>
          </cell>
          <cell r="P790">
            <v>0</v>
          </cell>
        </row>
        <row r="791">
          <cell r="M791">
            <v>1119</v>
          </cell>
          <cell r="N791">
            <v>380.6477994331035</v>
          </cell>
          <cell r="O791">
            <v>0</v>
          </cell>
          <cell r="P791">
            <v>0</v>
          </cell>
        </row>
        <row r="792">
          <cell r="M792">
            <v>1120</v>
          </cell>
          <cell r="N792">
            <v>293.99820762862072</v>
          </cell>
          <cell r="O792">
            <v>0</v>
          </cell>
          <cell r="P792">
            <v>0</v>
          </cell>
        </row>
        <row r="793">
          <cell r="M793">
            <v>1123</v>
          </cell>
          <cell r="N793">
            <v>178.67474671241379</v>
          </cell>
          <cell r="O793">
            <v>0</v>
          </cell>
          <cell r="P793">
            <v>0</v>
          </cell>
        </row>
        <row r="794">
          <cell r="M794">
            <v>1124</v>
          </cell>
          <cell r="N794">
            <v>470.3950010751725</v>
          </cell>
          <cell r="O794">
            <v>0</v>
          </cell>
          <cell r="P794">
            <v>0</v>
          </cell>
        </row>
        <row r="795">
          <cell r="M795">
            <v>1125</v>
          </cell>
          <cell r="N795">
            <v>120.16626866241377</v>
          </cell>
          <cell r="O795">
            <v>0</v>
          </cell>
          <cell r="P795">
            <v>0</v>
          </cell>
        </row>
        <row r="796">
          <cell r="M796">
            <v>1126</v>
          </cell>
          <cell r="N796">
            <v>143.05319179344829</v>
          </cell>
          <cell r="O796">
            <v>0</v>
          </cell>
          <cell r="P796">
            <v>0</v>
          </cell>
        </row>
        <row r="797">
          <cell r="M797">
            <v>1127</v>
          </cell>
          <cell r="N797">
            <v>107.41092902931035</v>
          </cell>
          <cell r="O797">
            <v>0</v>
          </cell>
          <cell r="P797">
            <v>0</v>
          </cell>
        </row>
        <row r="798">
          <cell r="M798">
            <v>1128</v>
          </cell>
          <cell r="N798">
            <v>68.415584138275889</v>
          </cell>
          <cell r="O798">
            <v>0</v>
          </cell>
          <cell r="P798">
            <v>0</v>
          </cell>
        </row>
        <row r="799">
          <cell r="M799">
            <v>1129</v>
          </cell>
          <cell r="N799">
            <v>68.598753193103462</v>
          </cell>
          <cell r="O799">
            <v>0</v>
          </cell>
          <cell r="P799">
            <v>0</v>
          </cell>
        </row>
        <row r="800">
          <cell r="M800">
            <v>1130</v>
          </cell>
          <cell r="N800">
            <v>272.67766664275865</v>
          </cell>
          <cell r="O800">
            <v>0</v>
          </cell>
          <cell r="P800">
            <v>0</v>
          </cell>
        </row>
        <row r="801">
          <cell r="M801">
            <v>1131</v>
          </cell>
          <cell r="N801">
            <v>172.41071671862062</v>
          </cell>
          <cell r="O801">
            <v>0</v>
          </cell>
          <cell r="P801">
            <v>0</v>
          </cell>
        </row>
        <row r="802">
          <cell r="M802">
            <v>1133</v>
          </cell>
          <cell r="N802">
            <v>63.261193646206905</v>
          </cell>
          <cell r="O802">
            <v>0</v>
          </cell>
          <cell r="P802">
            <v>0</v>
          </cell>
        </row>
        <row r="803">
          <cell r="M803">
            <v>1134</v>
          </cell>
          <cell r="N803">
            <v>42.503006446551737</v>
          </cell>
          <cell r="O803">
            <v>0</v>
          </cell>
          <cell r="P803">
            <v>0</v>
          </cell>
        </row>
        <row r="804">
          <cell r="M804">
            <v>1135</v>
          </cell>
          <cell r="N804">
            <v>21.589531844137923</v>
          </cell>
          <cell r="O804">
            <v>0</v>
          </cell>
          <cell r="P804">
            <v>0</v>
          </cell>
        </row>
        <row r="805">
          <cell r="M805">
            <v>1136</v>
          </cell>
          <cell r="N805">
            <v>603.06264628103463</v>
          </cell>
          <cell r="O805">
            <v>0</v>
          </cell>
          <cell r="P805">
            <v>0</v>
          </cell>
        </row>
        <row r="806">
          <cell r="M806">
            <v>1137</v>
          </cell>
          <cell r="N806">
            <v>68.079546733448282</v>
          </cell>
          <cell r="O806">
            <v>0</v>
          </cell>
          <cell r="P806">
            <v>0</v>
          </cell>
        </row>
        <row r="807">
          <cell r="M807">
            <v>1139</v>
          </cell>
          <cell r="N807">
            <v>178.55069684413792</v>
          </cell>
          <cell r="O807">
            <v>0</v>
          </cell>
          <cell r="P807">
            <v>0</v>
          </cell>
        </row>
        <row r="808">
          <cell r="M808">
            <v>1141</v>
          </cell>
          <cell r="N808">
            <v>265.79187443275862</v>
          </cell>
          <cell r="O808">
            <v>0</v>
          </cell>
          <cell r="P808">
            <v>0</v>
          </cell>
        </row>
        <row r="809">
          <cell r="M809">
            <v>1143</v>
          </cell>
          <cell r="N809">
            <v>375.13273356724147</v>
          </cell>
          <cell r="O809">
            <v>0</v>
          </cell>
          <cell r="P809">
            <v>0</v>
          </cell>
        </row>
        <row r="810">
          <cell r="M810">
            <v>1144</v>
          </cell>
          <cell r="N810">
            <v>15.20798258689655</v>
          </cell>
          <cell r="O810">
            <v>0</v>
          </cell>
          <cell r="P810">
            <v>0</v>
          </cell>
        </row>
        <row r="811">
          <cell r="M811">
            <v>1145</v>
          </cell>
          <cell r="N811">
            <v>43.692627498620681</v>
          </cell>
          <cell r="O811">
            <v>0</v>
          </cell>
          <cell r="P811">
            <v>0</v>
          </cell>
        </row>
        <row r="812">
          <cell r="M812">
            <v>1146</v>
          </cell>
          <cell r="N812">
            <v>76.984902101034464</v>
          </cell>
          <cell r="O812">
            <v>0</v>
          </cell>
          <cell r="P812">
            <v>0</v>
          </cell>
        </row>
        <row r="813">
          <cell r="M813">
            <v>1147</v>
          </cell>
          <cell r="N813">
            <v>74.592336746896549</v>
          </cell>
          <cell r="O813">
            <v>0</v>
          </cell>
          <cell r="P813">
            <v>0</v>
          </cell>
        </row>
        <row r="814">
          <cell r="M814">
            <v>1149</v>
          </cell>
          <cell r="N814">
            <v>224.43069570758624</v>
          </cell>
          <cell r="O814">
            <v>0</v>
          </cell>
          <cell r="P814">
            <v>0</v>
          </cell>
        </row>
        <row r="815">
          <cell r="M815">
            <v>1150</v>
          </cell>
          <cell r="N815">
            <v>967.11237678241355</v>
          </cell>
          <cell r="O815">
            <v>0</v>
          </cell>
          <cell r="P815">
            <v>0</v>
          </cell>
        </row>
        <row r="816">
          <cell r="M816">
            <v>1151</v>
          </cell>
          <cell r="N816">
            <v>102.43263458137929</v>
          </cell>
          <cell r="O816">
            <v>0</v>
          </cell>
          <cell r="P816">
            <v>0</v>
          </cell>
        </row>
        <row r="817">
          <cell r="M817">
            <v>1155</v>
          </cell>
          <cell r="N817">
            <v>1377.141912697931</v>
          </cell>
          <cell r="O817">
            <v>0</v>
          </cell>
          <cell r="P817">
            <v>0</v>
          </cell>
        </row>
        <row r="818">
          <cell r="M818">
            <v>1156</v>
          </cell>
          <cell r="N818">
            <v>214.73985228241378</v>
          </cell>
          <cell r="O818">
            <v>0</v>
          </cell>
          <cell r="P818">
            <v>0</v>
          </cell>
        </row>
        <row r="819">
          <cell r="M819">
            <v>1158</v>
          </cell>
          <cell r="N819">
            <v>120.13303051068966</v>
          </cell>
          <cell r="O819">
            <v>0</v>
          </cell>
          <cell r="P819">
            <v>0</v>
          </cell>
        </row>
        <row r="820">
          <cell r="M820">
            <v>1159</v>
          </cell>
          <cell r="N820">
            <v>358.97347439965523</v>
          </cell>
          <cell r="O820">
            <v>0</v>
          </cell>
          <cell r="P820">
            <v>0</v>
          </cell>
        </row>
        <row r="821">
          <cell r="M821">
            <v>1160</v>
          </cell>
          <cell r="N821">
            <v>158.54808062965517</v>
          </cell>
          <cell r="O821">
            <v>0</v>
          </cell>
          <cell r="P821">
            <v>0</v>
          </cell>
        </row>
        <row r="822">
          <cell r="M822">
            <v>1161</v>
          </cell>
          <cell r="N822">
            <v>667.6602175189654</v>
          </cell>
          <cell r="O822">
            <v>0</v>
          </cell>
          <cell r="P822">
            <v>0</v>
          </cell>
        </row>
        <row r="823">
          <cell r="M823">
            <v>1162</v>
          </cell>
          <cell r="N823">
            <v>145.7003695344828</v>
          </cell>
          <cell r="O823">
            <v>0</v>
          </cell>
          <cell r="P823">
            <v>0</v>
          </cell>
        </row>
        <row r="824">
          <cell r="M824">
            <v>1165</v>
          </cell>
          <cell r="N824">
            <v>442.83671798137937</v>
          </cell>
          <cell r="O824">
            <v>0</v>
          </cell>
          <cell r="P824">
            <v>0</v>
          </cell>
        </row>
        <row r="825">
          <cell r="M825">
            <v>1166</v>
          </cell>
          <cell r="N825">
            <v>17.27503338586207</v>
          </cell>
          <cell r="O825">
            <v>0</v>
          </cell>
          <cell r="P825">
            <v>0</v>
          </cell>
        </row>
        <row r="826">
          <cell r="M826">
            <v>1167</v>
          </cell>
          <cell r="N826">
            <v>25.116781988965524</v>
          </cell>
          <cell r="O826">
            <v>0</v>
          </cell>
          <cell r="P826">
            <v>0</v>
          </cell>
        </row>
        <row r="827">
          <cell r="M827">
            <v>1168</v>
          </cell>
          <cell r="N827">
            <v>22.259816270689655</v>
          </cell>
          <cell r="O827">
            <v>0</v>
          </cell>
          <cell r="P827">
            <v>0</v>
          </cell>
        </row>
        <row r="828">
          <cell r="M828">
            <v>1169</v>
          </cell>
          <cell r="N828">
            <v>329.08089364793102</v>
          </cell>
          <cell r="O828">
            <v>0</v>
          </cell>
          <cell r="P828">
            <v>0</v>
          </cell>
        </row>
        <row r="829">
          <cell r="M829">
            <v>1170</v>
          </cell>
          <cell r="N829">
            <v>287.18575173517252</v>
          </cell>
          <cell r="O829">
            <v>0</v>
          </cell>
          <cell r="P829">
            <v>0</v>
          </cell>
        </row>
        <row r="830">
          <cell r="M830">
            <v>1171</v>
          </cell>
          <cell r="N830">
            <v>212.11781667758623</v>
          </cell>
          <cell r="O830">
            <v>0</v>
          </cell>
          <cell r="P830">
            <v>0</v>
          </cell>
        </row>
        <row r="831">
          <cell r="M831">
            <v>1172</v>
          </cell>
          <cell r="N831">
            <v>287.36487518275862</v>
          </cell>
          <cell r="O831">
            <v>0</v>
          </cell>
          <cell r="P831">
            <v>0</v>
          </cell>
        </row>
        <row r="832">
          <cell r="M832">
            <v>1173</v>
          </cell>
          <cell r="N832">
            <v>36.96303318999999</v>
          </cell>
          <cell r="O832">
            <v>0</v>
          </cell>
          <cell r="P832">
            <v>0</v>
          </cell>
        </row>
        <row r="833">
          <cell r="M833">
            <v>1175</v>
          </cell>
          <cell r="N833">
            <v>60.333802504827581</v>
          </cell>
          <cell r="O833">
            <v>0</v>
          </cell>
          <cell r="P833">
            <v>0</v>
          </cell>
        </row>
        <row r="834">
          <cell r="M834">
            <v>1176</v>
          </cell>
          <cell r="N834">
            <v>10.431677256896551</v>
          </cell>
          <cell r="O834">
            <v>0</v>
          </cell>
          <cell r="P834">
            <v>0</v>
          </cell>
        </row>
        <row r="835">
          <cell r="M835">
            <v>1177</v>
          </cell>
          <cell r="N835">
            <v>248.08195789275868</v>
          </cell>
          <cell r="O835">
            <v>0</v>
          </cell>
          <cell r="P835">
            <v>0</v>
          </cell>
        </row>
        <row r="836">
          <cell r="M836">
            <v>1178</v>
          </cell>
          <cell r="N836">
            <v>556.31175505103454</v>
          </cell>
          <cell r="O836">
            <v>0</v>
          </cell>
          <cell r="P836">
            <v>0</v>
          </cell>
        </row>
        <row r="837">
          <cell r="M837">
            <v>1180</v>
          </cell>
          <cell r="N837">
            <v>163.44074195379315</v>
          </cell>
          <cell r="O837">
            <v>0</v>
          </cell>
          <cell r="P837">
            <v>0</v>
          </cell>
        </row>
        <row r="838">
          <cell r="M838">
            <v>1181</v>
          </cell>
          <cell r="N838">
            <v>396.12844086517231</v>
          </cell>
          <cell r="O838">
            <v>0</v>
          </cell>
          <cell r="P838">
            <v>0</v>
          </cell>
        </row>
        <row r="839">
          <cell r="M839">
            <v>1182</v>
          </cell>
          <cell r="N839">
            <v>258.38611214379307</v>
          </cell>
          <cell r="O839">
            <v>0</v>
          </cell>
          <cell r="P839">
            <v>0</v>
          </cell>
        </row>
        <row r="840">
          <cell r="M840">
            <v>1183</v>
          </cell>
          <cell r="N840">
            <v>40.700584057586198</v>
          </cell>
          <cell r="O840">
            <v>0</v>
          </cell>
          <cell r="P840">
            <v>0</v>
          </cell>
        </row>
        <row r="841">
          <cell r="M841">
            <v>1186</v>
          </cell>
          <cell r="N841">
            <v>41.240707343103452</v>
          </cell>
          <cell r="O841">
            <v>0</v>
          </cell>
          <cell r="P841">
            <v>0</v>
          </cell>
        </row>
        <row r="842">
          <cell r="M842">
            <v>1187</v>
          </cell>
          <cell r="N842">
            <v>51.366786091034477</v>
          </cell>
          <cell r="O842">
            <v>0</v>
          </cell>
          <cell r="P842">
            <v>0</v>
          </cell>
        </row>
        <row r="843">
          <cell r="M843">
            <v>1188</v>
          </cell>
          <cell r="N843">
            <v>145.28816550413794</v>
          </cell>
          <cell r="O843">
            <v>0</v>
          </cell>
          <cell r="P843">
            <v>0</v>
          </cell>
        </row>
        <row r="844">
          <cell r="M844">
            <v>1189</v>
          </cell>
          <cell r="N844">
            <v>176.71799657103443</v>
          </cell>
          <cell r="O844">
            <v>0</v>
          </cell>
          <cell r="P844">
            <v>0</v>
          </cell>
        </row>
        <row r="845">
          <cell r="M845">
            <v>1190</v>
          </cell>
          <cell r="N845">
            <v>118.58366596689655</v>
          </cell>
          <cell r="O845">
            <v>0</v>
          </cell>
          <cell r="P845">
            <v>0</v>
          </cell>
        </row>
        <row r="846">
          <cell r="M846">
            <v>1192</v>
          </cell>
          <cell r="N846">
            <v>136.56643981793104</v>
          </cell>
          <cell r="O846">
            <v>0</v>
          </cell>
          <cell r="P846">
            <v>0</v>
          </cell>
        </row>
        <row r="847">
          <cell r="M847">
            <v>1194</v>
          </cell>
          <cell r="N847">
            <v>18.780341662068963</v>
          </cell>
          <cell r="O847">
            <v>0</v>
          </cell>
          <cell r="P847">
            <v>0</v>
          </cell>
        </row>
        <row r="848">
          <cell r="M848">
            <v>1195</v>
          </cell>
          <cell r="N848">
            <v>132.79819257551725</v>
          </cell>
          <cell r="O848">
            <v>0</v>
          </cell>
          <cell r="P848">
            <v>0</v>
          </cell>
        </row>
        <row r="849">
          <cell r="M849">
            <v>1196</v>
          </cell>
          <cell r="N849">
            <v>42.373887067586203</v>
          </cell>
          <cell r="O849">
            <v>0</v>
          </cell>
          <cell r="P849">
            <v>0</v>
          </cell>
        </row>
        <row r="850">
          <cell r="M850">
            <v>1197</v>
          </cell>
          <cell r="N850">
            <v>129.19799896689656</v>
          </cell>
          <cell r="O850">
            <v>0</v>
          </cell>
          <cell r="P850">
            <v>0</v>
          </cell>
        </row>
        <row r="851">
          <cell r="M851">
            <v>1199</v>
          </cell>
          <cell r="N851">
            <v>37.447065777241377</v>
          </cell>
          <cell r="O851">
            <v>0</v>
          </cell>
          <cell r="P851">
            <v>0</v>
          </cell>
        </row>
        <row r="852">
          <cell r="M852">
            <v>1200</v>
          </cell>
          <cell r="N852">
            <v>228.30197017758616</v>
          </cell>
          <cell r="O852">
            <v>0</v>
          </cell>
          <cell r="P852">
            <v>0</v>
          </cell>
        </row>
        <row r="853">
          <cell r="M853">
            <v>1201</v>
          </cell>
          <cell r="N853">
            <v>111.20076531068963</v>
          </cell>
          <cell r="O853">
            <v>0</v>
          </cell>
          <cell r="P853">
            <v>0</v>
          </cell>
        </row>
        <row r="854">
          <cell r="M854">
            <v>1202</v>
          </cell>
          <cell r="N854">
            <v>136.47080928172417</v>
          </cell>
          <cell r="O854">
            <v>0</v>
          </cell>
          <cell r="P854">
            <v>0</v>
          </cell>
        </row>
        <row r="855">
          <cell r="M855">
            <v>1204</v>
          </cell>
          <cell r="N855">
            <v>219.14444550206892</v>
          </cell>
          <cell r="O855">
            <v>0</v>
          </cell>
          <cell r="P855">
            <v>0</v>
          </cell>
        </row>
        <row r="856">
          <cell r="M856">
            <v>1205</v>
          </cell>
          <cell r="N856">
            <v>673.75204728448284</v>
          </cell>
          <cell r="O856">
            <v>0</v>
          </cell>
          <cell r="P856">
            <v>0</v>
          </cell>
        </row>
        <row r="857">
          <cell r="M857">
            <v>1206</v>
          </cell>
          <cell r="N857">
            <v>27.496652315172419</v>
          </cell>
          <cell r="O857">
            <v>0</v>
          </cell>
          <cell r="P857">
            <v>0</v>
          </cell>
        </row>
        <row r="858">
          <cell r="M858">
            <v>1207</v>
          </cell>
          <cell r="N858">
            <v>139.1797433924138</v>
          </cell>
          <cell r="O858">
            <v>0</v>
          </cell>
          <cell r="P858">
            <v>0</v>
          </cell>
        </row>
        <row r="859">
          <cell r="M859">
            <v>1208</v>
          </cell>
          <cell r="N859">
            <v>175.94389364620687</v>
          </cell>
          <cell r="O859">
            <v>0</v>
          </cell>
          <cell r="P859">
            <v>0</v>
          </cell>
        </row>
        <row r="860">
          <cell r="M860">
            <v>1212</v>
          </cell>
          <cell r="N860">
            <v>243.17352465620689</v>
          </cell>
          <cell r="O860">
            <v>0</v>
          </cell>
          <cell r="P860">
            <v>0</v>
          </cell>
        </row>
        <row r="861">
          <cell r="M861">
            <v>1213</v>
          </cell>
          <cell r="N861">
            <v>401.01042700103443</v>
          </cell>
          <cell r="O861">
            <v>0</v>
          </cell>
          <cell r="P861">
            <v>0</v>
          </cell>
        </row>
        <row r="862">
          <cell r="M862">
            <v>1214</v>
          </cell>
          <cell r="N862">
            <v>599.24641110586197</v>
          </cell>
          <cell r="O862">
            <v>0</v>
          </cell>
          <cell r="P862">
            <v>0</v>
          </cell>
        </row>
        <row r="863">
          <cell r="M863">
            <v>1215</v>
          </cell>
          <cell r="N863">
            <v>90.105816748965537</v>
          </cell>
          <cell r="O863">
            <v>0</v>
          </cell>
          <cell r="P863">
            <v>0</v>
          </cell>
        </row>
        <row r="864">
          <cell r="M864">
            <v>1217</v>
          </cell>
          <cell r="N864">
            <v>763.63995511034523</v>
          </cell>
          <cell r="O864">
            <v>0</v>
          </cell>
          <cell r="P864">
            <v>0</v>
          </cell>
        </row>
        <row r="865">
          <cell r="M865">
            <v>1218</v>
          </cell>
          <cell r="N865">
            <v>217.44557720862065</v>
          </cell>
          <cell r="O865">
            <v>0</v>
          </cell>
          <cell r="P865">
            <v>0</v>
          </cell>
        </row>
        <row r="866">
          <cell r="M866">
            <v>1220</v>
          </cell>
          <cell r="N866">
            <v>602.55692362896559</v>
          </cell>
          <cell r="O866">
            <v>0</v>
          </cell>
          <cell r="P866">
            <v>0</v>
          </cell>
        </row>
        <row r="867">
          <cell r="M867">
            <v>1225</v>
          </cell>
          <cell r="N867">
            <v>341.1415624679309</v>
          </cell>
          <cell r="O867">
            <v>0</v>
          </cell>
          <cell r="P867">
            <v>0</v>
          </cell>
        </row>
        <row r="868">
          <cell r="M868">
            <v>1227</v>
          </cell>
          <cell r="N868">
            <v>143.37440768172411</v>
          </cell>
          <cell r="O868">
            <v>0</v>
          </cell>
          <cell r="P868">
            <v>0</v>
          </cell>
        </row>
        <row r="869">
          <cell r="M869">
            <v>1228</v>
          </cell>
          <cell r="N869">
            <v>440.95021965103439</v>
          </cell>
          <cell r="O869">
            <v>0</v>
          </cell>
          <cell r="P869">
            <v>0</v>
          </cell>
        </row>
        <row r="870">
          <cell r="M870">
            <v>1229</v>
          </cell>
          <cell r="N870">
            <v>114.44669232793105</v>
          </cell>
          <cell r="O870">
            <v>0</v>
          </cell>
          <cell r="P870">
            <v>0</v>
          </cell>
        </row>
        <row r="871">
          <cell r="M871">
            <v>1231</v>
          </cell>
          <cell r="N871">
            <v>513.277665256207</v>
          </cell>
          <cell r="O871">
            <v>0</v>
          </cell>
          <cell r="P871">
            <v>0</v>
          </cell>
        </row>
        <row r="872">
          <cell r="M872">
            <v>1233</v>
          </cell>
          <cell r="N872">
            <v>173.44257092551726</v>
          </cell>
          <cell r="O872">
            <v>0</v>
          </cell>
          <cell r="P872">
            <v>0</v>
          </cell>
        </row>
        <row r="873">
          <cell r="M873">
            <v>1234</v>
          </cell>
          <cell r="N873">
            <v>56.692549565862066</v>
          </cell>
          <cell r="O873">
            <v>0</v>
          </cell>
          <cell r="P873">
            <v>0</v>
          </cell>
        </row>
        <row r="874">
          <cell r="M874">
            <v>1235</v>
          </cell>
          <cell r="N874">
            <v>108.16688131310345</v>
          </cell>
          <cell r="O874">
            <v>0</v>
          </cell>
          <cell r="P874">
            <v>0</v>
          </cell>
        </row>
        <row r="875">
          <cell r="M875">
            <v>1236</v>
          </cell>
          <cell r="N875">
            <v>1607.3842507106885</v>
          </cell>
          <cell r="O875">
            <v>0</v>
          </cell>
          <cell r="P875">
            <v>0</v>
          </cell>
        </row>
        <row r="876">
          <cell r="M876">
            <v>1237</v>
          </cell>
          <cell r="N876">
            <v>77.481140863103462</v>
          </cell>
          <cell r="O876">
            <v>0</v>
          </cell>
          <cell r="P876">
            <v>0</v>
          </cell>
        </row>
        <row r="877">
          <cell r="M877">
            <v>1243</v>
          </cell>
          <cell r="N877">
            <v>42.178721891034471</v>
          </cell>
          <cell r="O877">
            <v>0</v>
          </cell>
          <cell r="P877">
            <v>0</v>
          </cell>
        </row>
        <row r="878">
          <cell r="M878">
            <v>1244</v>
          </cell>
          <cell r="N878">
            <v>538.79234954172398</v>
          </cell>
          <cell r="O878">
            <v>0</v>
          </cell>
          <cell r="P878">
            <v>0</v>
          </cell>
        </row>
        <row r="879">
          <cell r="M879">
            <v>1245</v>
          </cell>
          <cell r="N879">
            <v>285.09716427793097</v>
          </cell>
          <cell r="O879">
            <v>0</v>
          </cell>
          <cell r="P879">
            <v>0</v>
          </cell>
        </row>
        <row r="880">
          <cell r="M880">
            <v>1246</v>
          </cell>
          <cell r="N880">
            <v>459.6830364148276</v>
          </cell>
          <cell r="O880">
            <v>0</v>
          </cell>
          <cell r="P880">
            <v>0</v>
          </cell>
        </row>
        <row r="881">
          <cell r="M881">
            <v>1248</v>
          </cell>
          <cell r="N881">
            <v>834.3326694668965</v>
          </cell>
          <cell r="O881">
            <v>0</v>
          </cell>
          <cell r="P881">
            <v>0</v>
          </cell>
        </row>
        <row r="882">
          <cell r="M882">
            <v>1249</v>
          </cell>
          <cell r="N882">
            <v>452.73111346551718</v>
          </cell>
          <cell r="O882">
            <v>0</v>
          </cell>
          <cell r="P882">
            <v>0</v>
          </cell>
        </row>
        <row r="883">
          <cell r="M883">
            <v>1250</v>
          </cell>
          <cell r="N883">
            <v>464.21550015931035</v>
          </cell>
          <cell r="O883">
            <v>0</v>
          </cell>
          <cell r="P883">
            <v>0</v>
          </cell>
        </row>
        <row r="884">
          <cell r="M884">
            <v>1252</v>
          </cell>
          <cell r="N884">
            <v>731.22152229793073</v>
          </cell>
          <cell r="O884">
            <v>0</v>
          </cell>
          <cell r="P884">
            <v>0</v>
          </cell>
        </row>
        <row r="885">
          <cell r="M885">
            <v>1256</v>
          </cell>
          <cell r="N885">
            <v>93.111001945862085</v>
          </cell>
          <cell r="O885">
            <v>0</v>
          </cell>
          <cell r="P885">
            <v>0</v>
          </cell>
        </row>
        <row r="886">
          <cell r="M886">
            <v>1257</v>
          </cell>
          <cell r="N886">
            <v>94.88982622931033</v>
          </cell>
          <cell r="O886">
            <v>0</v>
          </cell>
          <cell r="P886">
            <v>0</v>
          </cell>
        </row>
        <row r="887">
          <cell r="M887">
            <v>1258</v>
          </cell>
          <cell r="N887">
            <v>150.7089109103448</v>
          </cell>
          <cell r="O887">
            <v>0</v>
          </cell>
          <cell r="P887">
            <v>0</v>
          </cell>
        </row>
        <row r="888">
          <cell r="M888">
            <v>1260</v>
          </cell>
          <cell r="N888">
            <v>502.14760026206892</v>
          </cell>
          <cell r="O888">
            <v>0</v>
          </cell>
          <cell r="P888">
            <v>0</v>
          </cell>
        </row>
        <row r="889">
          <cell r="M889">
            <v>1261</v>
          </cell>
          <cell r="N889">
            <v>159.46190404000001</v>
          </cell>
          <cell r="O889">
            <v>0</v>
          </cell>
          <cell r="P889">
            <v>0</v>
          </cell>
        </row>
        <row r="890">
          <cell r="M890">
            <v>1262</v>
          </cell>
          <cell r="N890">
            <v>144.70546485862064</v>
          </cell>
          <cell r="O890">
            <v>0</v>
          </cell>
          <cell r="P890">
            <v>0</v>
          </cell>
        </row>
        <row r="891">
          <cell r="M891">
            <v>1263</v>
          </cell>
          <cell r="N891">
            <v>235.10575257758623</v>
          </cell>
          <cell r="O891">
            <v>0</v>
          </cell>
          <cell r="P891">
            <v>0</v>
          </cell>
        </row>
        <row r="892">
          <cell r="M892">
            <v>1264</v>
          </cell>
          <cell r="N892">
            <v>207.67770032448271</v>
          </cell>
          <cell r="O892">
            <v>0</v>
          </cell>
          <cell r="P892">
            <v>0</v>
          </cell>
        </row>
        <row r="893">
          <cell r="M893">
            <v>1265</v>
          </cell>
          <cell r="N893">
            <v>183.42687769758626</v>
          </cell>
          <cell r="O893">
            <v>0</v>
          </cell>
          <cell r="P893">
            <v>0</v>
          </cell>
        </row>
        <row r="894">
          <cell r="M894">
            <v>1266</v>
          </cell>
          <cell r="N894">
            <v>471.47422259137926</v>
          </cell>
          <cell r="O894">
            <v>0</v>
          </cell>
          <cell r="P894">
            <v>0</v>
          </cell>
        </row>
        <row r="895">
          <cell r="M895">
            <v>1269</v>
          </cell>
          <cell r="N895">
            <v>202.41346790689659</v>
          </cell>
          <cell r="O895">
            <v>0</v>
          </cell>
          <cell r="P895">
            <v>0</v>
          </cell>
        </row>
        <row r="896">
          <cell r="M896">
            <v>1270</v>
          </cell>
          <cell r="N896">
            <v>6.5851718055172412</v>
          </cell>
          <cell r="O896">
            <v>0</v>
          </cell>
          <cell r="P896">
            <v>0</v>
          </cell>
        </row>
        <row r="897">
          <cell r="M897">
            <v>1271</v>
          </cell>
          <cell r="N897">
            <v>263.05237191310357</v>
          </cell>
          <cell r="O897">
            <v>0</v>
          </cell>
          <cell r="P897">
            <v>0</v>
          </cell>
        </row>
        <row r="898">
          <cell r="M898">
            <v>1272</v>
          </cell>
          <cell r="N898">
            <v>95.376793528275897</v>
          </cell>
          <cell r="O898">
            <v>0</v>
          </cell>
          <cell r="P898">
            <v>0</v>
          </cell>
        </row>
        <row r="899">
          <cell r="M899">
            <v>1275</v>
          </cell>
          <cell r="N899">
            <v>479.25909532241371</v>
          </cell>
          <cell r="O899">
            <v>0</v>
          </cell>
          <cell r="P899">
            <v>0</v>
          </cell>
        </row>
        <row r="900">
          <cell r="M900">
            <v>1276</v>
          </cell>
          <cell r="N900">
            <v>727.95038305586206</v>
          </cell>
          <cell r="O900">
            <v>0</v>
          </cell>
          <cell r="P900">
            <v>0</v>
          </cell>
        </row>
        <row r="901">
          <cell r="M901">
            <v>1278</v>
          </cell>
          <cell r="N901">
            <v>150.80294450448275</v>
          </cell>
          <cell r="O901">
            <v>0</v>
          </cell>
          <cell r="P901">
            <v>0</v>
          </cell>
        </row>
        <row r="902">
          <cell r="M902">
            <v>1279</v>
          </cell>
          <cell r="N902">
            <v>112.75966238620687</v>
          </cell>
          <cell r="O902">
            <v>0</v>
          </cell>
          <cell r="P902">
            <v>0</v>
          </cell>
        </row>
        <row r="903">
          <cell r="M903">
            <v>1280</v>
          </cell>
          <cell r="N903">
            <v>75.639102916551721</v>
          </cell>
          <cell r="O903">
            <v>0</v>
          </cell>
          <cell r="P903">
            <v>0</v>
          </cell>
        </row>
        <row r="904">
          <cell r="M904">
            <v>1281</v>
          </cell>
          <cell r="N904">
            <v>53.534670318965532</v>
          </cell>
          <cell r="O904">
            <v>0</v>
          </cell>
          <cell r="P904">
            <v>0</v>
          </cell>
        </row>
        <row r="905">
          <cell r="M905">
            <v>1283</v>
          </cell>
          <cell r="N905">
            <v>762.29249425689659</v>
          </cell>
          <cell r="O905">
            <v>0</v>
          </cell>
          <cell r="P905">
            <v>0</v>
          </cell>
        </row>
        <row r="906">
          <cell r="M906">
            <v>1287</v>
          </cell>
          <cell r="N906">
            <v>110.08474488724136</v>
          </cell>
          <cell r="O906">
            <v>0</v>
          </cell>
          <cell r="P906">
            <v>0</v>
          </cell>
        </row>
        <row r="907">
          <cell r="M907">
            <v>1288</v>
          </cell>
          <cell r="N907">
            <v>59.799736726551743</v>
          </cell>
          <cell r="O907">
            <v>0</v>
          </cell>
          <cell r="P907">
            <v>0</v>
          </cell>
        </row>
        <row r="908">
          <cell r="M908">
            <v>1289</v>
          </cell>
          <cell r="N908">
            <v>98.399983068275858</v>
          </cell>
          <cell r="O908">
            <v>0</v>
          </cell>
          <cell r="P908">
            <v>0</v>
          </cell>
        </row>
        <row r="909">
          <cell r="M909">
            <v>1290</v>
          </cell>
          <cell r="N909">
            <v>67.981703513448281</v>
          </cell>
          <cell r="O909">
            <v>0</v>
          </cell>
          <cell r="P909">
            <v>0</v>
          </cell>
        </row>
        <row r="910">
          <cell r="M910">
            <v>1291</v>
          </cell>
          <cell r="N910">
            <v>65.736800316896549</v>
          </cell>
          <cell r="O910">
            <v>0</v>
          </cell>
          <cell r="P910">
            <v>0</v>
          </cell>
        </row>
        <row r="911">
          <cell r="M911">
            <v>1292</v>
          </cell>
          <cell r="N911">
            <v>128.49610494758619</v>
          </cell>
          <cell r="O911">
            <v>0</v>
          </cell>
          <cell r="P911">
            <v>0</v>
          </cell>
        </row>
        <row r="912">
          <cell r="M912">
            <v>1293</v>
          </cell>
          <cell r="N912">
            <v>85.002623989655177</v>
          </cell>
          <cell r="O912">
            <v>0</v>
          </cell>
          <cell r="P912">
            <v>0</v>
          </cell>
        </row>
        <row r="913">
          <cell r="M913">
            <v>1294</v>
          </cell>
          <cell r="N913">
            <v>52.613864698620688</v>
          </cell>
          <cell r="O913">
            <v>0</v>
          </cell>
          <cell r="P913">
            <v>0</v>
          </cell>
        </row>
        <row r="914">
          <cell r="M914">
            <v>1295</v>
          </cell>
          <cell r="N914">
            <v>69.599067738965545</v>
          </cell>
          <cell r="O914">
            <v>0</v>
          </cell>
          <cell r="P914">
            <v>0</v>
          </cell>
        </row>
        <row r="915">
          <cell r="M915">
            <v>1296</v>
          </cell>
          <cell r="N915">
            <v>59.269439387241384</v>
          </cell>
          <cell r="O915">
            <v>0</v>
          </cell>
          <cell r="P915">
            <v>0</v>
          </cell>
        </row>
        <row r="916">
          <cell r="M916">
            <v>1297</v>
          </cell>
          <cell r="N916">
            <v>16.098930927241387</v>
          </cell>
          <cell r="O916">
            <v>0</v>
          </cell>
          <cell r="P916">
            <v>0</v>
          </cell>
        </row>
        <row r="917">
          <cell r="M917">
            <v>1298</v>
          </cell>
          <cell r="N917">
            <v>37.449625484137933</v>
          </cell>
          <cell r="O917">
            <v>0</v>
          </cell>
          <cell r="P917">
            <v>0</v>
          </cell>
        </row>
        <row r="918">
          <cell r="M918">
            <v>1301</v>
          </cell>
          <cell r="N918">
            <v>493.98176681965515</v>
          </cell>
          <cell r="O918">
            <v>0</v>
          </cell>
          <cell r="P918">
            <v>0</v>
          </cell>
        </row>
        <row r="919">
          <cell r="M919">
            <v>1302</v>
          </cell>
          <cell r="N919">
            <v>26.034347850000003</v>
          </cell>
          <cell r="O919">
            <v>0</v>
          </cell>
          <cell r="P919">
            <v>0</v>
          </cell>
        </row>
        <row r="920">
          <cell r="M920">
            <v>1304</v>
          </cell>
          <cell r="N920">
            <v>106.32412688413791</v>
          </cell>
          <cell r="O920">
            <v>0</v>
          </cell>
          <cell r="P920">
            <v>0</v>
          </cell>
        </row>
        <row r="921">
          <cell r="M921">
            <v>1305</v>
          </cell>
          <cell r="N921">
            <v>415.18153934862067</v>
          </cell>
          <cell r="O921">
            <v>0</v>
          </cell>
          <cell r="P921">
            <v>0</v>
          </cell>
        </row>
        <row r="922">
          <cell r="M922">
            <v>1306</v>
          </cell>
          <cell r="N922">
            <v>60.197694146896552</v>
          </cell>
          <cell r="O922">
            <v>0</v>
          </cell>
          <cell r="P922">
            <v>0</v>
          </cell>
        </row>
        <row r="923">
          <cell r="M923">
            <v>1307</v>
          </cell>
          <cell r="N923">
            <v>57.420776527241379</v>
          </cell>
          <cell r="O923">
            <v>0</v>
          </cell>
          <cell r="P923">
            <v>0</v>
          </cell>
        </row>
        <row r="924">
          <cell r="M924">
            <v>1308</v>
          </cell>
          <cell r="N924">
            <v>338.83607980551722</v>
          </cell>
          <cell r="O924">
            <v>0</v>
          </cell>
          <cell r="P924">
            <v>0</v>
          </cell>
        </row>
        <row r="925">
          <cell r="M925">
            <v>1311</v>
          </cell>
          <cell r="N925">
            <v>18.510842713103447</v>
          </cell>
          <cell r="O925">
            <v>0</v>
          </cell>
          <cell r="P925">
            <v>0</v>
          </cell>
        </row>
        <row r="926">
          <cell r="M926">
            <v>1312</v>
          </cell>
          <cell r="N926">
            <v>85.161007349310324</v>
          </cell>
          <cell r="O926">
            <v>0</v>
          </cell>
          <cell r="P926">
            <v>0</v>
          </cell>
        </row>
        <row r="927">
          <cell r="M927">
            <v>1313</v>
          </cell>
          <cell r="N927">
            <v>135.58608290034482</v>
          </cell>
          <cell r="O927">
            <v>0</v>
          </cell>
          <cell r="P927">
            <v>0</v>
          </cell>
        </row>
        <row r="928">
          <cell r="M928">
            <v>1314</v>
          </cell>
          <cell r="N928">
            <v>55.621802700344823</v>
          </cell>
          <cell r="O928">
            <v>0</v>
          </cell>
          <cell r="P928">
            <v>0</v>
          </cell>
        </row>
        <row r="929">
          <cell r="M929">
            <v>1315</v>
          </cell>
          <cell r="N929">
            <v>358.5677667637932</v>
          </cell>
          <cell r="O929">
            <v>0</v>
          </cell>
          <cell r="P929">
            <v>0</v>
          </cell>
        </row>
        <row r="930">
          <cell r="M930">
            <v>1316</v>
          </cell>
          <cell r="N930">
            <v>19.327739998620689</v>
          </cell>
          <cell r="O930">
            <v>0</v>
          </cell>
          <cell r="P930">
            <v>0</v>
          </cell>
        </row>
        <row r="931">
          <cell r="M931">
            <v>1317</v>
          </cell>
          <cell r="N931">
            <v>31.017175008965516</v>
          </cell>
          <cell r="O931">
            <v>0</v>
          </cell>
          <cell r="P931">
            <v>0</v>
          </cell>
        </row>
        <row r="932">
          <cell r="M932">
            <v>1320</v>
          </cell>
          <cell r="N932">
            <v>99.288315145172433</v>
          </cell>
          <cell r="O932">
            <v>0</v>
          </cell>
          <cell r="P932">
            <v>0</v>
          </cell>
        </row>
        <row r="933">
          <cell r="M933">
            <v>1321</v>
          </cell>
          <cell r="N933">
            <v>8.9369878482758622</v>
          </cell>
          <cell r="O933">
            <v>0</v>
          </cell>
          <cell r="P933">
            <v>0</v>
          </cell>
        </row>
        <row r="934">
          <cell r="M934">
            <v>1322</v>
          </cell>
          <cell r="N934">
            <v>302.68665779482757</v>
          </cell>
          <cell r="O934">
            <v>0</v>
          </cell>
          <cell r="P934">
            <v>0</v>
          </cell>
        </row>
        <row r="935">
          <cell r="M935">
            <v>1323</v>
          </cell>
          <cell r="N935">
            <v>31.702946543448284</v>
          </cell>
          <cell r="O935">
            <v>0</v>
          </cell>
          <cell r="P935">
            <v>0</v>
          </cell>
        </row>
        <row r="936">
          <cell r="M936">
            <v>1326</v>
          </cell>
          <cell r="N936">
            <v>90.760374335862053</v>
          </cell>
          <cell r="O936">
            <v>0</v>
          </cell>
          <cell r="P936">
            <v>0</v>
          </cell>
        </row>
        <row r="937">
          <cell r="M937">
            <v>1328</v>
          </cell>
          <cell r="N937">
            <v>26.368639225172412</v>
          </cell>
          <cell r="O937">
            <v>0</v>
          </cell>
          <cell r="P937">
            <v>0</v>
          </cell>
        </row>
        <row r="938">
          <cell r="M938">
            <v>1330</v>
          </cell>
          <cell r="N938">
            <v>88.23737341896549</v>
          </cell>
          <cell r="O938">
            <v>0</v>
          </cell>
          <cell r="P938">
            <v>0</v>
          </cell>
        </row>
        <row r="939">
          <cell r="M939">
            <v>1332</v>
          </cell>
          <cell r="N939">
            <v>68.195128471379306</v>
          </cell>
          <cell r="O939">
            <v>0</v>
          </cell>
          <cell r="P939">
            <v>0</v>
          </cell>
        </row>
        <row r="940">
          <cell r="M940">
            <v>1334</v>
          </cell>
          <cell r="N940">
            <v>207.34656419275868</v>
          </cell>
          <cell r="O940">
            <v>0</v>
          </cell>
          <cell r="P940">
            <v>0</v>
          </cell>
        </row>
        <row r="941">
          <cell r="M941">
            <v>1336</v>
          </cell>
          <cell r="N941">
            <v>444.67363026172399</v>
          </cell>
          <cell r="O941">
            <v>0</v>
          </cell>
          <cell r="P941">
            <v>0</v>
          </cell>
        </row>
        <row r="942">
          <cell r="M942">
            <v>1337</v>
          </cell>
          <cell r="N942">
            <v>214.29206572999993</v>
          </cell>
          <cell r="O942">
            <v>0</v>
          </cell>
          <cell r="P942">
            <v>0</v>
          </cell>
        </row>
        <row r="943">
          <cell r="M943">
            <v>1340</v>
          </cell>
          <cell r="N943">
            <v>33.904858006206894</v>
          </cell>
          <cell r="O943">
            <v>0</v>
          </cell>
          <cell r="P943">
            <v>0</v>
          </cell>
        </row>
        <row r="944">
          <cell r="M944">
            <v>1343</v>
          </cell>
          <cell r="N944">
            <v>98.363277860689649</v>
          </cell>
          <cell r="O944">
            <v>0</v>
          </cell>
          <cell r="P944">
            <v>0</v>
          </cell>
        </row>
        <row r="945">
          <cell r="M945">
            <v>1347</v>
          </cell>
          <cell r="N945">
            <v>60.851596085862049</v>
          </cell>
          <cell r="O945">
            <v>0</v>
          </cell>
          <cell r="P945">
            <v>0</v>
          </cell>
        </row>
        <row r="946">
          <cell r="M946">
            <v>1348</v>
          </cell>
          <cell r="N946">
            <v>144.48468178172419</v>
          </cell>
          <cell r="O946">
            <v>0</v>
          </cell>
          <cell r="P946">
            <v>0</v>
          </cell>
        </row>
        <row r="947">
          <cell r="M947">
            <v>1349</v>
          </cell>
          <cell r="N947">
            <v>241.75689149172419</v>
          </cell>
          <cell r="O947">
            <v>0</v>
          </cell>
          <cell r="P947">
            <v>0</v>
          </cell>
        </row>
        <row r="948">
          <cell r="M948">
            <v>1350</v>
          </cell>
          <cell r="N948">
            <v>83.679172696551746</v>
          </cell>
          <cell r="O948">
            <v>0</v>
          </cell>
          <cell r="P948">
            <v>0</v>
          </cell>
        </row>
        <row r="949">
          <cell r="M949">
            <v>1352</v>
          </cell>
          <cell r="N949">
            <v>317.75974412620684</v>
          </cell>
          <cell r="O949">
            <v>0</v>
          </cell>
          <cell r="P949">
            <v>0</v>
          </cell>
        </row>
        <row r="950">
          <cell r="M950">
            <v>1353</v>
          </cell>
          <cell r="N950">
            <v>1381.206064264828</v>
          </cell>
          <cell r="O950">
            <v>0</v>
          </cell>
          <cell r="P950">
            <v>0</v>
          </cell>
        </row>
        <row r="951">
          <cell r="M951">
            <v>1355</v>
          </cell>
          <cell r="N951">
            <v>25.1068992862069</v>
          </cell>
          <cell r="O951">
            <v>0</v>
          </cell>
          <cell r="P951">
            <v>0</v>
          </cell>
        </row>
        <row r="952">
          <cell r="M952">
            <v>1356</v>
          </cell>
          <cell r="N952">
            <v>95.514887034482769</v>
          </cell>
          <cell r="O952">
            <v>0</v>
          </cell>
          <cell r="P952">
            <v>0</v>
          </cell>
        </row>
        <row r="953">
          <cell r="M953">
            <v>1359</v>
          </cell>
          <cell r="N953">
            <v>487.91533447068957</v>
          </cell>
          <cell r="O953">
            <v>0</v>
          </cell>
          <cell r="P953">
            <v>0</v>
          </cell>
        </row>
        <row r="954">
          <cell r="M954">
            <v>1361</v>
          </cell>
          <cell r="N954">
            <v>162.57090323413794</v>
          </cell>
          <cell r="O954">
            <v>0</v>
          </cell>
          <cell r="P954">
            <v>0</v>
          </cell>
        </row>
        <row r="955">
          <cell r="M955">
            <v>1362</v>
          </cell>
          <cell r="N955">
            <v>73.278704496896552</v>
          </cell>
          <cell r="O955">
            <v>0</v>
          </cell>
          <cell r="P955">
            <v>0</v>
          </cell>
        </row>
        <row r="956">
          <cell r="M956">
            <v>1363</v>
          </cell>
          <cell r="N956">
            <v>60.36253388275864</v>
          </cell>
          <cell r="O956">
            <v>0</v>
          </cell>
          <cell r="P956">
            <v>0</v>
          </cell>
        </row>
        <row r="957">
          <cell r="M957">
            <v>1369</v>
          </cell>
          <cell r="N957">
            <v>40.942809464137923</v>
          </cell>
          <cell r="O957">
            <v>0</v>
          </cell>
          <cell r="P957">
            <v>0</v>
          </cell>
        </row>
        <row r="958">
          <cell r="M958">
            <v>1370</v>
          </cell>
          <cell r="N958">
            <v>202.63491589517236</v>
          </cell>
          <cell r="O958">
            <v>0</v>
          </cell>
          <cell r="P958">
            <v>0</v>
          </cell>
        </row>
        <row r="959">
          <cell r="M959">
            <v>1371</v>
          </cell>
          <cell r="N959">
            <v>262.06912439379312</v>
          </cell>
          <cell r="O959">
            <v>0</v>
          </cell>
          <cell r="P959">
            <v>0</v>
          </cell>
        </row>
        <row r="960">
          <cell r="M960">
            <v>1372</v>
          </cell>
          <cell r="N960">
            <v>392.86460377827575</v>
          </cell>
          <cell r="O960">
            <v>0</v>
          </cell>
          <cell r="P960">
            <v>0</v>
          </cell>
        </row>
        <row r="961">
          <cell r="M961">
            <v>1375</v>
          </cell>
          <cell r="N961">
            <v>77.294328598620623</v>
          </cell>
          <cell r="O961">
            <v>0</v>
          </cell>
          <cell r="P961">
            <v>0</v>
          </cell>
        </row>
        <row r="962">
          <cell r="M962">
            <v>1376</v>
          </cell>
          <cell r="N962">
            <v>138.13519601448277</v>
          </cell>
          <cell r="O962">
            <v>0</v>
          </cell>
          <cell r="P962">
            <v>0</v>
          </cell>
        </row>
        <row r="963">
          <cell r="M963">
            <v>1379</v>
          </cell>
          <cell r="N963">
            <v>217.34230301241379</v>
          </cell>
          <cell r="O963">
            <v>0</v>
          </cell>
          <cell r="P963">
            <v>0</v>
          </cell>
        </row>
        <row r="964">
          <cell r="M964">
            <v>1381</v>
          </cell>
          <cell r="N964">
            <v>57.907684261034483</v>
          </cell>
          <cell r="O964">
            <v>0</v>
          </cell>
          <cell r="P964">
            <v>0</v>
          </cell>
        </row>
        <row r="965">
          <cell r="M965">
            <v>1383</v>
          </cell>
          <cell r="N965">
            <v>16.449789016551723</v>
          </cell>
          <cell r="O965">
            <v>0</v>
          </cell>
          <cell r="P965">
            <v>0</v>
          </cell>
        </row>
        <row r="966">
          <cell r="M966">
            <v>1384</v>
          </cell>
          <cell r="N966">
            <v>43.58727640137932</v>
          </cell>
          <cell r="O966">
            <v>0</v>
          </cell>
          <cell r="P966">
            <v>0</v>
          </cell>
        </row>
        <row r="967">
          <cell r="M967">
            <v>1386</v>
          </cell>
          <cell r="N967">
            <v>45.568173334137924</v>
          </cell>
          <cell r="O967">
            <v>0</v>
          </cell>
          <cell r="P967">
            <v>0</v>
          </cell>
        </row>
        <row r="968">
          <cell r="M968">
            <v>1387</v>
          </cell>
          <cell r="N968">
            <v>90.079396744137924</v>
          </cell>
          <cell r="O968">
            <v>0</v>
          </cell>
          <cell r="P968">
            <v>0</v>
          </cell>
        </row>
        <row r="969">
          <cell r="M969">
            <v>1388</v>
          </cell>
          <cell r="N969">
            <v>112.45332735379311</v>
          </cell>
          <cell r="O969">
            <v>0</v>
          </cell>
          <cell r="P969">
            <v>0</v>
          </cell>
        </row>
        <row r="970">
          <cell r="M970">
            <v>1390</v>
          </cell>
          <cell r="N970">
            <v>25.749996980689655</v>
          </cell>
          <cell r="O970">
            <v>0</v>
          </cell>
          <cell r="P970">
            <v>0</v>
          </cell>
        </row>
        <row r="971">
          <cell r="M971">
            <v>1392</v>
          </cell>
          <cell r="N971">
            <v>162.13199711931034</v>
          </cell>
          <cell r="O971">
            <v>0</v>
          </cell>
          <cell r="P971">
            <v>0</v>
          </cell>
        </row>
        <row r="972">
          <cell r="M972">
            <v>1393</v>
          </cell>
          <cell r="N972">
            <v>182.15591520310343</v>
          </cell>
          <cell r="O972">
            <v>0</v>
          </cell>
          <cell r="P972">
            <v>0</v>
          </cell>
        </row>
        <row r="973">
          <cell r="M973">
            <v>1395</v>
          </cell>
          <cell r="N973">
            <v>81.724880663448303</v>
          </cell>
          <cell r="O973">
            <v>0</v>
          </cell>
          <cell r="P973">
            <v>0</v>
          </cell>
        </row>
        <row r="974">
          <cell r="M974">
            <v>1397</v>
          </cell>
          <cell r="N974">
            <v>65.088497721379312</v>
          </cell>
          <cell r="O974">
            <v>0</v>
          </cell>
          <cell r="P974">
            <v>0</v>
          </cell>
        </row>
        <row r="975">
          <cell r="M975">
            <v>1398</v>
          </cell>
          <cell r="N975">
            <v>163.20617027137931</v>
          </cell>
          <cell r="O975">
            <v>0</v>
          </cell>
          <cell r="P975">
            <v>0</v>
          </cell>
        </row>
        <row r="976">
          <cell r="M976">
            <v>1399</v>
          </cell>
          <cell r="N976">
            <v>176.07206818482766</v>
          </cell>
          <cell r="O976">
            <v>0</v>
          </cell>
          <cell r="P976">
            <v>0</v>
          </cell>
        </row>
        <row r="977">
          <cell r="M977">
            <v>1400</v>
          </cell>
          <cell r="N977">
            <v>302.03647574620686</v>
          </cell>
          <cell r="O977">
            <v>0</v>
          </cell>
          <cell r="P977">
            <v>0</v>
          </cell>
        </row>
        <row r="978">
          <cell r="M978">
            <v>1401</v>
          </cell>
          <cell r="N978">
            <v>340.86839079413789</v>
          </cell>
          <cell r="O978">
            <v>0</v>
          </cell>
          <cell r="P978">
            <v>0</v>
          </cell>
        </row>
        <row r="979">
          <cell r="M979">
            <v>1402</v>
          </cell>
          <cell r="N979">
            <v>22.031461653103449</v>
          </cell>
          <cell r="O979">
            <v>0</v>
          </cell>
          <cell r="P979">
            <v>0</v>
          </cell>
        </row>
        <row r="980">
          <cell r="M980">
            <v>1403</v>
          </cell>
          <cell r="N980">
            <v>656.09214205172418</v>
          </cell>
          <cell r="O980">
            <v>0</v>
          </cell>
          <cell r="P980">
            <v>0</v>
          </cell>
        </row>
        <row r="981">
          <cell r="M981">
            <v>1404</v>
          </cell>
          <cell r="N981">
            <v>60.520078421034498</v>
          </cell>
          <cell r="O981">
            <v>0</v>
          </cell>
          <cell r="P981">
            <v>0</v>
          </cell>
        </row>
        <row r="982">
          <cell r="M982">
            <v>1405</v>
          </cell>
          <cell r="N982">
            <v>135.94658932931034</v>
          </cell>
          <cell r="O982">
            <v>0</v>
          </cell>
          <cell r="P982">
            <v>0</v>
          </cell>
        </row>
        <row r="983">
          <cell r="M983">
            <v>1407</v>
          </cell>
          <cell r="N983">
            <v>346.02728737551723</v>
          </cell>
          <cell r="O983">
            <v>0</v>
          </cell>
          <cell r="P983">
            <v>0</v>
          </cell>
        </row>
        <row r="984">
          <cell r="M984">
            <v>1408</v>
          </cell>
          <cell r="N984">
            <v>192.16244648310345</v>
          </cell>
          <cell r="O984">
            <v>0</v>
          </cell>
          <cell r="P984">
            <v>0</v>
          </cell>
        </row>
        <row r="985">
          <cell r="M985">
            <v>1409</v>
          </cell>
          <cell r="N985">
            <v>154.94311248241377</v>
          </cell>
          <cell r="O985">
            <v>0</v>
          </cell>
          <cell r="P985">
            <v>0</v>
          </cell>
        </row>
        <row r="986">
          <cell r="M986">
            <v>1410</v>
          </cell>
          <cell r="N986">
            <v>34.866146624827579</v>
          </cell>
          <cell r="O986">
            <v>0</v>
          </cell>
          <cell r="P986">
            <v>0</v>
          </cell>
        </row>
        <row r="987">
          <cell r="M987">
            <v>1411</v>
          </cell>
          <cell r="N987">
            <v>5.2386574617241397</v>
          </cell>
          <cell r="O987">
            <v>0</v>
          </cell>
          <cell r="P987">
            <v>0</v>
          </cell>
        </row>
        <row r="988">
          <cell r="M988">
            <v>1413</v>
          </cell>
          <cell r="N988">
            <v>99.37404361103448</v>
          </cell>
          <cell r="O988">
            <v>0</v>
          </cell>
          <cell r="P988">
            <v>0</v>
          </cell>
        </row>
        <row r="989">
          <cell r="M989">
            <v>1415</v>
          </cell>
          <cell r="N989">
            <v>42.236518951724143</v>
          </cell>
          <cell r="O989">
            <v>0</v>
          </cell>
          <cell r="P989">
            <v>0</v>
          </cell>
        </row>
        <row r="990">
          <cell r="M990">
            <v>1416</v>
          </cell>
          <cell r="N990">
            <v>706.47172544344846</v>
          </cell>
          <cell r="O990">
            <v>0</v>
          </cell>
          <cell r="P990">
            <v>0</v>
          </cell>
        </row>
        <row r="991">
          <cell r="M991">
            <v>1417</v>
          </cell>
          <cell r="N991">
            <v>145.78692613931037</v>
          </cell>
          <cell r="O991">
            <v>0</v>
          </cell>
          <cell r="P991">
            <v>0</v>
          </cell>
        </row>
        <row r="992">
          <cell r="M992">
            <v>1418</v>
          </cell>
          <cell r="N992">
            <v>270.95751786344829</v>
          </cell>
          <cell r="O992">
            <v>0</v>
          </cell>
          <cell r="P992">
            <v>0</v>
          </cell>
        </row>
        <row r="993">
          <cell r="M993">
            <v>1419</v>
          </cell>
          <cell r="N993">
            <v>333.47933401344818</v>
          </cell>
          <cell r="O993">
            <v>0</v>
          </cell>
          <cell r="P993">
            <v>0</v>
          </cell>
        </row>
        <row r="994">
          <cell r="M994">
            <v>1420</v>
          </cell>
          <cell r="N994">
            <v>313.96804945206907</v>
          </cell>
          <cell r="O994">
            <v>0</v>
          </cell>
          <cell r="P994">
            <v>0</v>
          </cell>
        </row>
        <row r="995">
          <cell r="M995">
            <v>1422</v>
          </cell>
          <cell r="N995">
            <v>59.078285649310352</v>
          </cell>
          <cell r="O995">
            <v>0</v>
          </cell>
          <cell r="P995">
            <v>0</v>
          </cell>
        </row>
        <row r="996">
          <cell r="M996">
            <v>1424</v>
          </cell>
          <cell r="N996">
            <v>144.29394568896552</v>
          </cell>
          <cell r="O996">
            <v>0</v>
          </cell>
          <cell r="P996">
            <v>0</v>
          </cell>
        </row>
        <row r="997">
          <cell r="M997">
            <v>1426</v>
          </cell>
          <cell r="N997">
            <v>299.81059152724134</v>
          </cell>
          <cell r="O997">
            <v>0</v>
          </cell>
          <cell r="P997">
            <v>0</v>
          </cell>
        </row>
        <row r="998">
          <cell r="M998">
            <v>1429</v>
          </cell>
          <cell r="N998">
            <v>276.75134168724134</v>
          </cell>
          <cell r="O998">
            <v>0</v>
          </cell>
          <cell r="P998">
            <v>0</v>
          </cell>
        </row>
        <row r="999">
          <cell r="M999">
            <v>1432</v>
          </cell>
          <cell r="N999">
            <v>502.04519489655178</v>
          </cell>
          <cell r="O999">
            <v>0</v>
          </cell>
          <cell r="P999">
            <v>0</v>
          </cell>
        </row>
        <row r="1000">
          <cell r="M1000">
            <v>1433</v>
          </cell>
          <cell r="N1000">
            <v>12.432960356551728</v>
          </cell>
          <cell r="O1000">
            <v>0</v>
          </cell>
          <cell r="P1000">
            <v>0</v>
          </cell>
        </row>
        <row r="1001">
          <cell r="M1001">
            <v>1435</v>
          </cell>
          <cell r="N1001">
            <v>267.4613267827587</v>
          </cell>
          <cell r="O1001">
            <v>0</v>
          </cell>
          <cell r="P1001">
            <v>0</v>
          </cell>
        </row>
        <row r="1002">
          <cell r="M1002">
            <v>1437</v>
          </cell>
          <cell r="N1002">
            <v>143.22664433172406</v>
          </cell>
          <cell r="O1002">
            <v>0</v>
          </cell>
          <cell r="P1002">
            <v>0</v>
          </cell>
        </row>
        <row r="1003">
          <cell r="M1003">
            <v>1439</v>
          </cell>
          <cell r="N1003">
            <v>322.223542025862</v>
          </cell>
          <cell r="O1003">
            <v>0</v>
          </cell>
          <cell r="P1003">
            <v>0</v>
          </cell>
        </row>
        <row r="1004">
          <cell r="M1004">
            <v>1440</v>
          </cell>
          <cell r="N1004">
            <v>200.03413356965521</v>
          </cell>
          <cell r="O1004">
            <v>0</v>
          </cell>
          <cell r="P1004">
            <v>0</v>
          </cell>
        </row>
        <row r="1005">
          <cell r="M1005">
            <v>1444</v>
          </cell>
          <cell r="N1005">
            <v>157.37758407172413</v>
          </cell>
          <cell r="O1005">
            <v>0</v>
          </cell>
          <cell r="P1005">
            <v>0</v>
          </cell>
        </row>
        <row r="1006">
          <cell r="M1006">
            <v>1447</v>
          </cell>
          <cell r="N1006">
            <v>102.01902463206896</v>
          </cell>
          <cell r="O1006">
            <v>0</v>
          </cell>
          <cell r="P1006">
            <v>0</v>
          </cell>
        </row>
        <row r="1007">
          <cell r="M1007">
            <v>1448</v>
          </cell>
          <cell r="N1007">
            <v>112.69387779172413</v>
          </cell>
          <cell r="O1007">
            <v>0</v>
          </cell>
          <cell r="P1007">
            <v>0</v>
          </cell>
        </row>
        <row r="1008">
          <cell r="M1008">
            <v>1449</v>
          </cell>
          <cell r="N1008">
            <v>249.16970332068956</v>
          </cell>
          <cell r="O1008">
            <v>0</v>
          </cell>
          <cell r="P1008">
            <v>0</v>
          </cell>
        </row>
        <row r="1009">
          <cell r="M1009">
            <v>1450</v>
          </cell>
          <cell r="N1009">
            <v>29.142235538620682</v>
          </cell>
          <cell r="O1009">
            <v>0</v>
          </cell>
          <cell r="P1009">
            <v>0</v>
          </cell>
        </row>
        <row r="1010">
          <cell r="M1010">
            <v>1451</v>
          </cell>
          <cell r="N1010">
            <v>144.46214634103447</v>
          </cell>
          <cell r="O1010">
            <v>0</v>
          </cell>
          <cell r="P1010">
            <v>0</v>
          </cell>
        </row>
        <row r="1011">
          <cell r="M1011">
            <v>1452</v>
          </cell>
          <cell r="N1011">
            <v>336.39909960206899</v>
          </cell>
          <cell r="O1011">
            <v>0</v>
          </cell>
          <cell r="P1011">
            <v>0</v>
          </cell>
        </row>
        <row r="1012">
          <cell r="M1012">
            <v>1453</v>
          </cell>
          <cell r="N1012">
            <v>109.3162059158621</v>
          </cell>
          <cell r="O1012">
            <v>0</v>
          </cell>
          <cell r="P1012">
            <v>0</v>
          </cell>
        </row>
        <row r="1013">
          <cell r="M1013">
            <v>1455</v>
          </cell>
          <cell r="N1013">
            <v>200.12437426551722</v>
          </cell>
          <cell r="O1013">
            <v>0</v>
          </cell>
          <cell r="P1013">
            <v>0</v>
          </cell>
        </row>
        <row r="1014">
          <cell r="M1014">
            <v>1456</v>
          </cell>
          <cell r="N1014">
            <v>354.74168415965522</v>
          </cell>
          <cell r="O1014">
            <v>0</v>
          </cell>
          <cell r="P1014">
            <v>0</v>
          </cell>
        </row>
        <row r="1015">
          <cell r="M1015">
            <v>1457</v>
          </cell>
          <cell r="N1015">
            <v>167.53257884379315</v>
          </cell>
          <cell r="O1015">
            <v>0</v>
          </cell>
          <cell r="P1015">
            <v>0</v>
          </cell>
        </row>
        <row r="1016">
          <cell r="M1016">
            <v>1460</v>
          </cell>
          <cell r="N1016">
            <v>65.968505030689641</v>
          </cell>
          <cell r="O1016">
            <v>0</v>
          </cell>
          <cell r="P1016">
            <v>0</v>
          </cell>
        </row>
        <row r="1017">
          <cell r="M1017">
            <v>1465</v>
          </cell>
          <cell r="N1017">
            <v>170.77343021241381</v>
          </cell>
          <cell r="O1017">
            <v>0</v>
          </cell>
          <cell r="P1017">
            <v>0</v>
          </cell>
        </row>
        <row r="1018">
          <cell r="M1018">
            <v>1466</v>
          </cell>
          <cell r="N1018">
            <v>813.53240626275863</v>
          </cell>
          <cell r="O1018">
            <v>0</v>
          </cell>
          <cell r="P1018">
            <v>0</v>
          </cell>
        </row>
        <row r="1019">
          <cell r="M1019">
            <v>1468</v>
          </cell>
          <cell r="N1019">
            <v>130.75661739517244</v>
          </cell>
          <cell r="O1019">
            <v>0</v>
          </cell>
          <cell r="P1019">
            <v>0</v>
          </cell>
        </row>
        <row r="1020">
          <cell r="M1020">
            <v>1470</v>
          </cell>
          <cell r="N1020">
            <v>77.170975565517253</v>
          </cell>
          <cell r="O1020">
            <v>0</v>
          </cell>
          <cell r="P1020">
            <v>0</v>
          </cell>
        </row>
        <row r="1021">
          <cell r="M1021">
            <v>1471</v>
          </cell>
          <cell r="N1021">
            <v>70.548936956551728</v>
          </cell>
          <cell r="O1021">
            <v>0</v>
          </cell>
          <cell r="P1021">
            <v>0</v>
          </cell>
        </row>
        <row r="1022">
          <cell r="M1022">
            <v>1473</v>
          </cell>
          <cell r="N1022">
            <v>642.73124607344846</v>
          </cell>
          <cell r="O1022">
            <v>0</v>
          </cell>
          <cell r="P1022">
            <v>0</v>
          </cell>
        </row>
        <row r="1023">
          <cell r="M1023">
            <v>1474</v>
          </cell>
          <cell r="N1023">
            <v>216.28957463931039</v>
          </cell>
          <cell r="O1023">
            <v>0</v>
          </cell>
          <cell r="P1023">
            <v>0</v>
          </cell>
        </row>
        <row r="1024">
          <cell r="M1024">
            <v>1476</v>
          </cell>
          <cell r="N1024">
            <v>83.197444033448264</v>
          </cell>
          <cell r="O1024">
            <v>0</v>
          </cell>
          <cell r="P1024">
            <v>0</v>
          </cell>
        </row>
        <row r="1025">
          <cell r="M1025">
            <v>1477</v>
          </cell>
          <cell r="N1025">
            <v>28.769396041379309</v>
          </cell>
          <cell r="O1025">
            <v>0</v>
          </cell>
          <cell r="P1025">
            <v>0</v>
          </cell>
        </row>
        <row r="1026">
          <cell r="M1026">
            <v>1478</v>
          </cell>
          <cell r="N1026">
            <v>78.14392895862072</v>
          </cell>
          <cell r="O1026">
            <v>0</v>
          </cell>
          <cell r="P1026">
            <v>0</v>
          </cell>
        </row>
        <row r="1027">
          <cell r="M1027">
            <v>1480</v>
          </cell>
          <cell r="N1027">
            <v>131.14129448413794</v>
          </cell>
          <cell r="O1027">
            <v>0</v>
          </cell>
          <cell r="P1027">
            <v>0</v>
          </cell>
        </row>
        <row r="1028">
          <cell r="M1028">
            <v>1481</v>
          </cell>
          <cell r="N1028">
            <v>170.7472469972414</v>
          </cell>
          <cell r="O1028">
            <v>0</v>
          </cell>
          <cell r="P1028">
            <v>0</v>
          </cell>
        </row>
        <row r="1029">
          <cell r="M1029">
            <v>1482</v>
          </cell>
          <cell r="N1029">
            <v>7.2485600148275857</v>
          </cell>
          <cell r="O1029">
            <v>0</v>
          </cell>
          <cell r="P1029">
            <v>0</v>
          </cell>
        </row>
        <row r="1030">
          <cell r="M1030">
            <v>1484</v>
          </cell>
          <cell r="N1030">
            <v>285.79689123896554</v>
          </cell>
          <cell r="O1030">
            <v>0</v>
          </cell>
          <cell r="P1030">
            <v>0</v>
          </cell>
        </row>
        <row r="1031">
          <cell r="M1031">
            <v>1486</v>
          </cell>
          <cell r="N1031">
            <v>93.803110968275888</v>
          </cell>
          <cell r="O1031">
            <v>0</v>
          </cell>
          <cell r="P1031">
            <v>0</v>
          </cell>
        </row>
        <row r="1032">
          <cell r="M1032">
            <v>1487</v>
          </cell>
          <cell r="N1032">
            <v>595.97965722068955</v>
          </cell>
          <cell r="O1032">
            <v>0</v>
          </cell>
          <cell r="P1032">
            <v>0</v>
          </cell>
        </row>
        <row r="1033">
          <cell r="M1033">
            <v>1488</v>
          </cell>
          <cell r="N1033">
            <v>104.43963312034485</v>
          </cell>
          <cell r="O1033">
            <v>0</v>
          </cell>
          <cell r="P1033">
            <v>0</v>
          </cell>
        </row>
        <row r="1034">
          <cell r="M1034">
            <v>1490</v>
          </cell>
          <cell r="N1034">
            <v>281.47903764379311</v>
          </cell>
          <cell r="O1034">
            <v>0</v>
          </cell>
          <cell r="P1034">
            <v>0</v>
          </cell>
        </row>
        <row r="1035">
          <cell r="M1035">
            <v>1491</v>
          </cell>
          <cell r="N1035">
            <v>111.42904310448276</v>
          </cell>
          <cell r="O1035">
            <v>0</v>
          </cell>
          <cell r="P1035">
            <v>0</v>
          </cell>
        </row>
        <row r="1036">
          <cell r="M1036">
            <v>1492</v>
          </cell>
          <cell r="N1036">
            <v>106.76080273482758</v>
          </cell>
          <cell r="O1036">
            <v>0</v>
          </cell>
          <cell r="P1036">
            <v>0</v>
          </cell>
        </row>
        <row r="1037">
          <cell r="M1037">
            <v>1495</v>
          </cell>
          <cell r="N1037">
            <v>248.32664183965511</v>
          </cell>
          <cell r="O1037">
            <v>0</v>
          </cell>
          <cell r="P1037">
            <v>0</v>
          </cell>
        </row>
        <row r="1038">
          <cell r="M1038">
            <v>1497</v>
          </cell>
          <cell r="N1038">
            <v>49.391630398620677</v>
          </cell>
          <cell r="O1038">
            <v>0</v>
          </cell>
          <cell r="P1038">
            <v>0</v>
          </cell>
        </row>
        <row r="1039">
          <cell r="M1039">
            <v>1498</v>
          </cell>
          <cell r="N1039">
            <v>42.247747184827588</v>
          </cell>
          <cell r="O1039">
            <v>0</v>
          </cell>
          <cell r="P1039">
            <v>0</v>
          </cell>
        </row>
        <row r="1040">
          <cell r="M1040">
            <v>1499</v>
          </cell>
          <cell r="N1040">
            <v>27.353325236896531</v>
          </cell>
          <cell r="O1040">
            <v>0</v>
          </cell>
          <cell r="P1040">
            <v>0</v>
          </cell>
        </row>
        <row r="1041">
          <cell r="M1041">
            <v>1500</v>
          </cell>
          <cell r="N1041">
            <v>235.16519746999995</v>
          </cell>
          <cell r="O1041">
            <v>0</v>
          </cell>
          <cell r="P1041">
            <v>0</v>
          </cell>
        </row>
        <row r="1042">
          <cell r="M1042">
            <v>1501</v>
          </cell>
          <cell r="N1042">
            <v>111.62643516793104</v>
          </cell>
          <cell r="O1042">
            <v>0</v>
          </cell>
          <cell r="P1042">
            <v>0</v>
          </cell>
        </row>
        <row r="1043">
          <cell r="M1043">
            <v>1502</v>
          </cell>
          <cell r="N1043">
            <v>79.693227765862062</v>
          </cell>
          <cell r="O1043">
            <v>0</v>
          </cell>
          <cell r="P1043">
            <v>0</v>
          </cell>
        </row>
        <row r="1044">
          <cell r="M1044">
            <v>1503</v>
          </cell>
          <cell r="N1044">
            <v>86.052683635517212</v>
          </cell>
          <cell r="O1044">
            <v>0</v>
          </cell>
          <cell r="P1044">
            <v>0</v>
          </cell>
        </row>
        <row r="1045">
          <cell r="M1045">
            <v>1504</v>
          </cell>
          <cell r="N1045">
            <v>116.29295364344829</v>
          </cell>
          <cell r="O1045">
            <v>0</v>
          </cell>
          <cell r="P1045">
            <v>0</v>
          </cell>
        </row>
        <row r="1046">
          <cell r="M1046">
            <v>1505</v>
          </cell>
          <cell r="N1046">
            <v>40.858739195517231</v>
          </cell>
          <cell r="O1046">
            <v>0</v>
          </cell>
          <cell r="P1046">
            <v>0</v>
          </cell>
        </row>
        <row r="1047">
          <cell r="M1047">
            <v>1506</v>
          </cell>
          <cell r="N1047">
            <v>39.588087176551731</v>
          </cell>
          <cell r="O1047">
            <v>0</v>
          </cell>
          <cell r="P1047">
            <v>0</v>
          </cell>
        </row>
        <row r="1048">
          <cell r="M1048">
            <v>1507</v>
          </cell>
          <cell r="N1048">
            <v>65.500070920689666</v>
          </cell>
          <cell r="O1048">
            <v>0</v>
          </cell>
          <cell r="P1048">
            <v>0</v>
          </cell>
        </row>
        <row r="1049">
          <cell r="M1049">
            <v>1508</v>
          </cell>
          <cell r="N1049">
            <v>102.94084078241379</v>
          </cell>
          <cell r="O1049">
            <v>0</v>
          </cell>
          <cell r="P1049">
            <v>0</v>
          </cell>
        </row>
        <row r="1050">
          <cell r="M1050">
            <v>1509</v>
          </cell>
          <cell r="N1050">
            <v>179.60343993896547</v>
          </cell>
          <cell r="O1050">
            <v>0</v>
          </cell>
          <cell r="P1050">
            <v>0</v>
          </cell>
        </row>
        <row r="1051">
          <cell r="M1051">
            <v>1511</v>
          </cell>
          <cell r="N1051">
            <v>166.32184920137934</v>
          </cell>
          <cell r="O1051">
            <v>0</v>
          </cell>
          <cell r="P1051">
            <v>0</v>
          </cell>
        </row>
        <row r="1052">
          <cell r="M1052">
            <v>1512</v>
          </cell>
          <cell r="N1052">
            <v>236.7731510403448</v>
          </cell>
          <cell r="O1052">
            <v>0</v>
          </cell>
          <cell r="P1052">
            <v>0</v>
          </cell>
        </row>
        <row r="1053">
          <cell r="M1053">
            <v>1513</v>
          </cell>
          <cell r="N1053">
            <v>169.49903909655171</v>
          </cell>
          <cell r="O1053">
            <v>0</v>
          </cell>
          <cell r="P1053">
            <v>0</v>
          </cell>
        </row>
        <row r="1054">
          <cell r="M1054">
            <v>1514</v>
          </cell>
          <cell r="N1054">
            <v>77.507516777586233</v>
          </cell>
          <cell r="O1054">
            <v>0</v>
          </cell>
          <cell r="P1054">
            <v>0</v>
          </cell>
        </row>
        <row r="1055">
          <cell r="M1055">
            <v>1515</v>
          </cell>
          <cell r="N1055">
            <v>223.55448321724145</v>
          </cell>
          <cell r="O1055">
            <v>0</v>
          </cell>
          <cell r="P1055">
            <v>0</v>
          </cell>
        </row>
        <row r="1056">
          <cell r="M1056">
            <v>1517</v>
          </cell>
          <cell r="N1056">
            <v>115.66046781586208</v>
          </cell>
          <cell r="O1056">
            <v>0</v>
          </cell>
          <cell r="P1056">
            <v>0</v>
          </cell>
        </row>
        <row r="1057">
          <cell r="M1057">
            <v>1518</v>
          </cell>
          <cell r="N1057">
            <v>272.94689361310344</v>
          </cell>
          <cell r="O1057">
            <v>0</v>
          </cell>
          <cell r="P1057">
            <v>0</v>
          </cell>
        </row>
        <row r="1058">
          <cell r="M1058">
            <v>1520</v>
          </cell>
          <cell r="N1058">
            <v>60.361246796551725</v>
          </cell>
          <cell r="O1058">
            <v>0</v>
          </cell>
          <cell r="P1058">
            <v>0</v>
          </cell>
        </row>
        <row r="1059">
          <cell r="M1059">
            <v>1521</v>
          </cell>
          <cell r="N1059">
            <v>59.927000070000005</v>
          </cell>
          <cell r="O1059">
            <v>0</v>
          </cell>
          <cell r="P1059">
            <v>0</v>
          </cell>
        </row>
        <row r="1060">
          <cell r="M1060">
            <v>1524</v>
          </cell>
          <cell r="N1060">
            <v>182.84829498793107</v>
          </cell>
          <cell r="O1060">
            <v>0</v>
          </cell>
          <cell r="P1060">
            <v>0</v>
          </cell>
        </row>
        <row r="1061">
          <cell r="M1061">
            <v>1527</v>
          </cell>
          <cell r="N1061">
            <v>61.080720101724154</v>
          </cell>
          <cell r="O1061">
            <v>0</v>
          </cell>
          <cell r="P1061">
            <v>0</v>
          </cell>
        </row>
        <row r="1062">
          <cell r="M1062">
            <v>1528</v>
          </cell>
          <cell r="N1062">
            <v>20.279283770000003</v>
          </cell>
          <cell r="O1062">
            <v>0</v>
          </cell>
          <cell r="P1062">
            <v>0</v>
          </cell>
        </row>
        <row r="1063">
          <cell r="M1063">
            <v>1529</v>
          </cell>
          <cell r="N1063">
            <v>26.203090969310338</v>
          </cell>
          <cell r="O1063">
            <v>0</v>
          </cell>
          <cell r="P1063">
            <v>0</v>
          </cell>
        </row>
        <row r="1064">
          <cell r="M1064">
            <v>1530</v>
          </cell>
          <cell r="N1064">
            <v>73.491237819655183</v>
          </cell>
          <cell r="O1064">
            <v>0</v>
          </cell>
          <cell r="P1064">
            <v>0</v>
          </cell>
        </row>
        <row r="1065">
          <cell r="M1065">
            <v>1531</v>
          </cell>
          <cell r="N1065">
            <v>83.127805811379318</v>
          </cell>
          <cell r="O1065">
            <v>0</v>
          </cell>
          <cell r="P1065">
            <v>0</v>
          </cell>
        </row>
        <row r="1066">
          <cell r="M1066">
            <v>1532</v>
          </cell>
          <cell r="N1066">
            <v>154.0269338824138</v>
          </cell>
          <cell r="O1066">
            <v>0</v>
          </cell>
          <cell r="P1066">
            <v>0</v>
          </cell>
        </row>
        <row r="1067">
          <cell r="M1067">
            <v>1534</v>
          </cell>
          <cell r="N1067">
            <v>32.951111164482761</v>
          </cell>
          <cell r="O1067">
            <v>0</v>
          </cell>
          <cell r="P1067">
            <v>0</v>
          </cell>
        </row>
        <row r="1068">
          <cell r="M1068">
            <v>1537</v>
          </cell>
          <cell r="N1068">
            <v>57.074939097931036</v>
          </cell>
          <cell r="O1068">
            <v>0</v>
          </cell>
          <cell r="P1068">
            <v>0</v>
          </cell>
        </row>
        <row r="1069">
          <cell r="M1069">
            <v>1538</v>
          </cell>
          <cell r="N1069">
            <v>195.39474184862067</v>
          </cell>
          <cell r="O1069">
            <v>0</v>
          </cell>
          <cell r="P1069">
            <v>0</v>
          </cell>
        </row>
        <row r="1070">
          <cell r="M1070">
            <v>1539</v>
          </cell>
          <cell r="N1070">
            <v>10.300127353103449</v>
          </cell>
          <cell r="O1070">
            <v>0</v>
          </cell>
          <cell r="P1070">
            <v>0</v>
          </cell>
        </row>
        <row r="1071">
          <cell r="M1071">
            <v>1540</v>
          </cell>
          <cell r="N1071">
            <v>154.51401567931035</v>
          </cell>
          <cell r="O1071">
            <v>0</v>
          </cell>
          <cell r="P1071">
            <v>0</v>
          </cell>
        </row>
        <row r="1072">
          <cell r="M1072">
            <v>1542</v>
          </cell>
          <cell r="N1072">
            <v>140.9919894862069</v>
          </cell>
          <cell r="O1072">
            <v>0</v>
          </cell>
          <cell r="P1072">
            <v>0</v>
          </cell>
        </row>
        <row r="1073">
          <cell r="M1073">
            <v>1545</v>
          </cell>
          <cell r="N1073">
            <v>70.449537629999995</v>
          </cell>
          <cell r="O1073">
            <v>0</v>
          </cell>
          <cell r="P1073">
            <v>0</v>
          </cell>
        </row>
        <row r="1074">
          <cell r="M1074">
            <v>1546</v>
          </cell>
          <cell r="N1074">
            <v>127.26266244896551</v>
          </cell>
          <cell r="O1074">
            <v>0</v>
          </cell>
          <cell r="P1074">
            <v>0</v>
          </cell>
        </row>
        <row r="1075">
          <cell r="M1075">
            <v>1547</v>
          </cell>
          <cell r="N1075">
            <v>312.14735585275861</v>
          </cell>
          <cell r="O1075">
            <v>0</v>
          </cell>
          <cell r="P1075">
            <v>0</v>
          </cell>
        </row>
        <row r="1076">
          <cell r="M1076">
            <v>1548</v>
          </cell>
          <cell r="N1076">
            <v>20.070880597241377</v>
          </cell>
          <cell r="O1076">
            <v>0</v>
          </cell>
          <cell r="P1076">
            <v>0</v>
          </cell>
        </row>
        <row r="1077">
          <cell r="M1077">
            <v>1549</v>
          </cell>
          <cell r="N1077">
            <v>354.89264151379331</v>
          </cell>
          <cell r="O1077">
            <v>0</v>
          </cell>
          <cell r="P1077">
            <v>0</v>
          </cell>
        </row>
        <row r="1078">
          <cell r="M1078">
            <v>1550</v>
          </cell>
          <cell r="N1078">
            <v>45.682060030344829</v>
          </cell>
          <cell r="O1078">
            <v>0</v>
          </cell>
          <cell r="P1078">
            <v>0</v>
          </cell>
        </row>
        <row r="1079">
          <cell r="M1079">
            <v>1554</v>
          </cell>
          <cell r="N1079">
            <v>279.84995245172416</v>
          </cell>
          <cell r="O1079">
            <v>0</v>
          </cell>
          <cell r="P1079">
            <v>0</v>
          </cell>
        </row>
        <row r="1080">
          <cell r="M1080">
            <v>1557</v>
          </cell>
          <cell r="N1080">
            <v>44.189986354137943</v>
          </cell>
          <cell r="O1080">
            <v>0</v>
          </cell>
          <cell r="P1080">
            <v>0</v>
          </cell>
        </row>
        <row r="1081">
          <cell r="M1081">
            <v>1559</v>
          </cell>
          <cell r="N1081">
            <v>31.920061681724139</v>
          </cell>
          <cell r="O1081">
            <v>0</v>
          </cell>
          <cell r="P1081">
            <v>0</v>
          </cell>
        </row>
        <row r="1082">
          <cell r="M1082">
            <v>1561</v>
          </cell>
          <cell r="N1082">
            <v>113.83879862310341</v>
          </cell>
          <cell r="O1082">
            <v>0</v>
          </cell>
          <cell r="P1082">
            <v>0</v>
          </cell>
        </row>
        <row r="1083">
          <cell r="M1083">
            <v>1562</v>
          </cell>
          <cell r="N1083">
            <v>195.32464220896557</v>
          </cell>
          <cell r="O1083">
            <v>0</v>
          </cell>
          <cell r="P1083">
            <v>0</v>
          </cell>
        </row>
        <row r="1084">
          <cell r="M1084">
            <v>1563</v>
          </cell>
          <cell r="N1084">
            <v>33.514672447931027</v>
          </cell>
          <cell r="O1084">
            <v>0</v>
          </cell>
          <cell r="P1084">
            <v>0</v>
          </cell>
        </row>
        <row r="1085">
          <cell r="M1085">
            <v>1564</v>
          </cell>
          <cell r="N1085">
            <v>144.9234721472414</v>
          </cell>
          <cell r="O1085">
            <v>0</v>
          </cell>
          <cell r="P1085">
            <v>0</v>
          </cell>
        </row>
        <row r="1086">
          <cell r="M1086">
            <v>1565</v>
          </cell>
          <cell r="N1086">
            <v>148.39625502689657</v>
          </cell>
          <cell r="O1086">
            <v>0</v>
          </cell>
          <cell r="P1086">
            <v>0</v>
          </cell>
        </row>
        <row r="1087">
          <cell r="M1087">
            <v>1566</v>
          </cell>
          <cell r="N1087">
            <v>89.940007582413813</v>
          </cell>
          <cell r="O1087">
            <v>0</v>
          </cell>
          <cell r="P1087">
            <v>0</v>
          </cell>
        </row>
        <row r="1088">
          <cell r="M1088">
            <v>1570</v>
          </cell>
          <cell r="N1088">
            <v>99.145050147586247</v>
          </cell>
          <cell r="O1088">
            <v>0</v>
          </cell>
          <cell r="P1088">
            <v>0</v>
          </cell>
        </row>
        <row r="1089">
          <cell r="M1089">
            <v>1574</v>
          </cell>
          <cell r="N1089">
            <v>195.15530891827586</v>
          </cell>
          <cell r="O1089">
            <v>0</v>
          </cell>
          <cell r="P1089">
            <v>0</v>
          </cell>
        </row>
        <row r="1090">
          <cell r="M1090">
            <v>1576</v>
          </cell>
          <cell r="N1090">
            <v>74.9687313137931</v>
          </cell>
          <cell r="O1090">
            <v>0</v>
          </cell>
          <cell r="P1090">
            <v>0</v>
          </cell>
        </row>
        <row r="1091">
          <cell r="M1091">
            <v>1577</v>
          </cell>
          <cell r="N1091">
            <v>14.835389711034484</v>
          </cell>
          <cell r="O1091">
            <v>0</v>
          </cell>
          <cell r="P1091">
            <v>0</v>
          </cell>
        </row>
        <row r="1092">
          <cell r="M1092">
            <v>1580</v>
          </cell>
          <cell r="N1092">
            <v>643.12155872413791</v>
          </cell>
          <cell r="O1092">
            <v>0</v>
          </cell>
          <cell r="P1092">
            <v>0</v>
          </cell>
        </row>
        <row r="1093">
          <cell r="M1093">
            <v>1581</v>
          </cell>
          <cell r="N1093">
            <v>78.156056347586215</v>
          </cell>
          <cell r="O1093">
            <v>0</v>
          </cell>
          <cell r="P1093">
            <v>0</v>
          </cell>
        </row>
        <row r="1094">
          <cell r="M1094">
            <v>1583</v>
          </cell>
          <cell r="N1094">
            <v>22.016043956551727</v>
          </cell>
          <cell r="O1094">
            <v>0</v>
          </cell>
          <cell r="P1094">
            <v>0</v>
          </cell>
        </row>
        <row r="1095">
          <cell r="M1095">
            <v>1584</v>
          </cell>
          <cell r="N1095">
            <v>304.5825022424138</v>
          </cell>
          <cell r="O1095">
            <v>0</v>
          </cell>
          <cell r="P1095">
            <v>0</v>
          </cell>
        </row>
        <row r="1096">
          <cell r="M1096">
            <v>1585</v>
          </cell>
          <cell r="N1096">
            <v>92.581559531724125</v>
          </cell>
          <cell r="O1096">
            <v>0</v>
          </cell>
          <cell r="P1096">
            <v>0</v>
          </cell>
        </row>
        <row r="1097">
          <cell r="M1097">
            <v>1587</v>
          </cell>
          <cell r="N1097">
            <v>147.76934054586201</v>
          </cell>
          <cell r="O1097">
            <v>0</v>
          </cell>
          <cell r="P1097">
            <v>0</v>
          </cell>
        </row>
        <row r="1098">
          <cell r="M1098">
            <v>1588</v>
          </cell>
          <cell r="N1098">
            <v>29.800018772758637</v>
          </cell>
          <cell r="O1098">
            <v>0</v>
          </cell>
          <cell r="P1098">
            <v>0</v>
          </cell>
        </row>
        <row r="1099">
          <cell r="M1099">
            <v>1590</v>
          </cell>
          <cell r="N1099">
            <v>47.253564854482768</v>
          </cell>
          <cell r="O1099">
            <v>0</v>
          </cell>
          <cell r="P1099">
            <v>0</v>
          </cell>
        </row>
        <row r="1100">
          <cell r="M1100">
            <v>1591</v>
          </cell>
          <cell r="N1100">
            <v>59.112273440000003</v>
          </cell>
          <cell r="O1100">
            <v>0</v>
          </cell>
          <cell r="P1100">
            <v>0</v>
          </cell>
        </row>
        <row r="1101">
          <cell r="M1101">
            <v>1592</v>
          </cell>
          <cell r="N1101">
            <v>88.187759290000017</v>
          </cell>
          <cell r="O1101">
            <v>0</v>
          </cell>
          <cell r="P1101">
            <v>0</v>
          </cell>
        </row>
        <row r="1102">
          <cell r="M1102">
            <v>1593</v>
          </cell>
          <cell r="N1102">
            <v>31.982947632758613</v>
          </cell>
          <cell r="O1102">
            <v>0</v>
          </cell>
          <cell r="P1102">
            <v>0</v>
          </cell>
        </row>
        <row r="1103">
          <cell r="M1103">
            <v>1595</v>
          </cell>
          <cell r="N1103">
            <v>34.879217404482752</v>
          </cell>
          <cell r="O1103">
            <v>0</v>
          </cell>
          <cell r="P1103">
            <v>0</v>
          </cell>
        </row>
        <row r="1104">
          <cell r="M1104">
            <v>1596</v>
          </cell>
          <cell r="N1104">
            <v>43.046379921034479</v>
          </cell>
          <cell r="O1104">
            <v>0</v>
          </cell>
          <cell r="P1104">
            <v>0</v>
          </cell>
        </row>
        <row r="1105">
          <cell r="M1105">
            <v>1597</v>
          </cell>
          <cell r="N1105">
            <v>220.57487276758621</v>
          </cell>
          <cell r="O1105">
            <v>0</v>
          </cell>
          <cell r="P1105">
            <v>0</v>
          </cell>
        </row>
        <row r="1106">
          <cell r="M1106">
            <v>1598</v>
          </cell>
          <cell r="N1106">
            <v>55.729226371034486</v>
          </cell>
          <cell r="O1106">
            <v>0</v>
          </cell>
          <cell r="P1106">
            <v>0</v>
          </cell>
        </row>
        <row r="1107">
          <cell r="M1107">
            <v>1599</v>
          </cell>
          <cell r="N1107">
            <v>15.013520016896551</v>
          </cell>
          <cell r="O1107">
            <v>0</v>
          </cell>
          <cell r="P1107">
            <v>0</v>
          </cell>
        </row>
        <row r="1108">
          <cell r="M1108">
            <v>1600</v>
          </cell>
          <cell r="N1108">
            <v>68.771746901379316</v>
          </cell>
          <cell r="O1108">
            <v>0</v>
          </cell>
          <cell r="P1108">
            <v>0</v>
          </cell>
        </row>
        <row r="1109">
          <cell r="M1109">
            <v>1601</v>
          </cell>
          <cell r="N1109">
            <v>76.367215252758641</v>
          </cell>
          <cell r="O1109">
            <v>0</v>
          </cell>
          <cell r="P1109">
            <v>0</v>
          </cell>
        </row>
        <row r="1110">
          <cell r="M1110">
            <v>1603</v>
          </cell>
          <cell r="N1110">
            <v>64.693247775862076</v>
          </cell>
          <cell r="O1110">
            <v>0</v>
          </cell>
          <cell r="P1110">
            <v>0</v>
          </cell>
        </row>
        <row r="1111">
          <cell r="M1111">
            <v>1604</v>
          </cell>
          <cell r="N1111">
            <v>25.500076634827586</v>
          </cell>
          <cell r="O1111">
            <v>0</v>
          </cell>
          <cell r="P1111">
            <v>0</v>
          </cell>
        </row>
        <row r="1112">
          <cell r="M1112">
            <v>1605</v>
          </cell>
          <cell r="N1112">
            <v>192.63453688931028</v>
          </cell>
          <cell r="O1112">
            <v>0</v>
          </cell>
          <cell r="P1112">
            <v>0</v>
          </cell>
        </row>
        <row r="1113">
          <cell r="M1113">
            <v>1606</v>
          </cell>
          <cell r="N1113">
            <v>54.599006038620693</v>
          </cell>
          <cell r="O1113">
            <v>0</v>
          </cell>
          <cell r="P1113">
            <v>0</v>
          </cell>
        </row>
        <row r="1114">
          <cell r="M1114">
            <v>1608</v>
          </cell>
          <cell r="N1114">
            <v>21.260887072068961</v>
          </cell>
          <cell r="O1114">
            <v>0</v>
          </cell>
          <cell r="P1114">
            <v>0</v>
          </cell>
        </row>
        <row r="1115">
          <cell r="M1115">
            <v>1611</v>
          </cell>
          <cell r="N1115">
            <v>191.91776139517236</v>
          </cell>
          <cell r="O1115">
            <v>0</v>
          </cell>
          <cell r="P1115">
            <v>0</v>
          </cell>
        </row>
        <row r="1116">
          <cell r="M1116">
            <v>1612</v>
          </cell>
          <cell r="N1116">
            <v>196.22601010758623</v>
          </cell>
          <cell r="O1116">
            <v>0</v>
          </cell>
          <cell r="P1116">
            <v>0</v>
          </cell>
        </row>
        <row r="1117">
          <cell r="M1117">
            <v>1613</v>
          </cell>
          <cell r="N1117">
            <v>223.10515851724139</v>
          </cell>
          <cell r="O1117">
            <v>0</v>
          </cell>
          <cell r="P1117">
            <v>0</v>
          </cell>
        </row>
        <row r="1118">
          <cell r="M1118">
            <v>1614</v>
          </cell>
          <cell r="N1118">
            <v>59.81022304689656</v>
          </cell>
          <cell r="O1118">
            <v>0</v>
          </cell>
          <cell r="P1118">
            <v>0</v>
          </cell>
        </row>
        <row r="1119">
          <cell r="M1119">
            <v>1615</v>
          </cell>
          <cell r="N1119">
            <v>115.31596982620688</v>
          </cell>
          <cell r="O1119">
            <v>0</v>
          </cell>
          <cell r="P1119">
            <v>0</v>
          </cell>
        </row>
        <row r="1120">
          <cell r="M1120">
            <v>1619</v>
          </cell>
          <cell r="N1120">
            <v>162.88145444896548</v>
          </cell>
          <cell r="O1120">
            <v>0</v>
          </cell>
          <cell r="P1120">
            <v>0</v>
          </cell>
        </row>
        <row r="1121">
          <cell r="M1121">
            <v>1620</v>
          </cell>
          <cell r="N1121">
            <v>20.005400999310346</v>
          </cell>
          <cell r="O1121">
            <v>0</v>
          </cell>
          <cell r="P1121">
            <v>0</v>
          </cell>
        </row>
        <row r="1122">
          <cell r="M1122">
            <v>1621</v>
          </cell>
          <cell r="N1122">
            <v>47.679889683793114</v>
          </cell>
          <cell r="O1122">
            <v>0</v>
          </cell>
          <cell r="P1122">
            <v>0</v>
          </cell>
        </row>
        <row r="1123">
          <cell r="M1123">
            <v>1622</v>
          </cell>
          <cell r="N1123">
            <v>202.36138202275862</v>
          </cell>
          <cell r="O1123">
            <v>0</v>
          </cell>
          <cell r="P1123">
            <v>0</v>
          </cell>
        </row>
        <row r="1124">
          <cell r="M1124">
            <v>1623</v>
          </cell>
          <cell r="N1124">
            <v>131.22039471931032</v>
          </cell>
          <cell r="O1124">
            <v>0</v>
          </cell>
          <cell r="P1124">
            <v>0</v>
          </cell>
        </row>
        <row r="1125">
          <cell r="M1125">
            <v>1624</v>
          </cell>
          <cell r="N1125">
            <v>173.38413017068973</v>
          </cell>
          <cell r="O1125">
            <v>0</v>
          </cell>
          <cell r="P1125">
            <v>0</v>
          </cell>
        </row>
        <row r="1126">
          <cell r="M1126">
            <v>1626</v>
          </cell>
          <cell r="N1126">
            <v>139.07925788551722</v>
          </cell>
          <cell r="O1126">
            <v>0</v>
          </cell>
          <cell r="P1126">
            <v>0</v>
          </cell>
        </row>
        <row r="1127">
          <cell r="M1127">
            <v>1627</v>
          </cell>
          <cell r="N1127">
            <v>55.001037487241383</v>
          </cell>
          <cell r="O1127">
            <v>0</v>
          </cell>
          <cell r="P1127">
            <v>0</v>
          </cell>
        </row>
        <row r="1128">
          <cell r="M1128">
            <v>1628</v>
          </cell>
          <cell r="N1128">
            <v>66.583098677241367</v>
          </cell>
          <cell r="O1128">
            <v>0</v>
          </cell>
          <cell r="P1128">
            <v>0</v>
          </cell>
        </row>
        <row r="1129">
          <cell r="M1129">
            <v>1631</v>
          </cell>
          <cell r="N1129">
            <v>159.5396149889655</v>
          </cell>
          <cell r="O1129">
            <v>0</v>
          </cell>
          <cell r="P1129">
            <v>0</v>
          </cell>
        </row>
        <row r="1130">
          <cell r="M1130">
            <v>1637</v>
          </cell>
          <cell r="N1130">
            <v>9.9762208575862026</v>
          </cell>
          <cell r="O1130">
            <v>0</v>
          </cell>
          <cell r="P1130">
            <v>0</v>
          </cell>
        </row>
        <row r="1131">
          <cell r="M1131">
            <v>1639</v>
          </cell>
          <cell r="N1131">
            <v>151.33711643379308</v>
          </cell>
          <cell r="O1131">
            <v>0</v>
          </cell>
          <cell r="P1131">
            <v>0</v>
          </cell>
        </row>
        <row r="1132">
          <cell r="M1132">
            <v>1641</v>
          </cell>
          <cell r="N1132">
            <v>126.90596221344828</v>
          </cell>
          <cell r="O1132">
            <v>0</v>
          </cell>
          <cell r="P1132">
            <v>0</v>
          </cell>
        </row>
        <row r="1133">
          <cell r="M1133">
            <v>1642</v>
          </cell>
          <cell r="N1133">
            <v>453.05130280448299</v>
          </cell>
          <cell r="O1133">
            <v>0</v>
          </cell>
          <cell r="P1133">
            <v>0</v>
          </cell>
        </row>
        <row r="1134">
          <cell r="M1134">
            <v>1644</v>
          </cell>
          <cell r="N1134">
            <v>96.278993591724131</v>
          </cell>
          <cell r="O1134">
            <v>0</v>
          </cell>
          <cell r="P1134">
            <v>0</v>
          </cell>
        </row>
        <row r="1135">
          <cell r="M1135">
            <v>1648</v>
          </cell>
          <cell r="N1135">
            <v>99.368591054827576</v>
          </cell>
          <cell r="O1135">
            <v>0</v>
          </cell>
          <cell r="P1135">
            <v>0</v>
          </cell>
        </row>
        <row r="1136">
          <cell r="M1136">
            <v>1649</v>
          </cell>
          <cell r="N1136">
            <v>699.47396444344838</v>
          </cell>
          <cell r="O1136">
            <v>0</v>
          </cell>
          <cell r="P1136">
            <v>0</v>
          </cell>
        </row>
        <row r="1137">
          <cell r="M1137">
            <v>1650</v>
          </cell>
          <cell r="N1137">
            <v>282.23351001965511</v>
          </cell>
          <cell r="O1137">
            <v>0</v>
          </cell>
          <cell r="P1137">
            <v>0</v>
          </cell>
        </row>
        <row r="1138">
          <cell r="M1138">
            <v>1651</v>
          </cell>
          <cell r="N1138">
            <v>620.78220158862064</v>
          </cell>
          <cell r="O1138">
            <v>0</v>
          </cell>
          <cell r="P1138">
            <v>0</v>
          </cell>
        </row>
        <row r="1139">
          <cell r="M1139">
            <v>1653</v>
          </cell>
          <cell r="N1139">
            <v>425.40816569689662</v>
          </cell>
          <cell r="O1139">
            <v>0</v>
          </cell>
          <cell r="P1139">
            <v>0</v>
          </cell>
        </row>
        <row r="1140">
          <cell r="M1140">
            <v>1655</v>
          </cell>
          <cell r="N1140">
            <v>315.8801134251724</v>
          </cell>
          <cell r="O1140">
            <v>0</v>
          </cell>
          <cell r="P1140">
            <v>0</v>
          </cell>
        </row>
        <row r="1141">
          <cell r="M1141">
            <v>1656</v>
          </cell>
          <cell r="N1141">
            <v>45.651547993103449</v>
          </cell>
          <cell r="O1141">
            <v>0</v>
          </cell>
          <cell r="P1141">
            <v>0</v>
          </cell>
        </row>
        <row r="1142">
          <cell r="M1142">
            <v>1657</v>
          </cell>
          <cell r="N1142">
            <v>228.45490076551724</v>
          </cell>
          <cell r="O1142">
            <v>0</v>
          </cell>
          <cell r="P1142">
            <v>0</v>
          </cell>
        </row>
        <row r="1143">
          <cell r="M1143">
            <v>1660</v>
          </cell>
          <cell r="N1143">
            <v>211.31595862379314</v>
          </cell>
          <cell r="O1143">
            <v>0</v>
          </cell>
          <cell r="P1143">
            <v>0</v>
          </cell>
        </row>
        <row r="1144">
          <cell r="M1144">
            <v>1661</v>
          </cell>
          <cell r="N1144">
            <v>103.25261850793106</v>
          </cell>
          <cell r="O1144">
            <v>0</v>
          </cell>
          <cell r="P1144">
            <v>0</v>
          </cell>
        </row>
        <row r="1145">
          <cell r="M1145">
            <v>1663</v>
          </cell>
          <cell r="N1145">
            <v>513.96802009758619</v>
          </cell>
          <cell r="O1145">
            <v>0</v>
          </cell>
          <cell r="P1145">
            <v>0</v>
          </cell>
        </row>
        <row r="1146">
          <cell r="M1146">
            <v>1664</v>
          </cell>
          <cell r="N1146">
            <v>18.401502269655175</v>
          </cell>
          <cell r="O1146">
            <v>0</v>
          </cell>
          <cell r="P1146">
            <v>0</v>
          </cell>
        </row>
        <row r="1147">
          <cell r="M1147">
            <v>1665</v>
          </cell>
          <cell r="N1147">
            <v>131.46113707517242</v>
          </cell>
          <cell r="O1147">
            <v>0</v>
          </cell>
          <cell r="P1147">
            <v>0</v>
          </cell>
        </row>
        <row r="1148">
          <cell r="M1148">
            <v>1666</v>
          </cell>
          <cell r="N1148">
            <v>425.59587466655165</v>
          </cell>
          <cell r="O1148">
            <v>0</v>
          </cell>
          <cell r="P1148">
            <v>0</v>
          </cell>
        </row>
        <row r="1149">
          <cell r="M1149">
            <v>1668</v>
          </cell>
          <cell r="N1149">
            <v>348.75869438137926</v>
          </cell>
          <cell r="O1149">
            <v>0</v>
          </cell>
          <cell r="P1149">
            <v>0</v>
          </cell>
        </row>
        <row r="1150">
          <cell r="M1150">
            <v>1669</v>
          </cell>
          <cell r="N1150">
            <v>206.02120831620684</v>
          </cell>
          <cell r="O1150">
            <v>0</v>
          </cell>
          <cell r="P1150">
            <v>0</v>
          </cell>
        </row>
        <row r="1151">
          <cell r="M1151">
            <v>1672</v>
          </cell>
          <cell r="N1151">
            <v>346.97402048482769</v>
          </cell>
          <cell r="O1151">
            <v>0</v>
          </cell>
          <cell r="P1151">
            <v>0</v>
          </cell>
        </row>
        <row r="1152">
          <cell r="M1152">
            <v>1673</v>
          </cell>
          <cell r="N1152">
            <v>296.5047874451725</v>
          </cell>
          <cell r="O1152">
            <v>0</v>
          </cell>
          <cell r="P1152">
            <v>0</v>
          </cell>
        </row>
        <row r="1153">
          <cell r="M1153">
            <v>1674</v>
          </cell>
          <cell r="N1153">
            <v>165.05860549206898</v>
          </cell>
          <cell r="O1153">
            <v>0</v>
          </cell>
          <cell r="P1153">
            <v>0</v>
          </cell>
        </row>
        <row r="1154">
          <cell r="M1154">
            <v>1678</v>
          </cell>
          <cell r="N1154">
            <v>362.25431568344834</v>
          </cell>
          <cell r="O1154">
            <v>0</v>
          </cell>
          <cell r="P1154">
            <v>0</v>
          </cell>
        </row>
        <row r="1155">
          <cell r="M1155">
            <v>1679</v>
          </cell>
          <cell r="N1155">
            <v>566.51907303793121</v>
          </cell>
          <cell r="O1155">
            <v>0</v>
          </cell>
          <cell r="P1155">
            <v>0</v>
          </cell>
        </row>
        <row r="1156">
          <cell r="M1156">
            <v>1680</v>
          </cell>
          <cell r="N1156">
            <v>26.203262682758623</v>
          </cell>
          <cell r="O1156">
            <v>0</v>
          </cell>
          <cell r="P1156">
            <v>0</v>
          </cell>
        </row>
        <row r="1157">
          <cell r="M1157">
            <v>1681</v>
          </cell>
          <cell r="N1157">
            <v>263.70157676344826</v>
          </cell>
          <cell r="O1157">
            <v>0</v>
          </cell>
          <cell r="P1157">
            <v>0</v>
          </cell>
        </row>
        <row r="1158">
          <cell r="M1158">
            <v>1685</v>
          </cell>
          <cell r="N1158">
            <v>116.43551642827588</v>
          </cell>
          <cell r="O1158">
            <v>0</v>
          </cell>
          <cell r="P1158">
            <v>0</v>
          </cell>
        </row>
        <row r="1159">
          <cell r="M1159">
            <v>1686</v>
          </cell>
          <cell r="N1159">
            <v>204.67558349275865</v>
          </cell>
          <cell r="O1159">
            <v>0</v>
          </cell>
          <cell r="P1159">
            <v>0</v>
          </cell>
        </row>
        <row r="1160">
          <cell r="M1160">
            <v>1687</v>
          </cell>
          <cell r="N1160">
            <v>268.3676509158621</v>
          </cell>
          <cell r="O1160">
            <v>0</v>
          </cell>
          <cell r="P1160">
            <v>0</v>
          </cell>
        </row>
        <row r="1161">
          <cell r="M1161">
            <v>1691</v>
          </cell>
          <cell r="N1161">
            <v>45.598996996551733</v>
          </cell>
          <cell r="O1161">
            <v>0</v>
          </cell>
          <cell r="P1161">
            <v>0</v>
          </cell>
        </row>
        <row r="1162">
          <cell r="M1162">
            <v>1692</v>
          </cell>
          <cell r="N1162">
            <v>143.41107074000004</v>
          </cell>
          <cell r="O1162">
            <v>0</v>
          </cell>
          <cell r="P1162">
            <v>0</v>
          </cell>
        </row>
        <row r="1163">
          <cell r="M1163">
            <v>1694</v>
          </cell>
          <cell r="N1163">
            <v>46.07888897793103</v>
          </cell>
          <cell r="O1163">
            <v>0</v>
          </cell>
          <cell r="P1163">
            <v>0</v>
          </cell>
        </row>
        <row r="1164">
          <cell r="M1164">
            <v>1695</v>
          </cell>
          <cell r="N1164">
            <v>19.140664000689647</v>
          </cell>
          <cell r="O1164">
            <v>0</v>
          </cell>
          <cell r="P1164">
            <v>0</v>
          </cell>
        </row>
        <row r="1165">
          <cell r="M1165">
            <v>1696</v>
          </cell>
          <cell r="N1165">
            <v>67.0085704962069</v>
          </cell>
          <cell r="O1165">
            <v>0</v>
          </cell>
          <cell r="P1165">
            <v>0</v>
          </cell>
        </row>
        <row r="1166">
          <cell r="M1166">
            <v>1697</v>
          </cell>
          <cell r="N1166">
            <v>493.02893112379309</v>
          </cell>
          <cell r="O1166">
            <v>0</v>
          </cell>
          <cell r="P1166">
            <v>0</v>
          </cell>
        </row>
        <row r="1167">
          <cell r="M1167">
            <v>1699</v>
          </cell>
          <cell r="N1167">
            <v>370.5072094803449</v>
          </cell>
          <cell r="O1167">
            <v>0</v>
          </cell>
          <cell r="P1167">
            <v>0</v>
          </cell>
        </row>
        <row r="1168">
          <cell r="M1168">
            <v>1702</v>
          </cell>
          <cell r="N1168">
            <v>250.43618504379305</v>
          </cell>
          <cell r="O1168">
            <v>0</v>
          </cell>
          <cell r="P1168">
            <v>0</v>
          </cell>
        </row>
        <row r="1169">
          <cell r="M1169">
            <v>1703</v>
          </cell>
          <cell r="N1169">
            <v>139.72847597655172</v>
          </cell>
          <cell r="O1169">
            <v>0</v>
          </cell>
          <cell r="P1169">
            <v>0</v>
          </cell>
        </row>
        <row r="1170">
          <cell r="M1170">
            <v>1705</v>
          </cell>
          <cell r="N1170">
            <v>121.13069671586207</v>
          </cell>
          <cell r="O1170">
            <v>0</v>
          </cell>
          <cell r="P1170">
            <v>0</v>
          </cell>
        </row>
        <row r="1171">
          <cell r="M1171">
            <v>1706</v>
          </cell>
          <cell r="N1171">
            <v>196.83231210551725</v>
          </cell>
          <cell r="O1171">
            <v>0</v>
          </cell>
          <cell r="P1171">
            <v>0</v>
          </cell>
        </row>
        <row r="1172">
          <cell r="M1172">
            <v>1707</v>
          </cell>
          <cell r="N1172">
            <v>51.01244232241379</v>
          </cell>
          <cell r="O1172">
            <v>0</v>
          </cell>
          <cell r="P1172">
            <v>0</v>
          </cell>
        </row>
        <row r="1173">
          <cell r="M1173">
            <v>1709</v>
          </cell>
          <cell r="N1173">
            <v>192.64309763999998</v>
          </cell>
          <cell r="O1173">
            <v>0</v>
          </cell>
          <cell r="P1173">
            <v>0</v>
          </cell>
        </row>
        <row r="1174">
          <cell r="M1174">
            <v>1710</v>
          </cell>
          <cell r="N1174">
            <v>15.741649967586207</v>
          </cell>
          <cell r="O1174">
            <v>0</v>
          </cell>
          <cell r="P1174">
            <v>0</v>
          </cell>
        </row>
        <row r="1175">
          <cell r="M1175">
            <v>1711</v>
          </cell>
          <cell r="N1175">
            <v>138.81906300793108</v>
          </cell>
          <cell r="O1175">
            <v>0</v>
          </cell>
          <cell r="P1175">
            <v>0</v>
          </cell>
        </row>
        <row r="1176">
          <cell r="M1176">
            <v>1712</v>
          </cell>
          <cell r="N1176">
            <v>34.206516848275861</v>
          </cell>
          <cell r="O1176">
            <v>0</v>
          </cell>
          <cell r="P1176">
            <v>0</v>
          </cell>
        </row>
        <row r="1177">
          <cell r="M1177">
            <v>1713</v>
          </cell>
          <cell r="N1177">
            <v>179.61715713034482</v>
          </cell>
          <cell r="O1177">
            <v>0</v>
          </cell>
          <cell r="P1177">
            <v>0</v>
          </cell>
        </row>
        <row r="1178">
          <cell r="M1178">
            <v>1714</v>
          </cell>
          <cell r="N1178">
            <v>190.3671703424138</v>
          </cell>
          <cell r="O1178">
            <v>0</v>
          </cell>
          <cell r="P1178">
            <v>0</v>
          </cell>
        </row>
        <row r="1179">
          <cell r="M1179">
            <v>1715</v>
          </cell>
          <cell r="N1179">
            <v>142.893710767931</v>
          </cell>
          <cell r="O1179">
            <v>0</v>
          </cell>
          <cell r="P1179">
            <v>0</v>
          </cell>
        </row>
        <row r="1180">
          <cell r="M1180">
            <v>1716</v>
          </cell>
          <cell r="N1180">
            <v>134.69717609896551</v>
          </cell>
          <cell r="O1180">
            <v>0</v>
          </cell>
          <cell r="P1180">
            <v>0</v>
          </cell>
        </row>
        <row r="1181">
          <cell r="M1181">
            <v>1718</v>
          </cell>
          <cell r="N1181">
            <v>246.0942808851724</v>
          </cell>
          <cell r="O1181">
            <v>0</v>
          </cell>
          <cell r="P1181">
            <v>0</v>
          </cell>
        </row>
        <row r="1182">
          <cell r="M1182">
            <v>1719</v>
          </cell>
          <cell r="N1182">
            <v>123.39449575689655</v>
          </cell>
          <cell r="O1182">
            <v>0</v>
          </cell>
          <cell r="P1182">
            <v>0</v>
          </cell>
        </row>
        <row r="1183">
          <cell r="M1183">
            <v>1720</v>
          </cell>
          <cell r="N1183">
            <v>51.490407748275864</v>
          </cell>
          <cell r="O1183">
            <v>0</v>
          </cell>
          <cell r="P1183">
            <v>0</v>
          </cell>
        </row>
        <row r="1184">
          <cell r="M1184">
            <v>1723</v>
          </cell>
          <cell r="N1184">
            <v>152.585127824138</v>
          </cell>
          <cell r="O1184">
            <v>0</v>
          </cell>
          <cell r="P1184">
            <v>0</v>
          </cell>
        </row>
        <row r="1185">
          <cell r="M1185">
            <v>1726</v>
          </cell>
          <cell r="N1185">
            <v>454.37091652862057</v>
          </cell>
          <cell r="O1185">
            <v>0</v>
          </cell>
          <cell r="P1185">
            <v>0</v>
          </cell>
        </row>
        <row r="1186">
          <cell r="M1186">
            <v>1728</v>
          </cell>
          <cell r="N1186">
            <v>89.3855510437931</v>
          </cell>
          <cell r="O1186">
            <v>0</v>
          </cell>
          <cell r="P1186">
            <v>0</v>
          </cell>
        </row>
        <row r="1187">
          <cell r="M1187">
            <v>1729</v>
          </cell>
          <cell r="N1187">
            <v>67.376898720344826</v>
          </cell>
          <cell r="O1187">
            <v>0</v>
          </cell>
          <cell r="P1187">
            <v>0</v>
          </cell>
        </row>
        <row r="1188">
          <cell r="M1188">
            <v>1732</v>
          </cell>
          <cell r="N1188">
            <v>136.40152479896554</v>
          </cell>
          <cell r="O1188">
            <v>0</v>
          </cell>
          <cell r="P1188">
            <v>0</v>
          </cell>
        </row>
        <row r="1189">
          <cell r="M1189">
            <v>1733</v>
          </cell>
          <cell r="N1189">
            <v>393.22475850999984</v>
          </cell>
          <cell r="O1189">
            <v>0</v>
          </cell>
          <cell r="P1189">
            <v>0</v>
          </cell>
        </row>
        <row r="1190">
          <cell r="M1190">
            <v>1737</v>
          </cell>
          <cell r="N1190">
            <v>104.1860527496552</v>
          </cell>
          <cell r="O1190">
            <v>0</v>
          </cell>
          <cell r="P1190">
            <v>0</v>
          </cell>
        </row>
        <row r="1191">
          <cell r="M1191">
            <v>1739</v>
          </cell>
          <cell r="N1191">
            <v>116.67373776758618</v>
          </cell>
          <cell r="O1191">
            <v>0</v>
          </cell>
          <cell r="P1191">
            <v>0</v>
          </cell>
        </row>
        <row r="1192">
          <cell r="M1192">
            <v>1740</v>
          </cell>
          <cell r="N1192">
            <v>97.32024062620691</v>
          </cell>
          <cell r="O1192">
            <v>0</v>
          </cell>
          <cell r="P1192">
            <v>0</v>
          </cell>
        </row>
        <row r="1193">
          <cell r="M1193">
            <v>1742</v>
          </cell>
          <cell r="N1193">
            <v>594.97113537172402</v>
          </cell>
          <cell r="O1193">
            <v>0</v>
          </cell>
          <cell r="P1193">
            <v>0</v>
          </cell>
        </row>
        <row r="1194">
          <cell r="M1194">
            <v>1743</v>
          </cell>
          <cell r="N1194">
            <v>73.679207407930988</v>
          </cell>
          <cell r="O1194">
            <v>0</v>
          </cell>
          <cell r="P1194">
            <v>0</v>
          </cell>
        </row>
        <row r="1195">
          <cell r="M1195">
            <v>1744</v>
          </cell>
          <cell r="N1195">
            <v>349.14455311</v>
          </cell>
          <cell r="O1195">
            <v>0</v>
          </cell>
          <cell r="P1195">
            <v>0</v>
          </cell>
        </row>
        <row r="1196">
          <cell r="M1196">
            <v>1746</v>
          </cell>
          <cell r="N1196">
            <v>228.25916998517241</v>
          </cell>
          <cell r="O1196">
            <v>0</v>
          </cell>
          <cell r="P1196">
            <v>0</v>
          </cell>
        </row>
        <row r="1197">
          <cell r="M1197">
            <v>1748</v>
          </cell>
          <cell r="N1197">
            <v>768.50515525448282</v>
          </cell>
          <cell r="O1197">
            <v>0</v>
          </cell>
          <cell r="P1197">
            <v>0</v>
          </cell>
        </row>
        <row r="1198">
          <cell r="M1198">
            <v>1750</v>
          </cell>
          <cell r="N1198">
            <v>6.1289706941379309</v>
          </cell>
          <cell r="O1198">
            <v>0</v>
          </cell>
          <cell r="P1198">
            <v>0</v>
          </cell>
        </row>
        <row r="1199">
          <cell r="M1199">
            <v>1752</v>
          </cell>
          <cell r="N1199">
            <v>262.44470429206893</v>
          </cell>
          <cell r="O1199">
            <v>0</v>
          </cell>
          <cell r="P1199">
            <v>0</v>
          </cell>
        </row>
        <row r="1200">
          <cell r="M1200">
            <v>1753</v>
          </cell>
          <cell r="N1200">
            <v>23.256327087241381</v>
          </cell>
          <cell r="O1200">
            <v>0</v>
          </cell>
          <cell r="P1200">
            <v>0</v>
          </cell>
        </row>
        <row r="1201">
          <cell r="M1201">
            <v>1754</v>
          </cell>
          <cell r="N1201">
            <v>56.724109718965536</v>
          </cell>
          <cell r="O1201">
            <v>0</v>
          </cell>
          <cell r="P1201">
            <v>0</v>
          </cell>
        </row>
        <row r="1202">
          <cell r="M1202">
            <v>1756</v>
          </cell>
          <cell r="N1202">
            <v>27.154375224482759</v>
          </cell>
          <cell r="O1202">
            <v>0</v>
          </cell>
          <cell r="P1202">
            <v>0</v>
          </cell>
        </row>
        <row r="1203">
          <cell r="M1203">
            <v>1757</v>
          </cell>
          <cell r="N1203">
            <v>124.82354998862068</v>
          </cell>
          <cell r="O1203">
            <v>0</v>
          </cell>
          <cell r="P1203">
            <v>0</v>
          </cell>
        </row>
        <row r="1204">
          <cell r="M1204">
            <v>1760</v>
          </cell>
          <cell r="N1204">
            <v>8.9425456575862086</v>
          </cell>
          <cell r="O1204">
            <v>0</v>
          </cell>
          <cell r="P1204">
            <v>0</v>
          </cell>
        </row>
        <row r="1205">
          <cell r="M1205">
            <v>1761</v>
          </cell>
          <cell r="N1205">
            <v>5.9659653679310338</v>
          </cell>
          <cell r="O1205">
            <v>0</v>
          </cell>
          <cell r="P1205">
            <v>0</v>
          </cell>
        </row>
        <row r="1206">
          <cell r="M1206">
            <v>1763</v>
          </cell>
          <cell r="N1206">
            <v>58.29847744931034</v>
          </cell>
          <cell r="O1206">
            <v>0</v>
          </cell>
          <cell r="P1206">
            <v>0</v>
          </cell>
        </row>
        <row r="1207">
          <cell r="M1207">
            <v>1764</v>
          </cell>
          <cell r="N1207">
            <v>93.193267296206912</v>
          </cell>
          <cell r="O1207">
            <v>0</v>
          </cell>
          <cell r="P1207">
            <v>0</v>
          </cell>
        </row>
        <row r="1208">
          <cell r="M1208">
            <v>1765</v>
          </cell>
          <cell r="N1208">
            <v>873.93589025137931</v>
          </cell>
          <cell r="O1208">
            <v>0</v>
          </cell>
          <cell r="P1208">
            <v>0</v>
          </cell>
        </row>
        <row r="1209">
          <cell r="M1209">
            <v>1766</v>
          </cell>
          <cell r="N1209">
            <v>90.141325103448253</v>
          </cell>
          <cell r="O1209">
            <v>0</v>
          </cell>
          <cell r="P1209">
            <v>0</v>
          </cell>
        </row>
        <row r="1210">
          <cell r="M1210">
            <v>1767</v>
          </cell>
          <cell r="N1210">
            <v>24.37009202310346</v>
          </cell>
          <cell r="O1210">
            <v>0</v>
          </cell>
          <cell r="P1210">
            <v>0</v>
          </cell>
        </row>
        <row r="1211">
          <cell r="M1211">
            <v>1769</v>
          </cell>
          <cell r="N1211">
            <v>668.57980238551716</v>
          </cell>
          <cell r="O1211">
            <v>0</v>
          </cell>
          <cell r="P1211">
            <v>0</v>
          </cell>
        </row>
        <row r="1212">
          <cell r="M1212">
            <v>1771</v>
          </cell>
          <cell r="N1212">
            <v>19.9916925437931</v>
          </cell>
          <cell r="O1212">
            <v>0</v>
          </cell>
          <cell r="P1212">
            <v>0</v>
          </cell>
        </row>
        <row r="1213">
          <cell r="M1213">
            <v>1773</v>
          </cell>
          <cell r="N1213">
            <v>212.21039115344831</v>
          </cell>
          <cell r="O1213">
            <v>0</v>
          </cell>
          <cell r="P1213">
            <v>0</v>
          </cell>
        </row>
        <row r="1214">
          <cell r="M1214">
            <v>1774</v>
          </cell>
          <cell r="N1214">
            <v>75.532848529310343</v>
          </cell>
          <cell r="O1214">
            <v>0</v>
          </cell>
          <cell r="P1214">
            <v>0</v>
          </cell>
        </row>
        <row r="1215">
          <cell r="M1215">
            <v>1776</v>
          </cell>
          <cell r="N1215">
            <v>287.87796978172412</v>
          </cell>
          <cell r="O1215">
            <v>0</v>
          </cell>
          <cell r="P1215">
            <v>0</v>
          </cell>
        </row>
        <row r="1216">
          <cell r="M1216">
            <v>1779</v>
          </cell>
          <cell r="N1216">
            <v>78.45739651103446</v>
          </cell>
          <cell r="O1216">
            <v>0</v>
          </cell>
          <cell r="P1216">
            <v>0</v>
          </cell>
        </row>
        <row r="1217">
          <cell r="M1217">
            <v>1780</v>
          </cell>
          <cell r="N1217">
            <v>94.910350886551726</v>
          </cell>
          <cell r="O1217">
            <v>0</v>
          </cell>
          <cell r="P1217">
            <v>0</v>
          </cell>
        </row>
        <row r="1218">
          <cell r="M1218">
            <v>1782</v>
          </cell>
          <cell r="N1218">
            <v>280.62994144310341</v>
          </cell>
          <cell r="O1218">
            <v>0</v>
          </cell>
          <cell r="P1218">
            <v>0</v>
          </cell>
        </row>
        <row r="1219">
          <cell r="M1219">
            <v>1783</v>
          </cell>
          <cell r="N1219">
            <v>1246.4511427006898</v>
          </cell>
          <cell r="O1219">
            <v>0</v>
          </cell>
          <cell r="P1219">
            <v>0</v>
          </cell>
        </row>
        <row r="1220">
          <cell r="M1220">
            <v>1787</v>
          </cell>
          <cell r="N1220">
            <v>204.83699422379311</v>
          </cell>
          <cell r="O1220">
            <v>0</v>
          </cell>
          <cell r="P1220">
            <v>0</v>
          </cell>
        </row>
        <row r="1221">
          <cell r="M1221">
            <v>1790</v>
          </cell>
          <cell r="N1221">
            <v>556.8417100703449</v>
          </cell>
          <cell r="O1221">
            <v>0</v>
          </cell>
          <cell r="P1221">
            <v>0</v>
          </cell>
        </row>
        <row r="1222">
          <cell r="M1222">
            <v>1791</v>
          </cell>
          <cell r="N1222">
            <v>145.78236468413795</v>
          </cell>
          <cell r="O1222">
            <v>0</v>
          </cell>
          <cell r="P1222">
            <v>0</v>
          </cell>
        </row>
        <row r="1223">
          <cell r="M1223">
            <v>1795</v>
          </cell>
          <cell r="N1223">
            <v>465.36897141310322</v>
          </cell>
          <cell r="O1223">
            <v>0</v>
          </cell>
          <cell r="P1223">
            <v>0</v>
          </cell>
        </row>
        <row r="1224">
          <cell r="M1224">
            <v>1799</v>
          </cell>
          <cell r="N1224">
            <v>158.18251753758619</v>
          </cell>
          <cell r="O1224">
            <v>0</v>
          </cell>
          <cell r="P1224">
            <v>0</v>
          </cell>
        </row>
        <row r="1225">
          <cell r="M1225">
            <v>1803</v>
          </cell>
          <cell r="N1225">
            <v>164.56769686068967</v>
          </cell>
          <cell r="O1225">
            <v>0</v>
          </cell>
          <cell r="P1225">
            <v>0</v>
          </cell>
        </row>
        <row r="1226">
          <cell r="M1226">
            <v>1804</v>
          </cell>
          <cell r="N1226">
            <v>99.935502094482786</v>
          </cell>
          <cell r="O1226">
            <v>0</v>
          </cell>
          <cell r="P1226">
            <v>0</v>
          </cell>
        </row>
        <row r="1227">
          <cell r="M1227">
            <v>1805</v>
          </cell>
          <cell r="N1227">
            <v>212.48224811551725</v>
          </cell>
          <cell r="O1227">
            <v>0</v>
          </cell>
          <cell r="P1227">
            <v>0</v>
          </cell>
        </row>
        <row r="1228">
          <cell r="M1228">
            <v>1806</v>
          </cell>
          <cell r="N1228">
            <v>292.17314169103446</v>
          </cell>
          <cell r="O1228">
            <v>0</v>
          </cell>
          <cell r="P1228">
            <v>0</v>
          </cell>
        </row>
        <row r="1229">
          <cell r="M1229">
            <v>1808</v>
          </cell>
          <cell r="N1229">
            <v>46.128537735172422</v>
          </cell>
          <cell r="O1229">
            <v>0</v>
          </cell>
          <cell r="P1229">
            <v>0</v>
          </cell>
        </row>
        <row r="1230">
          <cell r="M1230">
            <v>1809</v>
          </cell>
          <cell r="N1230">
            <v>263.88564890586207</v>
          </cell>
          <cell r="O1230">
            <v>0</v>
          </cell>
          <cell r="P1230">
            <v>0</v>
          </cell>
        </row>
        <row r="1231">
          <cell r="M1231">
            <v>1811</v>
          </cell>
          <cell r="N1231">
            <v>45.676908160344823</v>
          </cell>
          <cell r="O1231">
            <v>0</v>
          </cell>
          <cell r="P1231">
            <v>0</v>
          </cell>
        </row>
        <row r="1232">
          <cell r="M1232">
            <v>1812</v>
          </cell>
          <cell r="N1232">
            <v>21.449669763448277</v>
          </cell>
          <cell r="O1232">
            <v>0</v>
          </cell>
          <cell r="P1232">
            <v>0</v>
          </cell>
        </row>
        <row r="1233">
          <cell r="M1233">
            <v>1814</v>
          </cell>
          <cell r="N1233">
            <v>140.80669564310344</v>
          </cell>
          <cell r="O1233">
            <v>0</v>
          </cell>
          <cell r="P1233">
            <v>0</v>
          </cell>
        </row>
        <row r="1234">
          <cell r="M1234">
            <v>1815</v>
          </cell>
          <cell r="N1234">
            <v>270.45549703482754</v>
          </cell>
          <cell r="O1234">
            <v>0</v>
          </cell>
          <cell r="P1234">
            <v>0</v>
          </cell>
        </row>
        <row r="1235">
          <cell r="M1235">
            <v>1816</v>
          </cell>
          <cell r="N1235">
            <v>108.8872760975862</v>
          </cell>
          <cell r="O1235">
            <v>0</v>
          </cell>
          <cell r="P1235">
            <v>0</v>
          </cell>
        </row>
        <row r="1236">
          <cell r="M1236">
            <v>1820</v>
          </cell>
          <cell r="N1236">
            <v>37.88589944965517</v>
          </cell>
          <cell r="O1236">
            <v>0</v>
          </cell>
          <cell r="P1236">
            <v>0</v>
          </cell>
        </row>
        <row r="1237">
          <cell r="M1237">
            <v>1821</v>
          </cell>
          <cell r="N1237">
            <v>19.760973801379315</v>
          </cell>
          <cell r="O1237">
            <v>0</v>
          </cell>
          <cell r="P1237">
            <v>0</v>
          </cell>
        </row>
        <row r="1238">
          <cell r="M1238">
            <v>1825</v>
          </cell>
          <cell r="N1238">
            <v>115.63097205586206</v>
          </cell>
          <cell r="O1238">
            <v>0</v>
          </cell>
          <cell r="P1238">
            <v>0</v>
          </cell>
        </row>
        <row r="1239">
          <cell r="M1239">
            <v>1826</v>
          </cell>
          <cell r="N1239">
            <v>45.949163175862076</v>
          </cell>
          <cell r="O1239">
            <v>0</v>
          </cell>
          <cell r="P1239">
            <v>0</v>
          </cell>
        </row>
        <row r="1240">
          <cell r="M1240">
            <v>1829</v>
          </cell>
          <cell r="N1240">
            <v>118.24461908793106</v>
          </cell>
          <cell r="O1240">
            <v>0</v>
          </cell>
          <cell r="P1240">
            <v>0</v>
          </cell>
        </row>
        <row r="1241">
          <cell r="M1241">
            <v>1830</v>
          </cell>
          <cell r="N1241">
            <v>263.34874414310337</v>
          </cell>
          <cell r="O1241">
            <v>0</v>
          </cell>
          <cell r="P1241">
            <v>0</v>
          </cell>
        </row>
        <row r="1242">
          <cell r="M1242">
            <v>1834</v>
          </cell>
          <cell r="N1242">
            <v>214.96789264724134</v>
          </cell>
          <cell r="O1242">
            <v>0</v>
          </cell>
          <cell r="P1242">
            <v>0</v>
          </cell>
        </row>
        <row r="1243">
          <cell r="M1243">
            <v>1840</v>
          </cell>
          <cell r="N1243">
            <v>112.77992144344827</v>
          </cell>
          <cell r="O1243">
            <v>0</v>
          </cell>
          <cell r="P1243">
            <v>0</v>
          </cell>
        </row>
        <row r="1244">
          <cell r="M1244">
            <v>1841</v>
          </cell>
          <cell r="N1244">
            <v>232.19425823931036</v>
          </cell>
          <cell r="O1244">
            <v>0</v>
          </cell>
          <cell r="P1244">
            <v>0</v>
          </cell>
        </row>
        <row r="1245">
          <cell r="M1245">
            <v>1842</v>
          </cell>
          <cell r="N1245">
            <v>81.268209562758614</v>
          </cell>
          <cell r="O1245">
            <v>0</v>
          </cell>
          <cell r="P1245">
            <v>0</v>
          </cell>
        </row>
        <row r="1246">
          <cell r="M1246">
            <v>1847</v>
          </cell>
          <cell r="N1246">
            <v>29.542547629655168</v>
          </cell>
          <cell r="O1246">
            <v>0</v>
          </cell>
          <cell r="P1246">
            <v>0</v>
          </cell>
        </row>
        <row r="1247">
          <cell r="M1247">
            <v>1848</v>
          </cell>
          <cell r="N1247">
            <v>363.599709584138</v>
          </cell>
          <cell r="O1247">
            <v>0</v>
          </cell>
          <cell r="P1247">
            <v>0</v>
          </cell>
        </row>
        <row r="1248">
          <cell r="M1248">
            <v>1851</v>
          </cell>
          <cell r="N1248">
            <v>25.989850627586204</v>
          </cell>
          <cell r="O1248">
            <v>0</v>
          </cell>
          <cell r="P1248">
            <v>0</v>
          </cell>
        </row>
        <row r="1249">
          <cell r="M1249">
            <v>1852</v>
          </cell>
          <cell r="N1249">
            <v>491.22760283724153</v>
          </cell>
          <cell r="O1249">
            <v>0</v>
          </cell>
          <cell r="P1249">
            <v>0</v>
          </cell>
        </row>
        <row r="1250">
          <cell r="M1250">
            <v>1853</v>
          </cell>
          <cell r="N1250">
            <v>733.0986038396552</v>
          </cell>
          <cell r="O1250">
            <v>0</v>
          </cell>
          <cell r="P1250">
            <v>0</v>
          </cell>
        </row>
        <row r="1251">
          <cell r="M1251">
            <v>1854</v>
          </cell>
          <cell r="N1251">
            <v>222.72040542655176</v>
          </cell>
          <cell r="O1251">
            <v>0</v>
          </cell>
          <cell r="P1251">
            <v>0</v>
          </cell>
        </row>
        <row r="1252">
          <cell r="M1252">
            <v>1855</v>
          </cell>
          <cell r="N1252">
            <v>200.43770553793104</v>
          </cell>
          <cell r="O1252">
            <v>0</v>
          </cell>
          <cell r="P1252">
            <v>0</v>
          </cell>
        </row>
        <row r="1253">
          <cell r="M1253">
            <v>1857</v>
          </cell>
          <cell r="N1253">
            <v>138.5134325572414</v>
          </cell>
          <cell r="O1253">
            <v>0</v>
          </cell>
          <cell r="P1253">
            <v>0</v>
          </cell>
        </row>
        <row r="1254">
          <cell r="M1254">
            <v>1858</v>
          </cell>
          <cell r="N1254">
            <v>815.49657992310347</v>
          </cell>
          <cell r="O1254">
            <v>0</v>
          </cell>
          <cell r="P1254">
            <v>0</v>
          </cell>
        </row>
        <row r="1255">
          <cell r="M1255">
            <v>1859</v>
          </cell>
          <cell r="N1255">
            <v>155.85483678896551</v>
          </cell>
          <cell r="O1255">
            <v>0</v>
          </cell>
          <cell r="P1255">
            <v>0</v>
          </cell>
        </row>
        <row r="1256">
          <cell r="M1256">
            <v>1860</v>
          </cell>
          <cell r="N1256">
            <v>69.858845897931033</v>
          </cell>
          <cell r="O1256">
            <v>0</v>
          </cell>
          <cell r="P1256">
            <v>0</v>
          </cell>
        </row>
        <row r="1257">
          <cell r="M1257">
            <v>1861</v>
          </cell>
          <cell r="N1257">
            <v>88.438618886206882</v>
          </cell>
          <cell r="O1257">
            <v>0</v>
          </cell>
          <cell r="P1257">
            <v>0</v>
          </cell>
        </row>
        <row r="1258">
          <cell r="M1258">
            <v>1862</v>
          </cell>
          <cell r="N1258">
            <v>76.573150448275868</v>
          </cell>
          <cell r="O1258">
            <v>0</v>
          </cell>
          <cell r="P1258">
            <v>0</v>
          </cell>
        </row>
        <row r="1259">
          <cell r="M1259">
            <v>1863</v>
          </cell>
          <cell r="N1259">
            <v>96.997488115517228</v>
          </cell>
          <cell r="O1259">
            <v>0</v>
          </cell>
          <cell r="P1259">
            <v>0</v>
          </cell>
        </row>
        <row r="1260">
          <cell r="M1260">
            <v>1866</v>
          </cell>
          <cell r="N1260">
            <v>28.347321734482762</v>
          </cell>
          <cell r="O1260">
            <v>0</v>
          </cell>
          <cell r="P1260">
            <v>0</v>
          </cell>
        </row>
        <row r="1261">
          <cell r="M1261">
            <v>1868</v>
          </cell>
          <cell r="N1261">
            <v>36.714498907241378</v>
          </cell>
          <cell r="O1261">
            <v>0</v>
          </cell>
          <cell r="P1261">
            <v>0</v>
          </cell>
        </row>
        <row r="1262">
          <cell r="M1262">
            <v>1869</v>
          </cell>
          <cell r="N1262">
            <v>41.047039510344831</v>
          </cell>
          <cell r="O1262">
            <v>0</v>
          </cell>
          <cell r="P1262">
            <v>0</v>
          </cell>
        </row>
        <row r="1263">
          <cell r="M1263">
            <v>1870</v>
          </cell>
          <cell r="N1263">
            <v>46.153653821034474</v>
          </cell>
          <cell r="O1263">
            <v>0</v>
          </cell>
          <cell r="P1263">
            <v>0</v>
          </cell>
        </row>
        <row r="1264">
          <cell r="M1264">
            <v>1871</v>
          </cell>
          <cell r="N1264">
            <v>61.284279060344815</v>
          </cell>
          <cell r="O1264">
            <v>0</v>
          </cell>
          <cell r="P1264">
            <v>0</v>
          </cell>
        </row>
        <row r="1265">
          <cell r="M1265">
            <v>1872</v>
          </cell>
          <cell r="N1265">
            <v>75.992759173448249</v>
          </cell>
          <cell r="O1265">
            <v>0</v>
          </cell>
          <cell r="P1265">
            <v>0</v>
          </cell>
        </row>
        <row r="1266">
          <cell r="M1266">
            <v>1873</v>
          </cell>
          <cell r="N1266">
            <v>61.978377605862065</v>
          </cell>
          <cell r="O1266">
            <v>0</v>
          </cell>
          <cell r="P1266">
            <v>0</v>
          </cell>
        </row>
        <row r="1267">
          <cell r="M1267">
            <v>1876</v>
          </cell>
          <cell r="N1267">
            <v>63.116436331034485</v>
          </cell>
          <cell r="O1267">
            <v>0</v>
          </cell>
          <cell r="P1267">
            <v>0</v>
          </cell>
        </row>
        <row r="1268">
          <cell r="M1268">
            <v>1877</v>
          </cell>
          <cell r="N1268">
            <v>76.413663764137922</v>
          </cell>
          <cell r="O1268">
            <v>0</v>
          </cell>
          <cell r="P1268">
            <v>0</v>
          </cell>
        </row>
        <row r="1269">
          <cell r="M1269">
            <v>1878</v>
          </cell>
          <cell r="N1269">
            <v>428.51323958068963</v>
          </cell>
          <cell r="O1269">
            <v>0</v>
          </cell>
          <cell r="P1269">
            <v>0</v>
          </cell>
        </row>
        <row r="1270">
          <cell r="M1270">
            <v>1882</v>
          </cell>
          <cell r="N1270">
            <v>31.299060597931017</v>
          </cell>
          <cell r="O1270">
            <v>0</v>
          </cell>
          <cell r="P1270">
            <v>0</v>
          </cell>
        </row>
        <row r="1271">
          <cell r="M1271">
            <v>1883</v>
          </cell>
          <cell r="N1271">
            <v>51.647311235862063</v>
          </cell>
          <cell r="O1271">
            <v>0</v>
          </cell>
          <cell r="P1271">
            <v>0</v>
          </cell>
        </row>
        <row r="1272">
          <cell r="M1272">
            <v>1886</v>
          </cell>
          <cell r="N1272">
            <v>75.248552177241379</v>
          </cell>
          <cell r="O1272">
            <v>0</v>
          </cell>
          <cell r="P1272">
            <v>0</v>
          </cell>
        </row>
        <row r="1273">
          <cell r="M1273">
            <v>1887</v>
          </cell>
          <cell r="N1273">
            <v>49.081612548620704</v>
          </cell>
          <cell r="O1273">
            <v>0</v>
          </cell>
          <cell r="P1273">
            <v>0</v>
          </cell>
        </row>
        <row r="1274">
          <cell r="M1274">
            <v>1888</v>
          </cell>
          <cell r="N1274">
            <v>196.15042931551727</v>
          </cell>
          <cell r="O1274">
            <v>0</v>
          </cell>
          <cell r="P1274">
            <v>0</v>
          </cell>
        </row>
        <row r="1275">
          <cell r="M1275">
            <v>1889</v>
          </cell>
          <cell r="N1275">
            <v>44.662744579999995</v>
          </cell>
          <cell r="O1275">
            <v>0</v>
          </cell>
          <cell r="P1275">
            <v>0</v>
          </cell>
        </row>
        <row r="1276">
          <cell r="M1276">
            <v>1890</v>
          </cell>
          <cell r="N1276">
            <v>33.47096711551724</v>
          </cell>
          <cell r="O1276">
            <v>0</v>
          </cell>
          <cell r="P1276">
            <v>0</v>
          </cell>
        </row>
        <row r="1277">
          <cell r="M1277">
            <v>1893</v>
          </cell>
          <cell r="N1277">
            <v>103.95182138206899</v>
          </cell>
          <cell r="O1277">
            <v>0</v>
          </cell>
          <cell r="P1277">
            <v>0</v>
          </cell>
        </row>
        <row r="1278">
          <cell r="M1278">
            <v>1895</v>
          </cell>
          <cell r="N1278">
            <v>36.804495256896551</v>
          </cell>
          <cell r="O1278">
            <v>0</v>
          </cell>
          <cell r="P1278">
            <v>0</v>
          </cell>
        </row>
        <row r="1279">
          <cell r="M1279">
            <v>1896</v>
          </cell>
          <cell r="N1279">
            <v>71.359898471034484</v>
          </cell>
          <cell r="O1279">
            <v>0</v>
          </cell>
          <cell r="P1279">
            <v>0</v>
          </cell>
        </row>
        <row r="1280">
          <cell r="M1280">
            <v>1898</v>
          </cell>
          <cell r="N1280">
            <v>91.193035451379316</v>
          </cell>
          <cell r="O1280">
            <v>0</v>
          </cell>
          <cell r="P1280">
            <v>0</v>
          </cell>
        </row>
        <row r="1281">
          <cell r="M1281">
            <v>1899</v>
          </cell>
          <cell r="N1281">
            <v>87.458625778620686</v>
          </cell>
          <cell r="O1281">
            <v>0</v>
          </cell>
          <cell r="P1281">
            <v>0</v>
          </cell>
        </row>
        <row r="1282">
          <cell r="M1282">
            <v>1901</v>
          </cell>
          <cell r="N1282">
            <v>144.37178613172418</v>
          </cell>
          <cell r="O1282">
            <v>0</v>
          </cell>
          <cell r="P1282">
            <v>0</v>
          </cell>
        </row>
        <row r="1283">
          <cell r="M1283">
            <v>1902</v>
          </cell>
          <cell r="N1283">
            <v>117.27275710758623</v>
          </cell>
          <cell r="O1283">
            <v>0</v>
          </cell>
          <cell r="P1283">
            <v>0</v>
          </cell>
        </row>
        <row r="1284">
          <cell r="M1284">
            <v>1903</v>
          </cell>
          <cell r="N1284">
            <v>151.06416842517237</v>
          </cell>
          <cell r="O1284">
            <v>0</v>
          </cell>
          <cell r="P1284">
            <v>0</v>
          </cell>
        </row>
        <row r="1285">
          <cell r="M1285">
            <v>1905</v>
          </cell>
          <cell r="N1285">
            <v>282.97937867241376</v>
          </cell>
          <cell r="O1285">
            <v>0</v>
          </cell>
          <cell r="P1285">
            <v>0</v>
          </cell>
        </row>
        <row r="1286">
          <cell r="M1286">
            <v>1909</v>
          </cell>
          <cell r="N1286">
            <v>97.101199485862082</v>
          </cell>
          <cell r="O1286">
            <v>0</v>
          </cell>
          <cell r="P1286">
            <v>0</v>
          </cell>
        </row>
        <row r="1287">
          <cell r="M1287">
            <v>1910</v>
          </cell>
          <cell r="N1287">
            <v>996.30420615448281</v>
          </cell>
          <cell r="O1287">
            <v>0</v>
          </cell>
          <cell r="P1287">
            <v>0</v>
          </cell>
        </row>
        <row r="1288">
          <cell r="M1288">
            <v>1912</v>
          </cell>
          <cell r="N1288">
            <v>61.438811202758622</v>
          </cell>
          <cell r="O1288">
            <v>0</v>
          </cell>
          <cell r="P1288">
            <v>0</v>
          </cell>
        </row>
        <row r="1289">
          <cell r="M1289">
            <v>1914</v>
          </cell>
          <cell r="N1289">
            <v>29.76164187172413</v>
          </cell>
          <cell r="O1289">
            <v>0</v>
          </cell>
          <cell r="P1289">
            <v>0</v>
          </cell>
        </row>
        <row r="1290">
          <cell r="M1290">
            <v>1915</v>
          </cell>
          <cell r="N1290">
            <v>223.87650632689662</v>
          </cell>
          <cell r="O1290">
            <v>0</v>
          </cell>
          <cell r="P1290">
            <v>0</v>
          </cell>
        </row>
        <row r="1291">
          <cell r="M1291">
            <v>1916</v>
          </cell>
          <cell r="N1291">
            <v>149.50891392551728</v>
          </cell>
          <cell r="O1291">
            <v>0</v>
          </cell>
          <cell r="P1291">
            <v>0</v>
          </cell>
        </row>
        <row r="1292">
          <cell r="M1292">
            <v>1918</v>
          </cell>
          <cell r="N1292">
            <v>113.28296161344829</v>
          </cell>
          <cell r="O1292">
            <v>0</v>
          </cell>
          <cell r="P1292">
            <v>0</v>
          </cell>
        </row>
        <row r="1293">
          <cell r="M1293">
            <v>1919</v>
          </cell>
          <cell r="N1293">
            <v>56.699625544827605</v>
          </cell>
          <cell r="O1293">
            <v>0</v>
          </cell>
          <cell r="P1293">
            <v>0</v>
          </cell>
        </row>
        <row r="1294">
          <cell r="M1294">
            <v>1920</v>
          </cell>
          <cell r="N1294">
            <v>43.904569661379313</v>
          </cell>
          <cell r="O1294">
            <v>0</v>
          </cell>
          <cell r="P1294">
            <v>0</v>
          </cell>
        </row>
        <row r="1295">
          <cell r="M1295">
            <v>1922</v>
          </cell>
          <cell r="N1295">
            <v>22.094279743448276</v>
          </cell>
          <cell r="O1295">
            <v>0</v>
          </cell>
          <cell r="P1295">
            <v>0</v>
          </cell>
        </row>
        <row r="1296">
          <cell r="M1296">
            <v>1924</v>
          </cell>
          <cell r="N1296">
            <v>68.787977464482736</v>
          </cell>
          <cell r="O1296">
            <v>0</v>
          </cell>
          <cell r="P1296">
            <v>0</v>
          </cell>
        </row>
        <row r="1297">
          <cell r="M1297">
            <v>1925</v>
          </cell>
          <cell r="N1297">
            <v>42.724261415517233</v>
          </cell>
          <cell r="O1297">
            <v>0</v>
          </cell>
          <cell r="P1297">
            <v>0</v>
          </cell>
        </row>
        <row r="1298">
          <cell r="M1298">
            <v>1931</v>
          </cell>
          <cell r="N1298">
            <v>80.347927326551726</v>
          </cell>
          <cell r="O1298">
            <v>0</v>
          </cell>
          <cell r="P1298">
            <v>0</v>
          </cell>
        </row>
        <row r="1299">
          <cell r="M1299">
            <v>1932</v>
          </cell>
          <cell r="N1299">
            <v>103.90606812137931</v>
          </cell>
          <cell r="O1299">
            <v>0</v>
          </cell>
          <cell r="P1299">
            <v>0</v>
          </cell>
        </row>
        <row r="1300">
          <cell r="M1300">
            <v>1933</v>
          </cell>
          <cell r="N1300">
            <v>54.403520111034503</v>
          </cell>
          <cell r="O1300">
            <v>0</v>
          </cell>
          <cell r="P1300">
            <v>0</v>
          </cell>
        </row>
        <row r="1301">
          <cell r="M1301">
            <v>1934</v>
          </cell>
          <cell r="N1301">
            <v>99.822142023448279</v>
          </cell>
          <cell r="O1301">
            <v>0</v>
          </cell>
          <cell r="P1301">
            <v>0</v>
          </cell>
        </row>
        <row r="1302">
          <cell r="M1302">
            <v>1935</v>
          </cell>
          <cell r="N1302">
            <v>17.51397044310345</v>
          </cell>
          <cell r="O1302">
            <v>0</v>
          </cell>
          <cell r="P1302">
            <v>0</v>
          </cell>
        </row>
        <row r="1303">
          <cell r="M1303">
            <v>1936</v>
          </cell>
          <cell r="N1303">
            <v>64.100231763793118</v>
          </cell>
          <cell r="O1303">
            <v>0</v>
          </cell>
          <cell r="P1303">
            <v>0</v>
          </cell>
        </row>
        <row r="1304">
          <cell r="M1304">
            <v>1940</v>
          </cell>
          <cell r="N1304">
            <v>26.146444914827587</v>
          </cell>
          <cell r="O1304">
            <v>0</v>
          </cell>
          <cell r="P1304">
            <v>0</v>
          </cell>
        </row>
        <row r="1305">
          <cell r="M1305">
            <v>1942</v>
          </cell>
          <cell r="N1305">
            <v>440.41728812344826</v>
          </cell>
          <cell r="O1305">
            <v>0</v>
          </cell>
          <cell r="P1305">
            <v>0</v>
          </cell>
        </row>
        <row r="1306">
          <cell r="M1306">
            <v>1943</v>
          </cell>
          <cell r="N1306">
            <v>147.9307083958621</v>
          </cell>
          <cell r="O1306">
            <v>0</v>
          </cell>
          <cell r="P1306">
            <v>0</v>
          </cell>
        </row>
        <row r="1307">
          <cell r="M1307">
            <v>1944</v>
          </cell>
          <cell r="N1307">
            <v>47.43528136724138</v>
          </cell>
          <cell r="O1307">
            <v>0</v>
          </cell>
          <cell r="P1307">
            <v>0</v>
          </cell>
        </row>
        <row r="1308">
          <cell r="M1308">
            <v>1946</v>
          </cell>
          <cell r="N1308">
            <v>85.72229093517241</v>
          </cell>
          <cell r="O1308">
            <v>0</v>
          </cell>
          <cell r="P1308">
            <v>0</v>
          </cell>
        </row>
        <row r="1309">
          <cell r="M1309">
            <v>1949</v>
          </cell>
          <cell r="N1309">
            <v>78.407421122068982</v>
          </cell>
          <cell r="O1309">
            <v>0</v>
          </cell>
          <cell r="P1309">
            <v>0</v>
          </cell>
        </row>
        <row r="1310">
          <cell r="M1310">
            <v>1951</v>
          </cell>
          <cell r="N1310">
            <v>81.383351079310359</v>
          </cell>
          <cell r="O1310">
            <v>0</v>
          </cell>
          <cell r="P1310">
            <v>0</v>
          </cell>
        </row>
        <row r="1311">
          <cell r="M1311">
            <v>1953</v>
          </cell>
          <cell r="N1311">
            <v>93.873316768275899</v>
          </cell>
          <cell r="O1311">
            <v>0</v>
          </cell>
          <cell r="P1311">
            <v>0</v>
          </cell>
        </row>
        <row r="1312">
          <cell r="M1312">
            <v>1954</v>
          </cell>
          <cell r="N1312">
            <v>62.291953438275861</v>
          </cell>
          <cell r="O1312">
            <v>0</v>
          </cell>
          <cell r="P1312">
            <v>0</v>
          </cell>
        </row>
        <row r="1313">
          <cell r="M1313">
            <v>1955</v>
          </cell>
          <cell r="N1313">
            <v>72.685054569655179</v>
          </cell>
          <cell r="O1313">
            <v>0</v>
          </cell>
          <cell r="P1313">
            <v>0</v>
          </cell>
        </row>
        <row r="1314">
          <cell r="M1314">
            <v>1957</v>
          </cell>
          <cell r="N1314">
            <v>115.68884579965518</v>
          </cell>
          <cell r="O1314">
            <v>0</v>
          </cell>
          <cell r="P1314">
            <v>0</v>
          </cell>
        </row>
        <row r="1315">
          <cell r="M1315">
            <v>1958</v>
          </cell>
          <cell r="N1315">
            <v>108.76210225999999</v>
          </cell>
          <cell r="O1315">
            <v>0</v>
          </cell>
          <cell r="P1315">
            <v>0</v>
          </cell>
        </row>
        <row r="1316">
          <cell r="M1316">
            <v>1959</v>
          </cell>
          <cell r="N1316">
            <v>82.368509497586189</v>
          </cell>
          <cell r="O1316">
            <v>0</v>
          </cell>
          <cell r="P1316">
            <v>0</v>
          </cell>
        </row>
        <row r="1317">
          <cell r="M1317">
            <v>1960</v>
          </cell>
          <cell r="N1317">
            <v>105.72447771758621</v>
          </cell>
          <cell r="O1317">
            <v>0</v>
          </cell>
          <cell r="P1317">
            <v>0</v>
          </cell>
        </row>
        <row r="1318">
          <cell r="M1318">
            <v>1962</v>
          </cell>
          <cell r="N1318">
            <v>28.405210608275858</v>
          </cell>
          <cell r="O1318">
            <v>0</v>
          </cell>
          <cell r="P1318">
            <v>0</v>
          </cell>
        </row>
        <row r="1319">
          <cell r="M1319">
            <v>1963</v>
          </cell>
          <cell r="N1319">
            <v>77.322482285862066</v>
          </cell>
          <cell r="O1319">
            <v>0</v>
          </cell>
          <cell r="P1319">
            <v>0</v>
          </cell>
        </row>
        <row r="1320">
          <cell r="M1320">
            <v>1968</v>
          </cell>
          <cell r="N1320">
            <v>128.9418868413793</v>
          </cell>
          <cell r="O1320">
            <v>0</v>
          </cell>
          <cell r="P1320">
            <v>0</v>
          </cell>
        </row>
        <row r="1321">
          <cell r="M1321">
            <v>1970</v>
          </cell>
          <cell r="N1321">
            <v>393.53835610344828</v>
          </cell>
          <cell r="O1321">
            <v>0</v>
          </cell>
          <cell r="P1321">
            <v>0</v>
          </cell>
        </row>
        <row r="1322">
          <cell r="M1322">
            <v>1971</v>
          </cell>
          <cell r="N1322">
            <v>32.126259693103457</v>
          </cell>
          <cell r="O1322">
            <v>0</v>
          </cell>
          <cell r="P1322">
            <v>0</v>
          </cell>
        </row>
        <row r="1323">
          <cell r="M1323">
            <v>1972</v>
          </cell>
          <cell r="N1323">
            <v>91.584531484827579</v>
          </cell>
          <cell r="O1323">
            <v>0</v>
          </cell>
          <cell r="P1323">
            <v>0</v>
          </cell>
        </row>
        <row r="1324">
          <cell r="M1324">
            <v>1973</v>
          </cell>
          <cell r="N1324">
            <v>130.12014006827587</v>
          </cell>
          <cell r="O1324">
            <v>0</v>
          </cell>
          <cell r="P1324">
            <v>0</v>
          </cell>
        </row>
        <row r="1325">
          <cell r="M1325">
            <v>1974</v>
          </cell>
          <cell r="N1325">
            <v>11.888575044827581</v>
          </cell>
          <cell r="O1325">
            <v>0</v>
          </cell>
          <cell r="P1325">
            <v>0</v>
          </cell>
        </row>
        <row r="1326">
          <cell r="M1326">
            <v>1975</v>
          </cell>
          <cell r="N1326">
            <v>23.534820287241381</v>
          </cell>
          <cell r="O1326">
            <v>0</v>
          </cell>
          <cell r="P1326">
            <v>0</v>
          </cell>
        </row>
        <row r="1327">
          <cell r="M1327">
            <v>1977</v>
          </cell>
          <cell r="N1327">
            <v>21.966191556551728</v>
          </cell>
          <cell r="O1327">
            <v>0</v>
          </cell>
          <cell r="P1327">
            <v>0</v>
          </cell>
        </row>
        <row r="1328">
          <cell r="M1328">
            <v>1979</v>
          </cell>
          <cell r="N1328">
            <v>276.55230132517244</v>
          </cell>
          <cell r="O1328">
            <v>0</v>
          </cell>
          <cell r="P1328">
            <v>0</v>
          </cell>
        </row>
        <row r="1329">
          <cell r="M1329">
            <v>1982</v>
          </cell>
          <cell r="N1329">
            <v>155.72688304482762</v>
          </cell>
          <cell r="O1329">
            <v>0</v>
          </cell>
          <cell r="P1329">
            <v>0</v>
          </cell>
        </row>
        <row r="1330">
          <cell r="M1330">
            <v>1989</v>
          </cell>
          <cell r="N1330">
            <v>243.144281153793</v>
          </cell>
          <cell r="O1330">
            <v>0</v>
          </cell>
          <cell r="P1330">
            <v>0</v>
          </cell>
        </row>
        <row r="1331">
          <cell r="M1331">
            <v>1990</v>
          </cell>
          <cell r="N1331">
            <v>198.22640175862071</v>
          </cell>
          <cell r="O1331">
            <v>0</v>
          </cell>
          <cell r="P1331">
            <v>0</v>
          </cell>
        </row>
        <row r="1332">
          <cell r="M1332">
            <v>1991</v>
          </cell>
          <cell r="N1332">
            <v>76.209878455172401</v>
          </cell>
          <cell r="O1332">
            <v>0</v>
          </cell>
          <cell r="P1332">
            <v>0</v>
          </cell>
        </row>
        <row r="1333">
          <cell r="M1333">
            <v>1993</v>
          </cell>
          <cell r="N1333">
            <v>805.51281151827584</v>
          </cell>
          <cell r="O1333">
            <v>0</v>
          </cell>
          <cell r="P1333">
            <v>0</v>
          </cell>
        </row>
        <row r="1334">
          <cell r="M1334">
            <v>1998</v>
          </cell>
          <cell r="N1334">
            <v>47.075491318620692</v>
          </cell>
          <cell r="O1334">
            <v>0</v>
          </cell>
          <cell r="P1334">
            <v>0</v>
          </cell>
        </row>
        <row r="1335">
          <cell r="M1335">
            <v>2207</v>
          </cell>
          <cell r="N1335">
            <v>24.863584952758622</v>
          </cell>
          <cell r="O1335">
            <v>0</v>
          </cell>
          <cell r="P1335">
            <v>0</v>
          </cell>
        </row>
        <row r="1336">
          <cell r="M1336">
            <v>2209</v>
          </cell>
          <cell r="N1336">
            <v>137.42014162655173</v>
          </cell>
          <cell r="O1336">
            <v>0</v>
          </cell>
          <cell r="P1336">
            <v>0</v>
          </cell>
        </row>
        <row r="1337">
          <cell r="M1337">
            <v>2210</v>
          </cell>
          <cell r="N1337">
            <v>160.28078425344825</v>
          </cell>
          <cell r="O1337">
            <v>0</v>
          </cell>
          <cell r="P1337">
            <v>0</v>
          </cell>
        </row>
        <row r="1338">
          <cell r="M1338">
            <v>2211</v>
          </cell>
          <cell r="N1338">
            <v>431.33640263620686</v>
          </cell>
          <cell r="O1338">
            <v>0</v>
          </cell>
          <cell r="P1338">
            <v>0</v>
          </cell>
        </row>
        <row r="1339">
          <cell r="M1339">
            <v>2214</v>
          </cell>
          <cell r="N1339">
            <v>235.7168698734483</v>
          </cell>
          <cell r="O1339">
            <v>0</v>
          </cell>
          <cell r="P1339">
            <v>0</v>
          </cell>
        </row>
        <row r="1340">
          <cell r="M1340">
            <v>2216</v>
          </cell>
          <cell r="N1340">
            <v>655.698949202069</v>
          </cell>
          <cell r="O1340">
            <v>0</v>
          </cell>
          <cell r="P1340">
            <v>0</v>
          </cell>
        </row>
        <row r="1341">
          <cell r="M1341">
            <v>2220</v>
          </cell>
          <cell r="N1341">
            <v>358.02177416275862</v>
          </cell>
          <cell r="O1341">
            <v>0</v>
          </cell>
          <cell r="P1341">
            <v>0</v>
          </cell>
        </row>
        <row r="1342">
          <cell r="M1342">
            <v>2222</v>
          </cell>
          <cell r="N1342">
            <v>101.55886707172415</v>
          </cell>
          <cell r="O1342">
            <v>0</v>
          </cell>
          <cell r="P1342">
            <v>0</v>
          </cell>
        </row>
        <row r="1343">
          <cell r="M1343">
            <v>2225</v>
          </cell>
          <cell r="N1343">
            <v>458.43940113620675</v>
          </cell>
          <cell r="O1343">
            <v>0</v>
          </cell>
          <cell r="P1343">
            <v>0</v>
          </cell>
        </row>
        <row r="1344">
          <cell r="M1344">
            <v>2233</v>
          </cell>
          <cell r="N1344">
            <v>115.33653109275865</v>
          </cell>
          <cell r="O1344">
            <v>0</v>
          </cell>
          <cell r="P1344">
            <v>0</v>
          </cell>
        </row>
        <row r="1345">
          <cell r="M1345">
            <v>2236</v>
          </cell>
          <cell r="N1345">
            <v>68.811041012068969</v>
          </cell>
          <cell r="O1345">
            <v>0</v>
          </cell>
          <cell r="P1345">
            <v>0</v>
          </cell>
        </row>
        <row r="1346">
          <cell r="M1346">
            <v>2241</v>
          </cell>
          <cell r="N1346">
            <v>247.94729243551717</v>
          </cell>
          <cell r="O1346">
            <v>0</v>
          </cell>
          <cell r="P1346">
            <v>0</v>
          </cell>
        </row>
        <row r="1347">
          <cell r="M1347">
            <v>2242</v>
          </cell>
          <cell r="N1347">
            <v>333.08926523103446</v>
          </cell>
          <cell r="O1347">
            <v>0</v>
          </cell>
          <cell r="P1347">
            <v>0</v>
          </cell>
        </row>
        <row r="1348">
          <cell r="M1348">
            <v>2243</v>
          </cell>
          <cell r="N1348">
            <v>77.449997180689664</v>
          </cell>
          <cell r="O1348">
            <v>0</v>
          </cell>
          <cell r="P1348">
            <v>0</v>
          </cell>
        </row>
        <row r="1349">
          <cell r="M1349">
            <v>2244</v>
          </cell>
          <cell r="N1349">
            <v>508.39972396999997</v>
          </cell>
          <cell r="O1349">
            <v>0</v>
          </cell>
          <cell r="P1349">
            <v>0</v>
          </cell>
        </row>
        <row r="1350">
          <cell r="M1350">
            <v>2245</v>
          </cell>
          <cell r="N1350">
            <v>95.602377321034481</v>
          </cell>
          <cell r="O1350">
            <v>0</v>
          </cell>
          <cell r="P1350">
            <v>0</v>
          </cell>
        </row>
        <row r="1351">
          <cell r="M1351">
            <v>2246</v>
          </cell>
          <cell r="N1351">
            <v>233.7839098</v>
          </cell>
          <cell r="O1351">
            <v>0</v>
          </cell>
          <cell r="P1351">
            <v>0</v>
          </cell>
        </row>
        <row r="1352">
          <cell r="M1352">
            <v>2247</v>
          </cell>
          <cell r="N1352">
            <v>435.5505820348277</v>
          </cell>
          <cell r="O1352">
            <v>0</v>
          </cell>
          <cell r="P1352">
            <v>0</v>
          </cell>
        </row>
        <row r="1353">
          <cell r="M1353">
            <v>2248</v>
          </cell>
          <cell r="N1353">
            <v>33.574058899310344</v>
          </cell>
          <cell r="O1353">
            <v>0</v>
          </cell>
          <cell r="P1353">
            <v>0</v>
          </cell>
        </row>
        <row r="1354">
          <cell r="M1354">
            <v>2249</v>
          </cell>
          <cell r="N1354">
            <v>1075.4146565265519</v>
          </cell>
          <cell r="O1354">
            <v>0</v>
          </cell>
          <cell r="P1354">
            <v>0</v>
          </cell>
        </row>
        <row r="1355">
          <cell r="M1355">
            <v>2250</v>
          </cell>
          <cell r="N1355">
            <v>492.35689523172414</v>
          </cell>
          <cell r="O1355">
            <v>0</v>
          </cell>
          <cell r="P1355">
            <v>0</v>
          </cell>
        </row>
        <row r="1356">
          <cell r="M1356">
            <v>2251</v>
          </cell>
          <cell r="N1356">
            <v>156.55688413655173</v>
          </cell>
          <cell r="O1356">
            <v>0</v>
          </cell>
          <cell r="P1356">
            <v>0</v>
          </cell>
        </row>
        <row r="1357">
          <cell r="M1357">
            <v>2253</v>
          </cell>
          <cell r="N1357">
            <v>651.47405427103445</v>
          </cell>
          <cell r="O1357">
            <v>0</v>
          </cell>
          <cell r="P1357">
            <v>0</v>
          </cell>
        </row>
        <row r="1358">
          <cell r="M1358">
            <v>2254</v>
          </cell>
          <cell r="N1358">
            <v>513.06941714931031</v>
          </cell>
          <cell r="O1358">
            <v>0</v>
          </cell>
          <cell r="P1358">
            <v>0</v>
          </cell>
        </row>
        <row r="1359">
          <cell r="M1359">
            <v>2255</v>
          </cell>
          <cell r="N1359">
            <v>421.16393081034499</v>
          </cell>
          <cell r="O1359">
            <v>0</v>
          </cell>
          <cell r="P1359">
            <v>0</v>
          </cell>
        </row>
        <row r="1360">
          <cell r="M1360">
            <v>2256</v>
          </cell>
          <cell r="N1360">
            <v>269.53348633034489</v>
          </cell>
          <cell r="O1360">
            <v>0</v>
          </cell>
          <cell r="P1360">
            <v>0</v>
          </cell>
        </row>
        <row r="1361">
          <cell r="M1361">
            <v>2257</v>
          </cell>
          <cell r="N1361">
            <v>72.436301557931017</v>
          </cell>
          <cell r="O1361">
            <v>0</v>
          </cell>
          <cell r="P1361">
            <v>0</v>
          </cell>
        </row>
        <row r="1362">
          <cell r="M1362">
            <v>2258</v>
          </cell>
          <cell r="N1362">
            <v>120.49626328724143</v>
          </cell>
          <cell r="O1362">
            <v>0</v>
          </cell>
          <cell r="P1362">
            <v>0</v>
          </cell>
        </row>
        <row r="1363">
          <cell r="M1363">
            <v>2259</v>
          </cell>
          <cell r="N1363">
            <v>191.86167279206893</v>
          </cell>
          <cell r="O1363">
            <v>0</v>
          </cell>
          <cell r="P1363">
            <v>0</v>
          </cell>
        </row>
        <row r="1364">
          <cell r="M1364">
            <v>2260</v>
          </cell>
          <cell r="N1364">
            <v>86.185850725862053</v>
          </cell>
          <cell r="O1364">
            <v>0</v>
          </cell>
          <cell r="P1364">
            <v>0</v>
          </cell>
        </row>
        <row r="1365">
          <cell r="M1365">
            <v>2262</v>
          </cell>
          <cell r="N1365">
            <v>142.17715888068963</v>
          </cell>
          <cell r="O1365">
            <v>0</v>
          </cell>
          <cell r="P1365">
            <v>0</v>
          </cell>
        </row>
        <row r="1366">
          <cell r="M1366">
            <v>2263</v>
          </cell>
          <cell r="N1366">
            <v>144.84332954620689</v>
          </cell>
          <cell r="O1366">
            <v>0</v>
          </cell>
          <cell r="P1366">
            <v>0</v>
          </cell>
        </row>
        <row r="1367">
          <cell r="M1367">
            <v>2264</v>
          </cell>
          <cell r="N1367">
            <v>808.06499739103435</v>
          </cell>
          <cell r="O1367">
            <v>0</v>
          </cell>
          <cell r="P1367">
            <v>0</v>
          </cell>
        </row>
        <row r="1368">
          <cell r="M1368">
            <v>2265</v>
          </cell>
          <cell r="N1368">
            <v>580.05922298551718</v>
          </cell>
          <cell r="O1368">
            <v>0</v>
          </cell>
          <cell r="P1368">
            <v>0</v>
          </cell>
        </row>
        <row r="1369">
          <cell r="M1369">
            <v>2266</v>
          </cell>
          <cell r="N1369">
            <v>65.794496028620713</v>
          </cell>
          <cell r="O1369">
            <v>0</v>
          </cell>
          <cell r="P1369">
            <v>0</v>
          </cell>
        </row>
        <row r="1370">
          <cell r="M1370">
            <v>2268</v>
          </cell>
          <cell r="N1370">
            <v>230.05703107137933</v>
          </cell>
          <cell r="O1370">
            <v>0</v>
          </cell>
          <cell r="P1370">
            <v>0</v>
          </cell>
        </row>
        <row r="1371">
          <cell r="M1371">
            <v>2269</v>
          </cell>
          <cell r="N1371">
            <v>604.3459161527586</v>
          </cell>
          <cell r="O1371">
            <v>0</v>
          </cell>
          <cell r="P1371">
            <v>0</v>
          </cell>
        </row>
        <row r="1372">
          <cell r="M1372">
            <v>2270</v>
          </cell>
          <cell r="N1372">
            <v>400.44456022862056</v>
          </cell>
          <cell r="O1372">
            <v>0</v>
          </cell>
          <cell r="P1372">
            <v>0</v>
          </cell>
        </row>
        <row r="1373">
          <cell r="M1373">
            <v>2271</v>
          </cell>
          <cell r="N1373">
            <v>186.36388535620691</v>
          </cell>
          <cell r="O1373">
            <v>0</v>
          </cell>
          <cell r="P1373">
            <v>0</v>
          </cell>
        </row>
        <row r="1374">
          <cell r="M1374">
            <v>2272</v>
          </cell>
          <cell r="N1374">
            <v>319.40820406103444</v>
          </cell>
          <cell r="O1374">
            <v>0</v>
          </cell>
          <cell r="P1374">
            <v>0</v>
          </cell>
        </row>
        <row r="1375">
          <cell r="M1375">
            <v>2274</v>
          </cell>
          <cell r="N1375">
            <v>189.75730316999994</v>
          </cell>
          <cell r="O1375">
            <v>0</v>
          </cell>
          <cell r="P1375">
            <v>0</v>
          </cell>
        </row>
        <row r="1376">
          <cell r="M1376">
            <v>2275</v>
          </cell>
          <cell r="N1376">
            <v>46.420537209310339</v>
          </cell>
          <cell r="O1376">
            <v>0</v>
          </cell>
          <cell r="P1376">
            <v>0</v>
          </cell>
        </row>
        <row r="1377">
          <cell r="M1377">
            <v>2276</v>
          </cell>
          <cell r="N1377">
            <v>214.90604185689642</v>
          </cell>
          <cell r="O1377">
            <v>0</v>
          </cell>
          <cell r="P1377">
            <v>0</v>
          </cell>
        </row>
        <row r="1378">
          <cell r="M1378">
            <v>2277</v>
          </cell>
          <cell r="N1378">
            <v>133.28257062793099</v>
          </cell>
          <cell r="O1378">
            <v>0</v>
          </cell>
          <cell r="P1378">
            <v>0</v>
          </cell>
        </row>
        <row r="1379">
          <cell r="M1379">
            <v>2278</v>
          </cell>
          <cell r="N1379">
            <v>77.876092988965524</v>
          </cell>
          <cell r="O1379">
            <v>0</v>
          </cell>
          <cell r="P1379">
            <v>0</v>
          </cell>
        </row>
        <row r="1380">
          <cell r="M1380">
            <v>2279</v>
          </cell>
          <cell r="N1380">
            <v>334.4569642355172</v>
          </cell>
          <cell r="O1380">
            <v>0</v>
          </cell>
          <cell r="P1380">
            <v>0</v>
          </cell>
        </row>
        <row r="1381">
          <cell r="M1381">
            <v>2281</v>
          </cell>
          <cell r="N1381">
            <v>368.30432686620696</v>
          </cell>
          <cell r="O1381">
            <v>0</v>
          </cell>
          <cell r="P1381">
            <v>0</v>
          </cell>
        </row>
        <row r="1382">
          <cell r="M1382">
            <v>2282</v>
          </cell>
          <cell r="N1382">
            <v>234.08240114275858</v>
          </cell>
          <cell r="O1382">
            <v>0</v>
          </cell>
          <cell r="P1382">
            <v>0</v>
          </cell>
        </row>
        <row r="1383">
          <cell r="M1383">
            <v>2283</v>
          </cell>
          <cell r="N1383">
            <v>215.88722890965519</v>
          </cell>
          <cell r="O1383">
            <v>0</v>
          </cell>
          <cell r="P1383">
            <v>0</v>
          </cell>
        </row>
        <row r="1384">
          <cell r="M1384">
            <v>2284</v>
          </cell>
          <cell r="N1384">
            <v>171.85134272655176</v>
          </cell>
          <cell r="O1384">
            <v>0</v>
          </cell>
          <cell r="P1384">
            <v>0</v>
          </cell>
        </row>
        <row r="1385">
          <cell r="M1385">
            <v>2285</v>
          </cell>
          <cell r="N1385">
            <v>143.07461471655171</v>
          </cell>
          <cell r="O1385">
            <v>0</v>
          </cell>
          <cell r="P1385">
            <v>0</v>
          </cell>
        </row>
        <row r="1386">
          <cell r="M1386">
            <v>2287</v>
          </cell>
          <cell r="N1386">
            <v>651.14955652172421</v>
          </cell>
          <cell r="O1386">
            <v>0</v>
          </cell>
          <cell r="P1386">
            <v>0</v>
          </cell>
        </row>
        <row r="1387">
          <cell r="M1387">
            <v>2288</v>
          </cell>
          <cell r="N1387">
            <v>78.353924508275867</v>
          </cell>
          <cell r="O1387">
            <v>0</v>
          </cell>
          <cell r="P1387">
            <v>0</v>
          </cell>
        </row>
        <row r="1388">
          <cell r="M1388">
            <v>2289</v>
          </cell>
          <cell r="N1388">
            <v>349.08627324517244</v>
          </cell>
          <cell r="O1388">
            <v>0</v>
          </cell>
          <cell r="P1388">
            <v>0</v>
          </cell>
        </row>
        <row r="1389">
          <cell r="M1389">
            <v>2290</v>
          </cell>
          <cell r="N1389">
            <v>300.79891887689661</v>
          </cell>
          <cell r="O1389">
            <v>0</v>
          </cell>
          <cell r="P1389">
            <v>0</v>
          </cell>
        </row>
        <row r="1390">
          <cell r="M1390">
            <v>2291</v>
          </cell>
          <cell r="N1390">
            <v>95.318667030689639</v>
          </cell>
          <cell r="O1390">
            <v>0</v>
          </cell>
          <cell r="P1390">
            <v>0</v>
          </cell>
        </row>
        <row r="1391">
          <cell r="M1391">
            <v>2292</v>
          </cell>
          <cell r="N1391">
            <v>1048.9379178462073</v>
          </cell>
          <cell r="O1391">
            <v>0</v>
          </cell>
          <cell r="P1391">
            <v>0</v>
          </cell>
        </row>
        <row r="1392">
          <cell r="M1392">
            <v>2294</v>
          </cell>
          <cell r="N1392">
            <v>336.22606771793107</v>
          </cell>
          <cell r="O1392">
            <v>0</v>
          </cell>
          <cell r="P1392">
            <v>0</v>
          </cell>
        </row>
        <row r="1393">
          <cell r="M1393">
            <v>2295</v>
          </cell>
          <cell r="N1393">
            <v>87.731814840344825</v>
          </cell>
          <cell r="O1393">
            <v>0</v>
          </cell>
          <cell r="P1393">
            <v>0</v>
          </cell>
        </row>
        <row r="1394">
          <cell r="M1394">
            <v>2296</v>
          </cell>
          <cell r="N1394">
            <v>103.02307605724135</v>
          </cell>
          <cell r="O1394">
            <v>0</v>
          </cell>
          <cell r="P1394">
            <v>0</v>
          </cell>
        </row>
        <row r="1395">
          <cell r="M1395">
            <v>2297</v>
          </cell>
          <cell r="N1395">
            <v>1191.5875183172416</v>
          </cell>
          <cell r="O1395">
            <v>0</v>
          </cell>
          <cell r="P1395">
            <v>0</v>
          </cell>
        </row>
        <row r="1396">
          <cell r="M1396">
            <v>2298</v>
          </cell>
          <cell r="N1396">
            <v>148.58340112620689</v>
          </cell>
          <cell r="O1396">
            <v>0</v>
          </cell>
          <cell r="P1396">
            <v>0</v>
          </cell>
        </row>
        <row r="1397">
          <cell r="M1397">
            <v>2299</v>
          </cell>
          <cell r="N1397">
            <v>375.41031727241375</v>
          </cell>
          <cell r="O1397">
            <v>0</v>
          </cell>
          <cell r="P1397">
            <v>0</v>
          </cell>
        </row>
        <row r="1398">
          <cell r="M1398">
            <v>2300</v>
          </cell>
          <cell r="N1398">
            <v>302.25366249275856</v>
          </cell>
          <cell r="O1398">
            <v>0</v>
          </cell>
          <cell r="P1398">
            <v>0</v>
          </cell>
        </row>
        <row r="1399">
          <cell r="M1399">
            <v>2302</v>
          </cell>
          <cell r="N1399">
            <v>214.29743148965522</v>
          </cell>
          <cell r="O1399">
            <v>0</v>
          </cell>
          <cell r="P1399">
            <v>0</v>
          </cell>
        </row>
        <row r="1400">
          <cell r="M1400">
            <v>2303</v>
          </cell>
          <cell r="N1400">
            <v>145.75105313689653</v>
          </cell>
          <cell r="O1400">
            <v>0</v>
          </cell>
          <cell r="P1400">
            <v>0</v>
          </cell>
        </row>
        <row r="1401">
          <cell r="M1401">
            <v>2304</v>
          </cell>
          <cell r="N1401">
            <v>350.48457487172408</v>
          </cell>
          <cell r="O1401">
            <v>0</v>
          </cell>
          <cell r="P1401">
            <v>0</v>
          </cell>
        </row>
        <row r="1402">
          <cell r="M1402">
            <v>2305</v>
          </cell>
          <cell r="N1402">
            <v>424.14644273448272</v>
          </cell>
          <cell r="O1402">
            <v>0</v>
          </cell>
          <cell r="P1402">
            <v>0</v>
          </cell>
        </row>
        <row r="1403">
          <cell r="M1403">
            <v>2306</v>
          </cell>
          <cell r="N1403">
            <v>380.69154798517241</v>
          </cell>
          <cell r="O1403">
            <v>0</v>
          </cell>
          <cell r="P1403">
            <v>0</v>
          </cell>
        </row>
        <row r="1404">
          <cell r="M1404">
            <v>2307</v>
          </cell>
          <cell r="N1404">
            <v>530.55726334482779</v>
          </cell>
          <cell r="O1404">
            <v>0</v>
          </cell>
          <cell r="P1404">
            <v>0</v>
          </cell>
        </row>
        <row r="1405">
          <cell r="M1405">
            <v>2308</v>
          </cell>
          <cell r="N1405">
            <v>820.27994972482747</v>
          </cell>
          <cell r="O1405">
            <v>0</v>
          </cell>
          <cell r="P1405">
            <v>0</v>
          </cell>
        </row>
        <row r="1406">
          <cell r="M1406">
            <v>2309</v>
          </cell>
          <cell r="N1406">
            <v>326.7373681710344</v>
          </cell>
          <cell r="O1406">
            <v>0</v>
          </cell>
          <cell r="P1406">
            <v>0</v>
          </cell>
        </row>
        <row r="1407">
          <cell r="M1407">
            <v>2310</v>
          </cell>
          <cell r="N1407">
            <v>148.07022381172411</v>
          </cell>
          <cell r="O1407">
            <v>0</v>
          </cell>
          <cell r="P1407">
            <v>0</v>
          </cell>
        </row>
        <row r="1408">
          <cell r="M1408">
            <v>2311</v>
          </cell>
          <cell r="N1408">
            <v>88.419204060344839</v>
          </cell>
          <cell r="O1408">
            <v>0</v>
          </cell>
          <cell r="P1408">
            <v>0</v>
          </cell>
        </row>
        <row r="1409">
          <cell r="M1409">
            <v>2312</v>
          </cell>
          <cell r="N1409">
            <v>128.20020535275864</v>
          </cell>
          <cell r="O1409">
            <v>0</v>
          </cell>
          <cell r="P1409">
            <v>0</v>
          </cell>
        </row>
        <row r="1410">
          <cell r="M1410">
            <v>2313</v>
          </cell>
          <cell r="N1410">
            <v>395.39152478827583</v>
          </cell>
          <cell r="O1410">
            <v>0</v>
          </cell>
          <cell r="P1410">
            <v>0</v>
          </cell>
        </row>
        <row r="1411">
          <cell r="M1411">
            <v>2314</v>
          </cell>
          <cell r="N1411">
            <v>78.533286984482729</v>
          </cell>
          <cell r="O1411">
            <v>0</v>
          </cell>
          <cell r="P1411">
            <v>0</v>
          </cell>
        </row>
        <row r="1412">
          <cell r="M1412">
            <v>2315</v>
          </cell>
          <cell r="N1412">
            <v>88.39472467344828</v>
          </cell>
          <cell r="O1412">
            <v>0</v>
          </cell>
          <cell r="P1412">
            <v>0</v>
          </cell>
        </row>
        <row r="1413">
          <cell r="M1413">
            <v>2316</v>
          </cell>
          <cell r="N1413">
            <v>176.82059284482762</v>
          </cell>
          <cell r="O1413">
            <v>0</v>
          </cell>
          <cell r="P1413">
            <v>0</v>
          </cell>
        </row>
        <row r="1414">
          <cell r="M1414">
            <v>2317</v>
          </cell>
          <cell r="N1414">
            <v>172.83790401862072</v>
          </cell>
          <cell r="O1414">
            <v>0</v>
          </cell>
          <cell r="P1414">
            <v>0</v>
          </cell>
        </row>
        <row r="1415">
          <cell r="M1415">
            <v>2318</v>
          </cell>
          <cell r="N1415">
            <v>61.283491306206898</v>
          </cell>
          <cell r="O1415">
            <v>0</v>
          </cell>
          <cell r="P1415">
            <v>0</v>
          </cell>
        </row>
        <row r="1416">
          <cell r="M1416">
            <v>2319</v>
          </cell>
          <cell r="N1416">
            <v>181.63003852965514</v>
          </cell>
          <cell r="O1416">
            <v>0</v>
          </cell>
          <cell r="P1416">
            <v>0</v>
          </cell>
        </row>
        <row r="1417">
          <cell r="M1417">
            <v>2320</v>
          </cell>
          <cell r="N1417">
            <v>429.43939748931041</v>
          </cell>
          <cell r="O1417">
            <v>0</v>
          </cell>
          <cell r="P1417">
            <v>0</v>
          </cell>
        </row>
        <row r="1418">
          <cell r="M1418">
            <v>2321</v>
          </cell>
          <cell r="N1418">
            <v>116.48718857827591</v>
          </cell>
          <cell r="O1418">
            <v>0</v>
          </cell>
          <cell r="P1418">
            <v>0</v>
          </cell>
        </row>
        <row r="1419">
          <cell r="M1419">
            <v>2322</v>
          </cell>
          <cell r="N1419">
            <v>43.061086897241388</v>
          </cell>
          <cell r="O1419">
            <v>0</v>
          </cell>
          <cell r="P1419">
            <v>0</v>
          </cell>
        </row>
        <row r="1420">
          <cell r="M1420">
            <v>2323</v>
          </cell>
          <cell r="N1420">
            <v>240.31958569517238</v>
          </cell>
          <cell r="O1420">
            <v>0</v>
          </cell>
          <cell r="P1420">
            <v>0</v>
          </cell>
        </row>
        <row r="1421">
          <cell r="M1421">
            <v>2324</v>
          </cell>
          <cell r="N1421">
            <v>125.84274373310345</v>
          </cell>
          <cell r="O1421">
            <v>0</v>
          </cell>
          <cell r="P1421">
            <v>0</v>
          </cell>
        </row>
        <row r="1422">
          <cell r="M1422">
            <v>2325</v>
          </cell>
          <cell r="N1422">
            <v>85.479078418620702</v>
          </cell>
          <cell r="O1422">
            <v>0</v>
          </cell>
          <cell r="P1422">
            <v>0</v>
          </cell>
        </row>
        <row r="1423">
          <cell r="M1423">
            <v>2326</v>
          </cell>
          <cell r="N1423">
            <v>87.564717028965504</v>
          </cell>
          <cell r="O1423">
            <v>0</v>
          </cell>
          <cell r="P1423">
            <v>0</v>
          </cell>
        </row>
        <row r="1424">
          <cell r="M1424">
            <v>2327</v>
          </cell>
          <cell r="N1424">
            <v>230.83265420482761</v>
          </cell>
          <cell r="O1424">
            <v>0</v>
          </cell>
          <cell r="P1424">
            <v>0</v>
          </cell>
        </row>
        <row r="1425">
          <cell r="M1425">
            <v>2328</v>
          </cell>
          <cell r="N1425">
            <v>353.57130357241391</v>
          </cell>
          <cell r="O1425">
            <v>0</v>
          </cell>
          <cell r="P1425">
            <v>0</v>
          </cell>
        </row>
        <row r="1426">
          <cell r="M1426">
            <v>2329</v>
          </cell>
          <cell r="N1426">
            <v>190.77740520655175</v>
          </cell>
          <cell r="O1426">
            <v>0</v>
          </cell>
          <cell r="P1426">
            <v>0</v>
          </cell>
        </row>
        <row r="1427">
          <cell r="M1427">
            <v>2330</v>
          </cell>
          <cell r="N1427">
            <v>250.57206811862065</v>
          </cell>
          <cell r="O1427">
            <v>0</v>
          </cell>
          <cell r="P1427">
            <v>0</v>
          </cell>
        </row>
        <row r="1428">
          <cell r="M1428">
            <v>2331</v>
          </cell>
          <cell r="N1428">
            <v>158.15497915620688</v>
          </cell>
          <cell r="O1428">
            <v>0</v>
          </cell>
          <cell r="P1428">
            <v>0</v>
          </cell>
        </row>
        <row r="1429">
          <cell r="M1429">
            <v>2332</v>
          </cell>
          <cell r="N1429">
            <v>588.04819201862074</v>
          </cell>
          <cell r="O1429">
            <v>0</v>
          </cell>
          <cell r="P1429">
            <v>0</v>
          </cell>
        </row>
        <row r="1430">
          <cell r="M1430">
            <v>2333</v>
          </cell>
          <cell r="N1430">
            <v>117.58275661586211</v>
          </cell>
          <cell r="O1430">
            <v>0</v>
          </cell>
          <cell r="P1430">
            <v>0</v>
          </cell>
        </row>
        <row r="1431">
          <cell r="M1431">
            <v>2334</v>
          </cell>
          <cell r="N1431">
            <v>272.84126157965517</v>
          </cell>
          <cell r="O1431">
            <v>0</v>
          </cell>
          <cell r="P1431">
            <v>0</v>
          </cell>
        </row>
        <row r="1432">
          <cell r="M1432">
            <v>2335</v>
          </cell>
          <cell r="N1432">
            <v>33.578336805862072</v>
          </cell>
          <cell r="O1432">
            <v>0</v>
          </cell>
          <cell r="P1432">
            <v>0</v>
          </cell>
        </row>
        <row r="1433">
          <cell r="M1433">
            <v>2336</v>
          </cell>
          <cell r="N1433">
            <v>120.52221498793105</v>
          </cell>
          <cell r="O1433">
            <v>0</v>
          </cell>
          <cell r="P1433">
            <v>0</v>
          </cell>
        </row>
        <row r="1434">
          <cell r="M1434">
            <v>2337</v>
          </cell>
          <cell r="N1434">
            <v>305.33575248448273</v>
          </cell>
          <cell r="O1434">
            <v>0</v>
          </cell>
          <cell r="P1434">
            <v>0</v>
          </cell>
        </row>
        <row r="1435">
          <cell r="M1435">
            <v>2338</v>
          </cell>
          <cell r="N1435">
            <v>261.83086142551724</v>
          </cell>
          <cell r="O1435">
            <v>0</v>
          </cell>
          <cell r="P1435">
            <v>0</v>
          </cell>
        </row>
        <row r="1436">
          <cell r="M1436">
            <v>2339</v>
          </cell>
          <cell r="N1436">
            <v>1177.6991774682758</v>
          </cell>
          <cell r="O1436">
            <v>0</v>
          </cell>
          <cell r="P1436">
            <v>0</v>
          </cell>
        </row>
        <row r="1437">
          <cell r="M1437">
            <v>2340</v>
          </cell>
          <cell r="N1437">
            <v>330.13198389344825</v>
          </cell>
          <cell r="O1437">
            <v>0</v>
          </cell>
          <cell r="P1437">
            <v>0</v>
          </cell>
        </row>
        <row r="1438">
          <cell r="M1438">
            <v>2341</v>
          </cell>
          <cell r="N1438">
            <v>262.6500674672414</v>
          </cell>
          <cell r="O1438">
            <v>0</v>
          </cell>
          <cell r="P1438">
            <v>0</v>
          </cell>
        </row>
        <row r="1439">
          <cell r="M1439">
            <v>2342</v>
          </cell>
          <cell r="N1439">
            <v>186.00380579482751</v>
          </cell>
          <cell r="O1439">
            <v>0</v>
          </cell>
          <cell r="P1439">
            <v>0</v>
          </cell>
        </row>
        <row r="1440">
          <cell r="M1440">
            <v>2343</v>
          </cell>
          <cell r="N1440">
            <v>601.55371219482765</v>
          </cell>
          <cell r="O1440">
            <v>0</v>
          </cell>
          <cell r="P1440">
            <v>0</v>
          </cell>
        </row>
        <row r="1441">
          <cell r="M1441">
            <v>2344</v>
          </cell>
          <cell r="N1441">
            <v>419.20848175931053</v>
          </cell>
          <cell r="O1441">
            <v>0</v>
          </cell>
          <cell r="P1441">
            <v>0</v>
          </cell>
        </row>
        <row r="1442">
          <cell r="M1442">
            <v>2345</v>
          </cell>
          <cell r="N1442">
            <v>314.96680927379299</v>
          </cell>
          <cell r="O1442">
            <v>0</v>
          </cell>
          <cell r="P1442">
            <v>0</v>
          </cell>
        </row>
        <row r="1443">
          <cell r="M1443">
            <v>2346</v>
          </cell>
          <cell r="N1443">
            <v>40.329132229999992</v>
          </cell>
          <cell r="O1443">
            <v>0</v>
          </cell>
          <cell r="P1443">
            <v>0</v>
          </cell>
        </row>
        <row r="1444">
          <cell r="M1444">
            <v>2347</v>
          </cell>
          <cell r="N1444">
            <v>183.06473915206891</v>
          </cell>
          <cell r="O1444">
            <v>0</v>
          </cell>
          <cell r="P1444">
            <v>0</v>
          </cell>
        </row>
        <row r="1445">
          <cell r="M1445">
            <v>2348</v>
          </cell>
          <cell r="N1445">
            <v>241.05670558413789</v>
          </cell>
          <cell r="O1445">
            <v>0</v>
          </cell>
          <cell r="P1445">
            <v>0</v>
          </cell>
        </row>
        <row r="1446">
          <cell r="M1446">
            <v>2349</v>
          </cell>
          <cell r="N1446">
            <v>158.43126831137931</v>
          </cell>
          <cell r="O1446">
            <v>0</v>
          </cell>
          <cell r="P1446">
            <v>0</v>
          </cell>
        </row>
        <row r="1447">
          <cell r="M1447">
            <v>2350</v>
          </cell>
          <cell r="N1447">
            <v>89.915676389655175</v>
          </cell>
          <cell r="O1447">
            <v>0</v>
          </cell>
          <cell r="P1447">
            <v>0</v>
          </cell>
        </row>
        <row r="1448">
          <cell r="M1448">
            <v>2351</v>
          </cell>
          <cell r="N1448">
            <v>81.620453182413797</v>
          </cell>
          <cell r="O1448">
            <v>0</v>
          </cell>
          <cell r="P1448">
            <v>0</v>
          </cell>
        </row>
        <row r="1449">
          <cell r="M1449">
            <v>2352</v>
          </cell>
          <cell r="N1449">
            <v>22.654842170689648</v>
          </cell>
          <cell r="O1449">
            <v>0</v>
          </cell>
          <cell r="P1449">
            <v>0</v>
          </cell>
        </row>
        <row r="1450">
          <cell r="M1450">
            <v>2353</v>
          </cell>
          <cell r="N1450">
            <v>112.54535981965516</v>
          </cell>
          <cell r="O1450">
            <v>0</v>
          </cell>
          <cell r="P1450">
            <v>0</v>
          </cell>
        </row>
        <row r="1451">
          <cell r="M1451">
            <v>2354</v>
          </cell>
          <cell r="N1451">
            <v>68.356327715517196</v>
          </cell>
          <cell r="O1451">
            <v>0</v>
          </cell>
          <cell r="P1451">
            <v>0</v>
          </cell>
        </row>
        <row r="1452">
          <cell r="M1452">
            <v>2355</v>
          </cell>
          <cell r="N1452">
            <v>99.716044695517226</v>
          </cell>
          <cell r="O1452">
            <v>0</v>
          </cell>
          <cell r="P1452">
            <v>0</v>
          </cell>
        </row>
        <row r="1453">
          <cell r="M1453">
            <v>2356</v>
          </cell>
          <cell r="N1453">
            <v>151.73862083999998</v>
          </cell>
          <cell r="O1453">
            <v>0</v>
          </cell>
          <cell r="P1453">
            <v>0</v>
          </cell>
        </row>
        <row r="1454">
          <cell r="M1454">
            <v>2357</v>
          </cell>
          <cell r="N1454">
            <v>133.63419928103451</v>
          </cell>
          <cell r="O1454">
            <v>0</v>
          </cell>
          <cell r="P1454">
            <v>0</v>
          </cell>
        </row>
        <row r="1455">
          <cell r="M1455">
            <v>2358</v>
          </cell>
          <cell r="N1455">
            <v>94.785238651034476</v>
          </cell>
          <cell r="O1455">
            <v>0</v>
          </cell>
          <cell r="P1455">
            <v>0</v>
          </cell>
        </row>
        <row r="1456">
          <cell r="M1456">
            <v>2359</v>
          </cell>
          <cell r="N1456">
            <v>70.65400335103449</v>
          </cell>
          <cell r="O1456">
            <v>0</v>
          </cell>
          <cell r="P1456">
            <v>0</v>
          </cell>
        </row>
        <row r="1457">
          <cell r="M1457">
            <v>2360</v>
          </cell>
          <cell r="N1457">
            <v>75.02644944413791</v>
          </cell>
          <cell r="O1457">
            <v>0</v>
          </cell>
          <cell r="P1457">
            <v>0</v>
          </cell>
        </row>
        <row r="1458">
          <cell r="M1458">
            <v>2361</v>
          </cell>
          <cell r="N1458">
            <v>72.954811950000007</v>
          </cell>
          <cell r="O1458">
            <v>0</v>
          </cell>
          <cell r="P1458">
            <v>0</v>
          </cell>
        </row>
        <row r="1459">
          <cell r="M1459">
            <v>2362</v>
          </cell>
          <cell r="N1459">
            <v>114.05798128034482</v>
          </cell>
          <cell r="O1459">
            <v>0</v>
          </cell>
          <cell r="P1459">
            <v>0</v>
          </cell>
        </row>
        <row r="1460">
          <cell r="M1460">
            <v>2363</v>
          </cell>
          <cell r="N1460">
            <v>90.623485923448271</v>
          </cell>
          <cell r="O1460">
            <v>0</v>
          </cell>
          <cell r="P1460">
            <v>0</v>
          </cell>
        </row>
        <row r="1461">
          <cell r="M1461">
            <v>2364</v>
          </cell>
          <cell r="N1461">
            <v>114.02188384413795</v>
          </cell>
          <cell r="O1461">
            <v>0</v>
          </cell>
          <cell r="P1461">
            <v>0</v>
          </cell>
        </row>
        <row r="1462">
          <cell r="M1462">
            <v>2365</v>
          </cell>
          <cell r="N1462">
            <v>180.3137352062069</v>
          </cell>
          <cell r="O1462">
            <v>0</v>
          </cell>
          <cell r="P1462">
            <v>0</v>
          </cell>
        </row>
        <row r="1463">
          <cell r="M1463">
            <v>2366</v>
          </cell>
          <cell r="N1463">
            <v>38.807497925517232</v>
          </cell>
          <cell r="O1463">
            <v>0</v>
          </cell>
          <cell r="P1463">
            <v>0</v>
          </cell>
        </row>
        <row r="1464">
          <cell r="M1464">
            <v>2367</v>
          </cell>
          <cell r="N1464">
            <v>153.00784002965514</v>
          </cell>
          <cell r="O1464">
            <v>0</v>
          </cell>
          <cell r="P1464">
            <v>0</v>
          </cell>
        </row>
        <row r="1465">
          <cell r="M1465">
            <v>2368</v>
          </cell>
          <cell r="N1465">
            <v>26.370197426206893</v>
          </cell>
          <cell r="O1465">
            <v>0</v>
          </cell>
          <cell r="P1465">
            <v>0</v>
          </cell>
        </row>
        <row r="1466">
          <cell r="M1466">
            <v>2369</v>
          </cell>
          <cell r="N1466">
            <v>58.800581221724144</v>
          </cell>
          <cell r="O1466">
            <v>0</v>
          </cell>
          <cell r="P1466">
            <v>0</v>
          </cell>
        </row>
        <row r="1467">
          <cell r="M1467">
            <v>2370</v>
          </cell>
          <cell r="N1467">
            <v>75.907637631379302</v>
          </cell>
          <cell r="O1467">
            <v>0</v>
          </cell>
          <cell r="P1467">
            <v>0</v>
          </cell>
        </row>
        <row r="1468">
          <cell r="M1468">
            <v>2371</v>
          </cell>
          <cell r="N1468">
            <v>150.0259787824138</v>
          </cell>
          <cell r="O1468">
            <v>0</v>
          </cell>
          <cell r="P1468">
            <v>0</v>
          </cell>
        </row>
        <row r="1469">
          <cell r="M1469">
            <v>2372</v>
          </cell>
          <cell r="N1469">
            <v>87.659636561724142</v>
          </cell>
          <cell r="O1469">
            <v>0</v>
          </cell>
          <cell r="P1469">
            <v>0</v>
          </cell>
        </row>
        <row r="1470">
          <cell r="M1470">
            <v>2373</v>
          </cell>
          <cell r="N1470">
            <v>182.12352467482759</v>
          </cell>
          <cell r="O1470">
            <v>0</v>
          </cell>
          <cell r="P1470">
            <v>0</v>
          </cell>
        </row>
        <row r="1471">
          <cell r="M1471">
            <v>2374</v>
          </cell>
          <cell r="N1471">
            <v>72.74446421379308</v>
          </cell>
          <cell r="O1471">
            <v>0</v>
          </cell>
          <cell r="P1471">
            <v>0</v>
          </cell>
        </row>
        <row r="1472">
          <cell r="M1472">
            <v>2375</v>
          </cell>
          <cell r="N1472">
            <v>100.30587171896553</v>
          </cell>
          <cell r="O1472">
            <v>0</v>
          </cell>
          <cell r="P1472">
            <v>0</v>
          </cell>
        </row>
        <row r="1473">
          <cell r="M1473">
            <v>2376</v>
          </cell>
          <cell r="N1473">
            <v>97.848950018620712</v>
          </cell>
          <cell r="O1473">
            <v>0</v>
          </cell>
          <cell r="P1473">
            <v>0</v>
          </cell>
        </row>
        <row r="1474">
          <cell r="M1474">
            <v>2377</v>
          </cell>
          <cell r="N1474">
            <v>82.472023672068957</v>
          </cell>
          <cell r="O1474">
            <v>0</v>
          </cell>
          <cell r="P1474">
            <v>0</v>
          </cell>
        </row>
        <row r="1475">
          <cell r="M1475">
            <v>2378</v>
          </cell>
          <cell r="N1475">
            <v>85.517785918275848</v>
          </cell>
          <cell r="O1475">
            <v>0</v>
          </cell>
          <cell r="P1475">
            <v>0</v>
          </cell>
        </row>
        <row r="1476">
          <cell r="M1476">
            <v>2379</v>
          </cell>
          <cell r="N1476">
            <v>69.875949857241395</v>
          </cell>
          <cell r="O1476">
            <v>0</v>
          </cell>
          <cell r="P1476">
            <v>0</v>
          </cell>
        </row>
        <row r="1477">
          <cell r="M1477">
            <v>2380</v>
          </cell>
          <cell r="N1477">
            <v>94.38783423896551</v>
          </cell>
          <cell r="O1477">
            <v>0</v>
          </cell>
          <cell r="P1477">
            <v>0</v>
          </cell>
        </row>
        <row r="1478">
          <cell r="M1478">
            <v>2381</v>
          </cell>
          <cell r="N1478">
            <v>120.28841395103446</v>
          </cell>
          <cell r="O1478">
            <v>0</v>
          </cell>
          <cell r="P1478">
            <v>0</v>
          </cell>
        </row>
        <row r="1479">
          <cell r="M1479">
            <v>2382</v>
          </cell>
          <cell r="N1479">
            <v>85.315122483793104</v>
          </cell>
          <cell r="O1479">
            <v>0</v>
          </cell>
          <cell r="P1479">
            <v>0</v>
          </cell>
        </row>
        <row r="1480">
          <cell r="M1480">
            <v>2383</v>
          </cell>
          <cell r="N1480">
            <v>49.374754615862074</v>
          </cell>
          <cell r="O1480">
            <v>0</v>
          </cell>
          <cell r="P1480">
            <v>0</v>
          </cell>
        </row>
        <row r="1481">
          <cell r="M1481">
            <v>2384</v>
          </cell>
          <cell r="N1481">
            <v>286.46664760206897</v>
          </cell>
          <cell r="O1481">
            <v>0</v>
          </cell>
          <cell r="P1481">
            <v>0</v>
          </cell>
        </row>
        <row r="1482">
          <cell r="M1482">
            <v>2385</v>
          </cell>
          <cell r="N1482">
            <v>33.412672753103443</v>
          </cell>
          <cell r="O1482">
            <v>0</v>
          </cell>
          <cell r="P1482">
            <v>0</v>
          </cell>
        </row>
        <row r="1483">
          <cell r="M1483">
            <v>2386</v>
          </cell>
          <cell r="N1483">
            <v>181.30820877724133</v>
          </cell>
          <cell r="O1483">
            <v>0</v>
          </cell>
          <cell r="P1483">
            <v>0</v>
          </cell>
        </row>
        <row r="1484">
          <cell r="M1484">
            <v>2387</v>
          </cell>
          <cell r="N1484">
            <v>39.970861754482755</v>
          </cell>
          <cell r="O1484">
            <v>0</v>
          </cell>
          <cell r="P1484">
            <v>0</v>
          </cell>
        </row>
        <row r="1485">
          <cell r="M1485">
            <v>2388</v>
          </cell>
          <cell r="N1485">
            <v>70.324999641724148</v>
          </cell>
          <cell r="O1485">
            <v>0</v>
          </cell>
          <cell r="P1485">
            <v>0</v>
          </cell>
        </row>
        <row r="1486">
          <cell r="M1486">
            <v>2389</v>
          </cell>
          <cell r="N1486">
            <v>77.50407009275861</v>
          </cell>
          <cell r="O1486">
            <v>0</v>
          </cell>
          <cell r="P1486">
            <v>0</v>
          </cell>
        </row>
        <row r="1487">
          <cell r="M1487">
            <v>2390</v>
          </cell>
          <cell r="N1487">
            <v>453.70236093103455</v>
          </cell>
          <cell r="O1487">
            <v>0</v>
          </cell>
          <cell r="P1487">
            <v>0</v>
          </cell>
        </row>
        <row r="1488">
          <cell r="M1488">
            <v>2391</v>
          </cell>
          <cell r="N1488">
            <v>64.028199337586216</v>
          </cell>
          <cell r="O1488">
            <v>0</v>
          </cell>
          <cell r="P1488">
            <v>0</v>
          </cell>
        </row>
        <row r="1489">
          <cell r="M1489">
            <v>2392</v>
          </cell>
          <cell r="N1489">
            <v>21.480886046896554</v>
          </cell>
          <cell r="O1489">
            <v>0</v>
          </cell>
          <cell r="P1489">
            <v>0</v>
          </cell>
        </row>
        <row r="1490">
          <cell r="M1490">
            <v>2393</v>
          </cell>
          <cell r="N1490">
            <v>25.202733131034478</v>
          </cell>
          <cell r="O1490">
            <v>0</v>
          </cell>
          <cell r="P1490">
            <v>0</v>
          </cell>
        </row>
        <row r="1491">
          <cell r="M1491">
            <v>2394</v>
          </cell>
          <cell r="N1491">
            <v>25.976689535172419</v>
          </cell>
          <cell r="O1491">
            <v>0</v>
          </cell>
          <cell r="P1491">
            <v>0</v>
          </cell>
        </row>
        <row r="1492">
          <cell r="M1492">
            <v>2395</v>
          </cell>
          <cell r="N1492">
            <v>56.483668281034475</v>
          </cell>
          <cell r="O1492">
            <v>0</v>
          </cell>
          <cell r="P1492">
            <v>0</v>
          </cell>
        </row>
        <row r="1493">
          <cell r="M1493">
            <v>2396</v>
          </cell>
          <cell r="N1493">
            <v>69.245482925517251</v>
          </cell>
          <cell r="O1493">
            <v>0</v>
          </cell>
          <cell r="P1493">
            <v>0</v>
          </cell>
        </row>
        <row r="1494">
          <cell r="M1494">
            <v>2397</v>
          </cell>
          <cell r="N1494">
            <v>79.296025880344828</v>
          </cell>
          <cell r="O1494">
            <v>0</v>
          </cell>
          <cell r="P1494">
            <v>0</v>
          </cell>
        </row>
        <row r="1495">
          <cell r="M1495">
            <v>2398</v>
          </cell>
          <cell r="N1495">
            <v>178.18692981655167</v>
          </cell>
          <cell r="O1495">
            <v>0</v>
          </cell>
          <cell r="P1495">
            <v>0</v>
          </cell>
        </row>
        <row r="1496">
          <cell r="M1496">
            <v>2399</v>
          </cell>
          <cell r="N1496">
            <v>161.47163400965516</v>
          </cell>
          <cell r="O1496">
            <v>0</v>
          </cell>
          <cell r="P1496">
            <v>0</v>
          </cell>
        </row>
        <row r="1497">
          <cell r="M1497">
            <v>2400</v>
          </cell>
          <cell r="N1497">
            <v>81.356786968965523</v>
          </cell>
          <cell r="O1497">
            <v>0</v>
          </cell>
          <cell r="P1497">
            <v>0</v>
          </cell>
        </row>
        <row r="1498">
          <cell r="M1498">
            <v>2401</v>
          </cell>
          <cell r="N1498">
            <v>34.412465219655168</v>
          </cell>
          <cell r="O1498">
            <v>0</v>
          </cell>
          <cell r="P1498">
            <v>0</v>
          </cell>
        </row>
        <row r="1499">
          <cell r="M1499">
            <v>2402</v>
          </cell>
          <cell r="N1499">
            <v>16.557818926551718</v>
          </cell>
          <cell r="O1499">
            <v>0</v>
          </cell>
          <cell r="P1499">
            <v>0</v>
          </cell>
        </row>
        <row r="1500">
          <cell r="M1500">
            <v>2403</v>
          </cell>
          <cell r="N1500">
            <v>454.49156470310356</v>
          </cell>
          <cell r="O1500">
            <v>0</v>
          </cell>
          <cell r="P1500">
            <v>0</v>
          </cell>
        </row>
        <row r="1501">
          <cell r="M1501">
            <v>2404</v>
          </cell>
          <cell r="N1501">
            <v>53.963382869310337</v>
          </cell>
          <cell r="O1501">
            <v>0</v>
          </cell>
          <cell r="P1501">
            <v>0</v>
          </cell>
        </row>
        <row r="1502">
          <cell r="M1502">
            <v>2405</v>
          </cell>
          <cell r="N1502">
            <v>45.288272830689657</v>
          </cell>
          <cell r="O1502">
            <v>0</v>
          </cell>
          <cell r="P1502">
            <v>0</v>
          </cell>
        </row>
        <row r="1503">
          <cell r="M1503">
            <v>2406</v>
          </cell>
          <cell r="N1503">
            <v>41.711560653448281</v>
          </cell>
          <cell r="O1503">
            <v>0</v>
          </cell>
          <cell r="P1503">
            <v>0</v>
          </cell>
        </row>
        <row r="1504">
          <cell r="M1504">
            <v>2407</v>
          </cell>
          <cell r="N1504">
            <v>63.325435898965523</v>
          </cell>
          <cell r="O1504">
            <v>0</v>
          </cell>
          <cell r="P1504">
            <v>0</v>
          </cell>
        </row>
        <row r="1505">
          <cell r="M1505">
            <v>2408</v>
          </cell>
          <cell r="N1505">
            <v>44.834313426551716</v>
          </cell>
          <cell r="O1505">
            <v>0</v>
          </cell>
          <cell r="P1505">
            <v>0</v>
          </cell>
        </row>
        <row r="1506">
          <cell r="M1506">
            <v>2409</v>
          </cell>
          <cell r="N1506">
            <v>31.658446988965508</v>
          </cell>
          <cell r="O1506">
            <v>0</v>
          </cell>
          <cell r="P1506">
            <v>0</v>
          </cell>
        </row>
        <row r="1507">
          <cell r="M1507">
            <v>2410</v>
          </cell>
          <cell r="N1507">
            <v>127.45590146620692</v>
          </cell>
          <cell r="O1507">
            <v>0</v>
          </cell>
          <cell r="P1507">
            <v>0</v>
          </cell>
        </row>
        <row r="1508">
          <cell r="M1508">
            <v>2411</v>
          </cell>
          <cell r="N1508">
            <v>57.867535068965523</v>
          </cell>
          <cell r="O1508">
            <v>0</v>
          </cell>
          <cell r="P1508">
            <v>0</v>
          </cell>
        </row>
        <row r="1509">
          <cell r="M1509">
            <v>2412</v>
          </cell>
          <cell r="N1509">
            <v>38.021099273448272</v>
          </cell>
          <cell r="O1509">
            <v>0</v>
          </cell>
          <cell r="P1509">
            <v>0</v>
          </cell>
        </row>
        <row r="1510">
          <cell r="M1510">
            <v>2413</v>
          </cell>
          <cell r="N1510">
            <v>73.232082951724109</v>
          </cell>
          <cell r="O1510">
            <v>0</v>
          </cell>
          <cell r="P1510">
            <v>0</v>
          </cell>
        </row>
        <row r="1511">
          <cell r="M1511">
            <v>2414</v>
          </cell>
          <cell r="N1511">
            <v>73.607498054482761</v>
          </cell>
          <cell r="O1511">
            <v>0</v>
          </cell>
          <cell r="P1511">
            <v>0</v>
          </cell>
        </row>
        <row r="1512">
          <cell r="M1512">
            <v>2415</v>
          </cell>
          <cell r="N1512">
            <v>50.388205475862073</v>
          </cell>
          <cell r="O1512">
            <v>0</v>
          </cell>
          <cell r="P1512">
            <v>0</v>
          </cell>
        </row>
        <row r="1513">
          <cell r="M1513">
            <v>2416</v>
          </cell>
          <cell r="N1513">
            <v>28.52297106</v>
          </cell>
          <cell r="O1513">
            <v>0</v>
          </cell>
          <cell r="P1513">
            <v>0</v>
          </cell>
        </row>
        <row r="1514">
          <cell r="M1514">
            <v>2417</v>
          </cell>
          <cell r="N1514">
            <v>84.475545054482737</v>
          </cell>
          <cell r="O1514">
            <v>0</v>
          </cell>
          <cell r="P1514">
            <v>0</v>
          </cell>
        </row>
        <row r="1515">
          <cell r="M1515">
            <v>2418</v>
          </cell>
          <cell r="N1515">
            <v>97.366096280000008</v>
          </cell>
          <cell r="O1515">
            <v>0</v>
          </cell>
          <cell r="P1515">
            <v>0</v>
          </cell>
        </row>
        <row r="1516">
          <cell r="M1516">
            <v>2419</v>
          </cell>
          <cell r="N1516">
            <v>45.377550158275859</v>
          </cell>
          <cell r="O1516">
            <v>0</v>
          </cell>
          <cell r="P1516">
            <v>0</v>
          </cell>
        </row>
        <row r="1517">
          <cell r="M1517">
            <v>2420</v>
          </cell>
          <cell r="N1517">
            <v>58.5249920424138</v>
          </cell>
          <cell r="O1517">
            <v>0</v>
          </cell>
          <cell r="P1517">
            <v>0</v>
          </cell>
        </row>
        <row r="1518">
          <cell r="M1518">
            <v>2421</v>
          </cell>
          <cell r="N1518">
            <v>62.627467400000008</v>
          </cell>
          <cell r="O1518">
            <v>0</v>
          </cell>
          <cell r="P1518">
            <v>0</v>
          </cell>
        </row>
        <row r="1519">
          <cell r="M1519">
            <v>2422</v>
          </cell>
          <cell r="N1519">
            <v>18.722927003103447</v>
          </cell>
          <cell r="O1519">
            <v>0</v>
          </cell>
          <cell r="P1519">
            <v>0</v>
          </cell>
        </row>
        <row r="1520">
          <cell r="M1520">
            <v>2423</v>
          </cell>
          <cell r="N1520">
            <v>36.290589897931035</v>
          </cell>
          <cell r="O1520">
            <v>0</v>
          </cell>
          <cell r="P1520">
            <v>0</v>
          </cell>
        </row>
        <row r="1521">
          <cell r="M1521">
            <v>2424</v>
          </cell>
          <cell r="N1521">
            <v>99.187106544137919</v>
          </cell>
          <cell r="O1521">
            <v>0</v>
          </cell>
          <cell r="P1521">
            <v>0</v>
          </cell>
        </row>
        <row r="1522">
          <cell r="M1522">
            <v>2425</v>
          </cell>
          <cell r="N1522">
            <v>40.183275127931026</v>
          </cell>
          <cell r="O1522">
            <v>0</v>
          </cell>
          <cell r="P1522">
            <v>0</v>
          </cell>
        </row>
        <row r="1523">
          <cell r="M1523">
            <v>2426</v>
          </cell>
          <cell r="N1523">
            <v>63.47265574034482</v>
          </cell>
          <cell r="O1523">
            <v>0</v>
          </cell>
          <cell r="P1523">
            <v>0</v>
          </cell>
        </row>
        <row r="1524">
          <cell r="M1524">
            <v>2427</v>
          </cell>
          <cell r="N1524">
            <v>61.09609825137931</v>
          </cell>
          <cell r="O1524">
            <v>0</v>
          </cell>
          <cell r="P1524">
            <v>0</v>
          </cell>
        </row>
        <row r="1525">
          <cell r="M1525">
            <v>2428</v>
          </cell>
          <cell r="N1525">
            <v>89.196138098620679</v>
          </cell>
          <cell r="O1525">
            <v>0</v>
          </cell>
          <cell r="P1525">
            <v>0</v>
          </cell>
        </row>
        <row r="1526">
          <cell r="M1526">
            <v>2429</v>
          </cell>
          <cell r="N1526">
            <v>58.402269382068965</v>
          </cell>
          <cell r="O1526">
            <v>0</v>
          </cell>
          <cell r="P1526">
            <v>0</v>
          </cell>
        </row>
        <row r="1527">
          <cell r="M1527">
            <v>2430</v>
          </cell>
          <cell r="N1527">
            <v>129.96743605103447</v>
          </cell>
          <cell r="O1527">
            <v>0</v>
          </cell>
          <cell r="P1527">
            <v>0</v>
          </cell>
        </row>
        <row r="1528">
          <cell r="M1528">
            <v>2431</v>
          </cell>
          <cell r="N1528">
            <v>92.249363077241384</v>
          </cell>
          <cell r="O1528">
            <v>0</v>
          </cell>
          <cell r="P1528">
            <v>0</v>
          </cell>
        </row>
        <row r="1529">
          <cell r="M1529">
            <v>2432</v>
          </cell>
          <cell r="N1529">
            <v>483.03634543103459</v>
          </cell>
          <cell r="O1529">
            <v>0</v>
          </cell>
          <cell r="P1529">
            <v>0</v>
          </cell>
        </row>
        <row r="1530">
          <cell r="M1530">
            <v>2433</v>
          </cell>
          <cell r="N1530">
            <v>192.39023404999995</v>
          </cell>
          <cell r="O1530">
            <v>0</v>
          </cell>
          <cell r="P1530">
            <v>0</v>
          </cell>
        </row>
        <row r="1531">
          <cell r="M1531">
            <v>2434</v>
          </cell>
          <cell r="N1531">
            <v>30.498758336551724</v>
          </cell>
          <cell r="O1531">
            <v>0</v>
          </cell>
          <cell r="P1531">
            <v>0</v>
          </cell>
        </row>
        <row r="1532">
          <cell r="M1532">
            <v>2435</v>
          </cell>
          <cell r="N1532">
            <v>5.4460445624137925</v>
          </cell>
          <cell r="O1532">
            <v>0</v>
          </cell>
          <cell r="P1532">
            <v>0</v>
          </cell>
        </row>
        <row r="1533">
          <cell r="M1533">
            <v>2436</v>
          </cell>
          <cell r="N1533">
            <v>32.038022978620688</v>
          </cell>
          <cell r="O1533">
            <v>0</v>
          </cell>
          <cell r="P1533">
            <v>0</v>
          </cell>
        </row>
        <row r="1534">
          <cell r="M1534">
            <v>2437</v>
          </cell>
          <cell r="N1534">
            <v>34.263755660344835</v>
          </cell>
          <cell r="O1534">
            <v>0</v>
          </cell>
          <cell r="P1534">
            <v>0</v>
          </cell>
        </row>
        <row r="1535">
          <cell r="M1535">
            <v>2438</v>
          </cell>
          <cell r="N1535">
            <v>8.819724046551725</v>
          </cell>
          <cell r="O1535">
            <v>0</v>
          </cell>
          <cell r="P1535">
            <v>0</v>
          </cell>
        </row>
        <row r="1536">
          <cell r="M1536">
            <v>2439</v>
          </cell>
          <cell r="N1536">
            <v>20.531787763448275</v>
          </cell>
          <cell r="O1536">
            <v>0</v>
          </cell>
          <cell r="P1536">
            <v>0</v>
          </cell>
        </row>
        <row r="1537">
          <cell r="M1537">
            <v>2440</v>
          </cell>
          <cell r="N1537">
            <v>42.740182021034478</v>
          </cell>
          <cell r="O1537">
            <v>0</v>
          </cell>
          <cell r="P1537">
            <v>0</v>
          </cell>
        </row>
        <row r="1538">
          <cell r="M1538">
            <v>2441</v>
          </cell>
          <cell r="N1538">
            <v>636.51861542482777</v>
          </cell>
          <cell r="O1538">
            <v>0</v>
          </cell>
          <cell r="P1538">
            <v>0</v>
          </cell>
        </row>
        <row r="1539">
          <cell r="M1539">
            <v>2442</v>
          </cell>
          <cell r="N1539">
            <v>419.35666251586213</v>
          </cell>
          <cell r="O1539">
            <v>0</v>
          </cell>
          <cell r="P1539">
            <v>0</v>
          </cell>
        </row>
        <row r="1540">
          <cell r="M1540">
            <v>2443</v>
          </cell>
          <cell r="N1540">
            <v>388.28039176931037</v>
          </cell>
          <cell r="O1540">
            <v>0</v>
          </cell>
          <cell r="P1540">
            <v>0</v>
          </cell>
        </row>
        <row r="1541">
          <cell r="M1541">
            <v>2444</v>
          </cell>
          <cell r="N1541">
            <v>611.04918686241353</v>
          </cell>
          <cell r="O1541">
            <v>0</v>
          </cell>
          <cell r="P1541">
            <v>0</v>
          </cell>
        </row>
        <row r="1542">
          <cell r="M1542">
            <v>2445</v>
          </cell>
          <cell r="N1542">
            <v>364.63184966413786</v>
          </cell>
          <cell r="O1542">
            <v>0</v>
          </cell>
          <cell r="P1542">
            <v>0</v>
          </cell>
        </row>
        <row r="1543">
          <cell r="M1543">
            <v>2446</v>
          </cell>
          <cell r="N1543">
            <v>2743.6883985517238</v>
          </cell>
          <cell r="O1543">
            <v>0</v>
          </cell>
          <cell r="P1543">
            <v>0</v>
          </cell>
        </row>
        <row r="1544">
          <cell r="M1544">
            <v>2447</v>
          </cell>
          <cell r="N1544">
            <v>416.17682474862062</v>
          </cell>
          <cell r="O1544">
            <v>0</v>
          </cell>
          <cell r="P1544">
            <v>0</v>
          </cell>
        </row>
        <row r="1545">
          <cell r="M1545">
            <v>2448</v>
          </cell>
          <cell r="N1545">
            <v>47.786056075862078</v>
          </cell>
          <cell r="O1545">
            <v>0</v>
          </cell>
          <cell r="P1545">
            <v>0</v>
          </cell>
        </row>
        <row r="1546">
          <cell r="M1546">
            <v>2449</v>
          </cell>
          <cell r="N1546">
            <v>17.782007859310347</v>
          </cell>
          <cell r="O1546">
            <v>0</v>
          </cell>
          <cell r="P1546">
            <v>0</v>
          </cell>
        </row>
        <row r="1547">
          <cell r="M1547">
            <v>2450</v>
          </cell>
          <cell r="N1547">
            <v>12.71022463137931</v>
          </cell>
          <cell r="O1547">
            <v>0</v>
          </cell>
          <cell r="P1547">
            <v>0</v>
          </cell>
        </row>
        <row r="1548">
          <cell r="M1548">
            <v>2451</v>
          </cell>
          <cell r="N1548">
            <v>17.489182648965517</v>
          </cell>
          <cell r="O1548">
            <v>0</v>
          </cell>
          <cell r="P1548">
            <v>0</v>
          </cell>
        </row>
        <row r="1549">
          <cell r="M1549">
            <v>2452</v>
          </cell>
          <cell r="N1549">
            <v>33.077135007586207</v>
          </cell>
          <cell r="O1549">
            <v>0</v>
          </cell>
          <cell r="P1549">
            <v>0</v>
          </cell>
        </row>
        <row r="1550">
          <cell r="M1550">
            <v>2453</v>
          </cell>
          <cell r="N1550">
            <v>71.018742151034502</v>
          </cell>
          <cell r="O1550">
            <v>0</v>
          </cell>
          <cell r="P1550">
            <v>0</v>
          </cell>
        </row>
        <row r="1551">
          <cell r="M1551">
            <v>2454</v>
          </cell>
          <cell r="N1551">
            <v>4.3957390158620688</v>
          </cell>
          <cell r="O1551">
            <v>0</v>
          </cell>
          <cell r="P1551">
            <v>0</v>
          </cell>
        </row>
        <row r="1552">
          <cell r="M1552">
            <v>2455</v>
          </cell>
          <cell r="N1552">
            <v>41.97230147896552</v>
          </cell>
          <cell r="O1552">
            <v>0</v>
          </cell>
          <cell r="P1552">
            <v>0</v>
          </cell>
        </row>
        <row r="1553">
          <cell r="M1553">
            <v>2456</v>
          </cell>
          <cell r="N1553">
            <v>46.484355623793114</v>
          </cell>
          <cell r="O1553">
            <v>0</v>
          </cell>
          <cell r="P1553">
            <v>0</v>
          </cell>
        </row>
        <row r="1554">
          <cell r="M1554">
            <v>2457</v>
          </cell>
          <cell r="N1554">
            <v>33.714250151724137</v>
          </cell>
          <cell r="O1554">
            <v>0</v>
          </cell>
          <cell r="P1554">
            <v>0</v>
          </cell>
        </row>
        <row r="1555">
          <cell r="M1555">
            <v>2458</v>
          </cell>
          <cell r="N1555">
            <v>4.0328549893103434</v>
          </cell>
          <cell r="O1555">
            <v>0</v>
          </cell>
          <cell r="P1555">
            <v>0</v>
          </cell>
        </row>
        <row r="1556">
          <cell r="M1556">
            <v>2459</v>
          </cell>
          <cell r="N1556">
            <v>26.961584432758624</v>
          </cell>
          <cell r="O1556">
            <v>0</v>
          </cell>
          <cell r="P1556">
            <v>0</v>
          </cell>
        </row>
        <row r="1557">
          <cell r="M1557">
            <v>2460</v>
          </cell>
          <cell r="N1557">
            <v>37.357072255517245</v>
          </cell>
          <cell r="O1557">
            <v>0</v>
          </cell>
          <cell r="P1557">
            <v>0</v>
          </cell>
        </row>
        <row r="1558">
          <cell r="M1558">
            <v>2461</v>
          </cell>
          <cell r="N1558">
            <v>11.926653778275863</v>
          </cell>
          <cell r="O1558">
            <v>0</v>
          </cell>
          <cell r="P1558">
            <v>0</v>
          </cell>
        </row>
        <row r="1559">
          <cell r="M1559">
            <v>2462</v>
          </cell>
          <cell r="N1559">
            <v>1.7282413793103447E-2</v>
          </cell>
          <cell r="O1559">
            <v>0</v>
          </cell>
          <cell r="P1559">
            <v>0</v>
          </cell>
        </row>
        <row r="1560">
          <cell r="M1560">
            <v>2463</v>
          </cell>
          <cell r="N1560">
            <v>17.931970140344831</v>
          </cell>
          <cell r="O1560">
            <v>0</v>
          </cell>
          <cell r="P1560">
            <v>0</v>
          </cell>
        </row>
        <row r="1561">
          <cell r="M1561">
            <v>2464</v>
          </cell>
          <cell r="N1561">
            <v>13.060102735517241</v>
          </cell>
          <cell r="O1561">
            <v>0</v>
          </cell>
          <cell r="P1561">
            <v>0</v>
          </cell>
        </row>
        <row r="1562">
          <cell r="M1562">
            <v>2465</v>
          </cell>
          <cell r="N1562">
            <v>14.340802409655172</v>
          </cell>
          <cell r="O1562">
            <v>0</v>
          </cell>
          <cell r="P1562">
            <v>0</v>
          </cell>
        </row>
        <row r="1563">
          <cell r="M1563">
            <v>2466</v>
          </cell>
          <cell r="N1563">
            <v>64.582896375517251</v>
          </cell>
          <cell r="O1563">
            <v>0</v>
          </cell>
          <cell r="P1563">
            <v>0</v>
          </cell>
        </row>
        <row r="1564">
          <cell r="M1564">
            <v>2467</v>
          </cell>
          <cell r="N1564">
            <v>4.5233541427586195</v>
          </cell>
          <cell r="O1564">
            <v>0</v>
          </cell>
          <cell r="P1564">
            <v>0</v>
          </cell>
        </row>
        <row r="1565">
          <cell r="M1565">
            <v>2468</v>
          </cell>
          <cell r="N1565">
            <v>3.1403391972413792</v>
          </cell>
          <cell r="O1565">
            <v>0</v>
          </cell>
          <cell r="P1565">
            <v>0</v>
          </cell>
        </row>
        <row r="1566">
          <cell r="M1566">
            <v>2469</v>
          </cell>
          <cell r="N1566">
            <v>1.5573029127586206</v>
          </cell>
          <cell r="O1566">
            <v>0</v>
          </cell>
          <cell r="P1566">
            <v>0</v>
          </cell>
        </row>
        <row r="1567">
          <cell r="M1567">
            <v>2470</v>
          </cell>
          <cell r="N1567">
            <v>3.4601942713793106</v>
          </cell>
          <cell r="O1567">
            <v>0</v>
          </cell>
          <cell r="P1567">
            <v>0</v>
          </cell>
        </row>
        <row r="1568">
          <cell r="M1568">
            <v>2471</v>
          </cell>
          <cell r="N1568">
            <v>5.4166403999999995</v>
          </cell>
          <cell r="O1568">
            <v>0</v>
          </cell>
          <cell r="P1568">
            <v>0</v>
          </cell>
        </row>
        <row r="1569">
          <cell r="M1569">
            <v>2472</v>
          </cell>
          <cell r="N1569">
            <v>44.470341125172411</v>
          </cell>
          <cell r="O1569">
            <v>0</v>
          </cell>
          <cell r="P1569">
            <v>0</v>
          </cell>
        </row>
        <row r="1570">
          <cell r="M1570">
            <v>2473</v>
          </cell>
          <cell r="N1570">
            <v>0.35366955172413794</v>
          </cell>
          <cell r="O1570">
            <v>0</v>
          </cell>
          <cell r="P1570">
            <v>0</v>
          </cell>
        </row>
        <row r="1571">
          <cell r="M1571">
            <v>2474</v>
          </cell>
          <cell r="N1571">
            <v>6.4342331034482753E-2</v>
          </cell>
          <cell r="O1571">
            <v>0</v>
          </cell>
          <cell r="P1571">
            <v>0</v>
          </cell>
        </row>
        <row r="1572">
          <cell r="M1572">
            <v>2475</v>
          </cell>
          <cell r="N1572">
            <v>17.136694574482767</v>
          </cell>
          <cell r="O1572">
            <v>0</v>
          </cell>
          <cell r="P1572">
            <v>0</v>
          </cell>
        </row>
        <row r="1573">
          <cell r="M1573">
            <v>2476</v>
          </cell>
          <cell r="N1573">
            <v>9.6004261793103431</v>
          </cell>
          <cell r="O1573">
            <v>0</v>
          </cell>
          <cell r="P1573">
            <v>0</v>
          </cell>
        </row>
        <row r="1574">
          <cell r="M1574">
            <v>2477</v>
          </cell>
          <cell r="N1574">
            <v>0.68316193103448275</v>
          </cell>
          <cell r="O1574">
            <v>0</v>
          </cell>
          <cell r="P1574">
            <v>0</v>
          </cell>
        </row>
        <row r="1575">
          <cell r="M1575">
            <v>2478</v>
          </cell>
          <cell r="N1575">
            <v>0.34063793103448281</v>
          </cell>
          <cell r="O1575">
            <v>0</v>
          </cell>
          <cell r="P1575">
            <v>0</v>
          </cell>
        </row>
        <row r="1576">
          <cell r="M1576">
            <v>2480</v>
          </cell>
          <cell r="N1576">
            <v>9.9999999999999991E-5</v>
          </cell>
          <cell r="O1576">
            <v>0</v>
          </cell>
          <cell r="P1576">
            <v>0</v>
          </cell>
        </row>
        <row r="1577">
          <cell r="M1577">
            <v>2481</v>
          </cell>
          <cell r="N1577">
            <v>5.0000000000000001E-4</v>
          </cell>
          <cell r="O1577">
            <v>0</v>
          </cell>
          <cell r="P1577">
            <v>0</v>
          </cell>
        </row>
        <row r="1578">
          <cell r="M1578">
            <v>2482</v>
          </cell>
          <cell r="N1578">
            <v>0.46466833620689652</v>
          </cell>
          <cell r="O1578">
            <v>0</v>
          </cell>
          <cell r="P1578">
            <v>0</v>
          </cell>
        </row>
        <row r="1579">
          <cell r="M1579">
            <v>2486</v>
          </cell>
          <cell r="N1579">
            <v>0.36349194275862068</v>
          </cell>
          <cell r="O1579">
            <v>0</v>
          </cell>
          <cell r="P1579">
            <v>0</v>
          </cell>
        </row>
        <row r="1580">
          <cell r="M1580">
            <v>2487</v>
          </cell>
          <cell r="N1580">
            <v>0.14194544827586209</v>
          </cell>
          <cell r="O1580">
            <v>0</v>
          </cell>
          <cell r="P1580">
            <v>0</v>
          </cell>
        </row>
        <row r="1581">
          <cell r="M1581">
            <v>2494</v>
          </cell>
          <cell r="N1581">
            <v>9.9999999999999991E-5</v>
          </cell>
          <cell r="O1581">
            <v>0</v>
          </cell>
          <cell r="P1581">
            <v>0</v>
          </cell>
        </row>
        <row r="1582">
          <cell r="M1582">
            <v>2495</v>
          </cell>
          <cell r="N1582">
            <v>1.982758620689655E-2</v>
          </cell>
          <cell r="O1582">
            <v>0</v>
          </cell>
          <cell r="P1582">
            <v>0</v>
          </cell>
        </row>
        <row r="1583">
          <cell r="M1583">
            <v>2496</v>
          </cell>
          <cell r="N1583">
            <v>3.5320315724137945</v>
          </cell>
          <cell r="O1583">
            <v>0</v>
          </cell>
          <cell r="P1583">
            <v>0</v>
          </cell>
        </row>
        <row r="1584">
          <cell r="M1584">
            <v>2498</v>
          </cell>
          <cell r="N1584">
            <v>1.3577586206896551E-2</v>
          </cell>
          <cell r="O1584">
            <v>0</v>
          </cell>
          <cell r="P1584">
            <v>0</v>
          </cell>
        </row>
        <row r="1585">
          <cell r="M1585">
            <v>5000</v>
          </cell>
          <cell r="N1585">
            <v>450.70577274655176</v>
          </cell>
          <cell r="O1585">
            <v>0</v>
          </cell>
          <cell r="P1585">
            <v>0</v>
          </cell>
        </row>
        <row r="1586">
          <cell r="M1586">
            <v>5001</v>
          </cell>
          <cell r="N1586">
            <v>271.56964655172402</v>
          </cell>
          <cell r="O1586">
            <v>0</v>
          </cell>
          <cell r="P1586">
            <v>0</v>
          </cell>
        </row>
        <row r="1587">
          <cell r="M1587">
            <v>5002</v>
          </cell>
          <cell r="N1587">
            <v>193.62999476172413</v>
          </cell>
          <cell r="O1587">
            <v>0</v>
          </cell>
          <cell r="P1587">
            <v>0</v>
          </cell>
        </row>
        <row r="1588">
          <cell r="M1588">
            <v>5003</v>
          </cell>
          <cell r="N1588">
            <v>192.83577065206896</v>
          </cell>
          <cell r="O1588">
            <v>0</v>
          </cell>
          <cell r="P1588">
            <v>0</v>
          </cell>
        </row>
        <row r="1589">
          <cell r="M1589">
            <v>5004</v>
          </cell>
          <cell r="N1589">
            <v>172.45802277482755</v>
          </cell>
          <cell r="O1589">
            <v>0</v>
          </cell>
          <cell r="P1589">
            <v>0</v>
          </cell>
        </row>
        <row r="1590">
          <cell r="M1590">
            <v>5005</v>
          </cell>
          <cell r="N1590">
            <v>207.46209251137927</v>
          </cell>
          <cell r="O1590">
            <v>0</v>
          </cell>
          <cell r="P1590">
            <v>0</v>
          </cell>
        </row>
        <row r="1591">
          <cell r="M1591">
            <v>5006</v>
          </cell>
          <cell r="N1591">
            <v>481.81378267931035</v>
          </cell>
          <cell r="O1591">
            <v>0</v>
          </cell>
          <cell r="P1591">
            <v>0</v>
          </cell>
        </row>
        <row r="1592">
          <cell r="M1592">
            <v>5007</v>
          </cell>
          <cell r="N1592">
            <v>179.09570139655173</v>
          </cell>
          <cell r="O1592">
            <v>0</v>
          </cell>
          <cell r="P1592">
            <v>0</v>
          </cell>
        </row>
        <row r="1593">
          <cell r="M1593">
            <v>5008</v>
          </cell>
          <cell r="N1593">
            <v>130.54740045068974</v>
          </cell>
          <cell r="O1593">
            <v>0</v>
          </cell>
          <cell r="P1593">
            <v>0</v>
          </cell>
        </row>
        <row r="1594">
          <cell r="M1594">
            <v>5009</v>
          </cell>
          <cell r="N1594">
            <v>866.54478227069001</v>
          </cell>
          <cell r="O1594">
            <v>0</v>
          </cell>
          <cell r="P1594">
            <v>0</v>
          </cell>
        </row>
        <row r="1595">
          <cell r="M1595">
            <v>5010</v>
          </cell>
          <cell r="N1595">
            <v>360.38224869758636</v>
          </cell>
          <cell r="O1595">
            <v>0</v>
          </cell>
          <cell r="P1595">
            <v>0</v>
          </cell>
        </row>
        <row r="1596">
          <cell r="M1596">
            <v>5011</v>
          </cell>
          <cell r="N1596">
            <v>85.865504929310362</v>
          </cell>
          <cell r="O1596">
            <v>0</v>
          </cell>
          <cell r="P1596">
            <v>0</v>
          </cell>
        </row>
        <row r="1597">
          <cell r="M1597">
            <v>5012</v>
          </cell>
          <cell r="N1597">
            <v>662.11859421896554</v>
          </cell>
          <cell r="O1597">
            <v>0</v>
          </cell>
          <cell r="P1597">
            <v>0</v>
          </cell>
        </row>
        <row r="1598">
          <cell r="M1598">
            <v>5013</v>
          </cell>
          <cell r="N1598">
            <v>208.56240093827589</v>
          </cell>
          <cell r="O1598">
            <v>0</v>
          </cell>
          <cell r="P1598">
            <v>0</v>
          </cell>
        </row>
        <row r="1599">
          <cell r="M1599">
            <v>5014</v>
          </cell>
          <cell r="N1599">
            <v>126.19573687724139</v>
          </cell>
          <cell r="O1599">
            <v>0</v>
          </cell>
          <cell r="P1599">
            <v>0</v>
          </cell>
        </row>
        <row r="1600">
          <cell r="M1600">
            <v>5015</v>
          </cell>
          <cell r="N1600">
            <v>176.12165613586208</v>
          </cell>
          <cell r="O1600">
            <v>0</v>
          </cell>
          <cell r="P1600">
            <v>0</v>
          </cell>
        </row>
        <row r="1601">
          <cell r="M1601">
            <v>5016</v>
          </cell>
          <cell r="N1601">
            <v>316.37890632482765</v>
          </cell>
          <cell r="O1601">
            <v>0</v>
          </cell>
          <cell r="P1601">
            <v>0</v>
          </cell>
        </row>
        <row r="1602">
          <cell r="M1602">
            <v>5017</v>
          </cell>
          <cell r="N1602">
            <v>247.20630722965524</v>
          </cell>
          <cell r="O1602">
            <v>0</v>
          </cell>
          <cell r="P1602">
            <v>0</v>
          </cell>
        </row>
        <row r="1603">
          <cell r="M1603">
            <v>5018</v>
          </cell>
          <cell r="N1603">
            <v>98.921509136551748</v>
          </cell>
          <cell r="O1603">
            <v>0</v>
          </cell>
          <cell r="P1603">
            <v>0</v>
          </cell>
        </row>
        <row r="1604">
          <cell r="M1604">
            <v>5019</v>
          </cell>
          <cell r="N1604">
            <v>105.53020242034481</v>
          </cell>
          <cell r="O1604">
            <v>0</v>
          </cell>
          <cell r="P1604">
            <v>0</v>
          </cell>
        </row>
        <row r="1605">
          <cell r="M1605">
            <v>5020</v>
          </cell>
          <cell r="N1605">
            <v>139.93333294344828</v>
          </cell>
          <cell r="O1605">
            <v>0</v>
          </cell>
          <cell r="P1605">
            <v>0</v>
          </cell>
        </row>
        <row r="1606">
          <cell r="M1606">
            <v>5021</v>
          </cell>
          <cell r="N1606">
            <v>97.112631640344802</v>
          </cell>
          <cell r="O1606">
            <v>0</v>
          </cell>
          <cell r="P1606">
            <v>0</v>
          </cell>
        </row>
        <row r="1607">
          <cell r="M1607">
            <v>5022</v>
          </cell>
          <cell r="N1607">
            <v>355.48624601517253</v>
          </cell>
          <cell r="O1607">
            <v>0</v>
          </cell>
          <cell r="P1607">
            <v>0</v>
          </cell>
        </row>
        <row r="1608">
          <cell r="M1608">
            <v>5023</v>
          </cell>
          <cell r="N1608">
            <v>219.23652523482764</v>
          </cell>
          <cell r="O1608">
            <v>0</v>
          </cell>
          <cell r="P1608">
            <v>0</v>
          </cell>
        </row>
        <row r="1609">
          <cell r="M1609">
            <v>5024</v>
          </cell>
          <cell r="N1609">
            <v>540.49349285620679</v>
          </cell>
          <cell r="O1609">
            <v>0</v>
          </cell>
          <cell r="P1609">
            <v>0</v>
          </cell>
        </row>
        <row r="1610">
          <cell r="M1610">
            <v>5025</v>
          </cell>
          <cell r="N1610">
            <v>233.69989517068967</v>
          </cell>
          <cell r="O1610">
            <v>0</v>
          </cell>
          <cell r="P1610">
            <v>0</v>
          </cell>
        </row>
        <row r="1611">
          <cell r="M1611">
            <v>5026</v>
          </cell>
          <cell r="N1611">
            <v>195.08132054103447</v>
          </cell>
          <cell r="O1611">
            <v>0</v>
          </cell>
          <cell r="P1611">
            <v>0</v>
          </cell>
        </row>
        <row r="1612">
          <cell r="M1612">
            <v>5027</v>
          </cell>
          <cell r="N1612">
            <v>120.92350467827586</v>
          </cell>
          <cell r="O1612">
            <v>0</v>
          </cell>
          <cell r="P1612">
            <v>0</v>
          </cell>
        </row>
        <row r="1613">
          <cell r="M1613">
            <v>5028</v>
          </cell>
          <cell r="N1613">
            <v>222.3470129310345</v>
          </cell>
          <cell r="O1613">
            <v>0</v>
          </cell>
          <cell r="P1613">
            <v>0</v>
          </cell>
        </row>
        <row r="1614">
          <cell r="M1614">
            <v>5029</v>
          </cell>
          <cell r="N1614">
            <v>100.89865455448275</v>
          </cell>
          <cell r="O1614">
            <v>0</v>
          </cell>
          <cell r="P1614">
            <v>0</v>
          </cell>
        </row>
        <row r="1615">
          <cell r="M1615">
            <v>5030</v>
          </cell>
          <cell r="N1615">
            <v>538.64848034275883</v>
          </cell>
          <cell r="O1615">
            <v>0</v>
          </cell>
          <cell r="P1615">
            <v>0</v>
          </cell>
        </row>
        <row r="1616">
          <cell r="M1616">
            <v>5031</v>
          </cell>
          <cell r="N1616">
            <v>119.8195842103448</v>
          </cell>
          <cell r="O1616">
            <v>0</v>
          </cell>
          <cell r="P1616">
            <v>0</v>
          </cell>
        </row>
        <row r="1617">
          <cell r="M1617">
            <v>5032</v>
          </cell>
          <cell r="N1617">
            <v>242.5264215544826</v>
          </cell>
          <cell r="O1617">
            <v>0</v>
          </cell>
          <cell r="P1617">
            <v>0</v>
          </cell>
        </row>
        <row r="1618">
          <cell r="M1618">
            <v>5033</v>
          </cell>
          <cell r="N1618">
            <v>186.96097553379309</v>
          </cell>
          <cell r="O1618">
            <v>0</v>
          </cell>
          <cell r="P1618">
            <v>0</v>
          </cell>
        </row>
        <row r="1619">
          <cell r="M1619">
            <v>5034</v>
          </cell>
          <cell r="N1619">
            <v>325.83449550758627</v>
          </cell>
          <cell r="O1619">
            <v>0</v>
          </cell>
          <cell r="P1619">
            <v>0</v>
          </cell>
        </row>
        <row r="1620">
          <cell r="M1620">
            <v>5035</v>
          </cell>
          <cell r="N1620">
            <v>203.51796461000006</v>
          </cell>
          <cell r="O1620">
            <v>0</v>
          </cell>
          <cell r="P1620">
            <v>0</v>
          </cell>
        </row>
        <row r="1621">
          <cell r="M1621">
            <v>5036</v>
          </cell>
          <cell r="N1621">
            <v>181.62546046241377</v>
          </cell>
          <cell r="O1621">
            <v>0</v>
          </cell>
          <cell r="P1621">
            <v>0</v>
          </cell>
        </row>
        <row r="1622">
          <cell r="M1622">
            <v>5037</v>
          </cell>
          <cell r="N1622">
            <v>102.309930577931</v>
          </cell>
          <cell r="O1622">
            <v>0</v>
          </cell>
          <cell r="P1622">
            <v>0</v>
          </cell>
        </row>
        <row r="1623">
          <cell r="M1623">
            <v>5038</v>
          </cell>
          <cell r="N1623">
            <v>156.70563430379306</v>
          </cell>
          <cell r="O1623">
            <v>0</v>
          </cell>
          <cell r="P1623">
            <v>0</v>
          </cell>
        </row>
        <row r="1624">
          <cell r="M1624">
            <v>5039</v>
          </cell>
          <cell r="N1624">
            <v>147.21494302827588</v>
          </cell>
          <cell r="O1624">
            <v>0</v>
          </cell>
          <cell r="P1624">
            <v>0</v>
          </cell>
        </row>
        <row r="1625">
          <cell r="M1625">
            <v>5040</v>
          </cell>
          <cell r="N1625">
            <v>57.725117598275858</v>
          </cell>
          <cell r="O1625">
            <v>0</v>
          </cell>
          <cell r="P1625">
            <v>0</v>
          </cell>
        </row>
        <row r="1626">
          <cell r="M1626">
            <v>5041</v>
          </cell>
          <cell r="N1626">
            <v>112.41391074896552</v>
          </cell>
          <cell r="O1626">
            <v>0</v>
          </cell>
          <cell r="P1626">
            <v>0</v>
          </cell>
        </row>
        <row r="1627">
          <cell r="M1627">
            <v>5042</v>
          </cell>
          <cell r="N1627">
            <v>116.84800990034482</v>
          </cell>
          <cell r="O1627">
            <v>0</v>
          </cell>
          <cell r="P1627">
            <v>0</v>
          </cell>
        </row>
        <row r="1628">
          <cell r="M1628">
            <v>5043</v>
          </cell>
          <cell r="N1628">
            <v>32.152880642068972</v>
          </cell>
          <cell r="O1628">
            <v>0</v>
          </cell>
          <cell r="P1628">
            <v>0</v>
          </cell>
        </row>
        <row r="1629">
          <cell r="M1629">
            <v>9001</v>
          </cell>
          <cell r="N1629">
            <v>971.09131583103454</v>
          </cell>
          <cell r="O1629">
            <v>0</v>
          </cell>
          <cell r="P1629">
            <v>0</v>
          </cell>
        </row>
      </sheetData>
      <sheetData sheetId="6">
        <row r="2">
          <cell r="K2" t="str">
            <v>Range_Area wise</v>
          </cell>
          <cell r="T2" t="str">
            <v>Range_Region wise</v>
          </cell>
        </row>
        <row r="8">
          <cell r="B8" t="str">
            <v>Avg. FTM</v>
          </cell>
          <cell r="C8">
            <v>0</v>
          </cell>
          <cell r="E8" t="str">
            <v>Avg. QTR</v>
          </cell>
          <cell r="F8">
            <v>0</v>
          </cell>
          <cell r="H8" t="str">
            <v>Avg. YTD</v>
          </cell>
          <cell r="I8">
            <v>0</v>
          </cell>
          <cell r="L8" t="str">
            <v>Values</v>
          </cell>
          <cell r="U8" t="str">
            <v>Values</v>
          </cell>
        </row>
        <row r="9">
          <cell r="B9" t="str">
            <v>BranchCode</v>
          </cell>
          <cell r="C9" t="str">
            <v>Total</v>
          </cell>
          <cell r="E9" t="str">
            <v>BranchCode</v>
          </cell>
          <cell r="F9" t="str">
            <v>Total</v>
          </cell>
          <cell r="H9" t="str">
            <v>BranchCode</v>
          </cell>
          <cell r="I9" t="str">
            <v>Total</v>
          </cell>
          <cell r="K9" t="str">
            <v>AreaName</v>
          </cell>
          <cell r="L9" t="str">
            <v>Sum of Jan '16</v>
          </cell>
          <cell r="M9" t="str">
            <v>Sum of Q4 '15</v>
          </cell>
          <cell r="N9" t="str">
            <v>Sum of YTD '15</v>
          </cell>
          <cell r="O9" t="str">
            <v>FTM 2016</v>
          </cell>
          <cell r="P9" t="str">
            <v>QTR 2016</v>
          </cell>
          <cell r="Q9" t="str">
            <v>YTD 2016</v>
          </cell>
          <cell r="T9" t="str">
            <v>RegionName</v>
          </cell>
          <cell r="U9" t="str">
            <v>Sum of Jan '16</v>
          </cell>
          <cell r="V9" t="str">
            <v>Sum of Q4 '15</v>
          </cell>
          <cell r="W9" t="str">
            <v>Sum of YTD '15</v>
          </cell>
          <cell r="X9" t="str">
            <v>FTM 2016</v>
          </cell>
          <cell r="Y9" t="str">
            <v>QTR 2016</v>
          </cell>
          <cell r="Z9" t="str">
            <v>YTD 2016</v>
          </cell>
        </row>
        <row r="10">
          <cell r="B10">
            <v>1</v>
          </cell>
          <cell r="C10">
            <v>3517.7162007699999</v>
          </cell>
          <cell r="E10">
            <v>1</v>
          </cell>
          <cell r="F10">
            <v>7534.0566978400011</v>
          </cell>
          <cell r="H10">
            <v>1</v>
          </cell>
          <cell r="I10">
            <v>7534.0566978400011</v>
          </cell>
          <cell r="K10" t="str">
            <v>Abbottabad</v>
          </cell>
          <cell r="L10">
            <v>2383.546028864137</v>
          </cell>
          <cell r="M10">
            <v>2327.6544333160591</v>
          </cell>
          <cell r="N10">
            <v>2110.9661853069451</v>
          </cell>
          <cell r="O10">
            <v>2454.4883720751855</v>
          </cell>
          <cell r="P10">
            <v>2418.5661372801728</v>
          </cell>
          <cell r="Q10">
            <v>2418.5661372801728</v>
          </cell>
          <cell r="T10" t="str">
            <v>BAHAWALPUR</v>
          </cell>
          <cell r="U10">
            <v>12780.305710649654</v>
          </cell>
          <cell r="V10">
            <v>11594.128510722934</v>
          </cell>
          <cell r="W10">
            <v>11094.080012084642</v>
          </cell>
          <cell r="X10">
            <v>13596.765933031113</v>
          </cell>
          <cell r="Y10">
            <v>13199.811804874138</v>
          </cell>
          <cell r="Z10">
            <v>13199.811804874138</v>
          </cell>
        </row>
        <row r="11">
          <cell r="B11">
            <v>2</v>
          </cell>
          <cell r="C11">
            <v>7885.4757895100001</v>
          </cell>
          <cell r="E11">
            <v>2</v>
          </cell>
          <cell r="F11">
            <v>17899.393324659999</v>
          </cell>
          <cell r="H11">
            <v>2</v>
          </cell>
          <cell r="I11">
            <v>17899.393324659999</v>
          </cell>
          <cell r="K11" t="str">
            <v>Abdullahpur</v>
          </cell>
          <cell r="L11">
            <v>1970.5628721841381</v>
          </cell>
          <cell r="M11">
            <v>1989.5092551740217</v>
          </cell>
          <cell r="N11">
            <v>1890.60261954</v>
          </cell>
          <cell r="O11">
            <v>2043.8149364970368</v>
          </cell>
          <cell r="P11">
            <v>2004.8787182986207</v>
          </cell>
          <cell r="Q11">
            <v>2004.8787182986207</v>
          </cell>
          <cell r="T11" t="str">
            <v>FAISALABAD</v>
          </cell>
          <cell r="U11">
            <v>20068.590840840701</v>
          </cell>
          <cell r="V11">
            <v>19581.688815750811</v>
          </cell>
          <cell r="W11">
            <v>18595.29399406015</v>
          </cell>
          <cell r="X11">
            <v>20965.870172991854</v>
          </cell>
          <cell r="Y11">
            <v>20493.080619931381</v>
          </cell>
          <cell r="Z11">
            <v>20493.080619931381</v>
          </cell>
        </row>
        <row r="12">
          <cell r="B12">
            <v>4</v>
          </cell>
          <cell r="C12">
            <v>15900.539712379999</v>
          </cell>
          <cell r="E12">
            <v>4</v>
          </cell>
          <cell r="F12">
            <v>33196.584868720012</v>
          </cell>
          <cell r="H12">
            <v>4</v>
          </cell>
          <cell r="I12">
            <v>33196.584868720012</v>
          </cell>
          <cell r="K12" t="str">
            <v>Attock</v>
          </cell>
          <cell r="L12">
            <v>3003.8700042596552</v>
          </cell>
          <cell r="M12">
            <v>3018.8061169043476</v>
          </cell>
          <cell r="N12">
            <v>2782.8361084000003</v>
          </cell>
          <cell r="O12">
            <v>3166.3547784011112</v>
          </cell>
          <cell r="P12">
            <v>3086.8121652582759</v>
          </cell>
          <cell r="Q12">
            <v>3086.8121652582759</v>
          </cell>
          <cell r="T12" t="str">
            <v>GUJRANWALA</v>
          </cell>
          <cell r="U12">
            <v>16014.271102328967</v>
          </cell>
          <cell r="V12">
            <v>15318.93343309609</v>
          </cell>
          <cell r="W12">
            <v>15118.424402920004</v>
          </cell>
          <cell r="X12">
            <v>16620.679248387038</v>
          </cell>
          <cell r="Y12">
            <v>16294.76983754948</v>
          </cell>
          <cell r="Z12">
            <v>16294.76983754948</v>
          </cell>
        </row>
        <row r="13">
          <cell r="B13">
            <v>8</v>
          </cell>
          <cell r="C13">
            <v>8845.6514133300007</v>
          </cell>
          <cell r="E13">
            <v>8</v>
          </cell>
          <cell r="F13">
            <v>19029.859937639994</v>
          </cell>
          <cell r="H13">
            <v>8</v>
          </cell>
          <cell r="I13">
            <v>19029.859937639994</v>
          </cell>
          <cell r="K13" t="str">
            <v>Badin / Thatta Area</v>
          </cell>
          <cell r="L13">
            <v>1122.8221812148277</v>
          </cell>
          <cell r="M13">
            <v>1017.3102298309782</v>
          </cell>
          <cell r="N13">
            <v>991.8798657000001</v>
          </cell>
          <cell r="O13">
            <v>1128.8489554851849</v>
          </cell>
          <cell r="P13">
            <v>1124.976054445345</v>
          </cell>
          <cell r="Q13">
            <v>1124.976054445345</v>
          </cell>
          <cell r="T13" t="str">
            <v>GUJRAT</v>
          </cell>
          <cell r="U13">
            <v>13253.526201336552</v>
          </cell>
          <cell r="V13">
            <v>12603.555261606536</v>
          </cell>
          <cell r="W13">
            <v>11412.688924442409</v>
          </cell>
          <cell r="X13">
            <v>13750.560398103335</v>
          </cell>
          <cell r="Y13">
            <v>13493.395741287075</v>
          </cell>
          <cell r="Z13">
            <v>13493.395741287075</v>
          </cell>
        </row>
        <row r="14">
          <cell r="B14">
            <v>12</v>
          </cell>
          <cell r="C14">
            <v>20107.146164340003</v>
          </cell>
          <cell r="E14">
            <v>12</v>
          </cell>
          <cell r="F14">
            <v>42098.345132639988</v>
          </cell>
          <cell r="H14">
            <v>12</v>
          </cell>
          <cell r="I14">
            <v>42098.345132639988</v>
          </cell>
          <cell r="K14" t="str">
            <v>Bagh</v>
          </cell>
          <cell r="L14">
            <v>773.4090236327587</v>
          </cell>
          <cell r="M14">
            <v>746.52642813934767</v>
          </cell>
          <cell r="N14">
            <v>676.10740464999992</v>
          </cell>
          <cell r="O14">
            <v>810.05074389222227</v>
          </cell>
          <cell r="P14">
            <v>789.97018135896531</v>
          </cell>
          <cell r="Q14">
            <v>789.97018135896531</v>
          </cell>
          <cell r="T14" t="str">
            <v>HYDERABAD</v>
          </cell>
          <cell r="U14">
            <v>11076.141802620687</v>
          </cell>
          <cell r="V14">
            <v>10568.659508176846</v>
          </cell>
          <cell r="W14">
            <v>10165.626982849997</v>
          </cell>
          <cell r="X14">
            <v>11291.827923825191</v>
          </cell>
          <cell r="Y14">
            <v>11188.634500215172</v>
          </cell>
          <cell r="Z14">
            <v>11188.634500215172</v>
          </cell>
        </row>
        <row r="15">
          <cell r="B15">
            <v>13</v>
          </cell>
          <cell r="C15">
            <v>8472.9705575400003</v>
          </cell>
          <cell r="E15">
            <v>13</v>
          </cell>
          <cell r="F15">
            <v>18021.04570336</v>
          </cell>
          <cell r="H15">
            <v>13</v>
          </cell>
          <cell r="I15">
            <v>18021.04570336</v>
          </cell>
          <cell r="K15" t="str">
            <v>Bank Square Gujranwala</v>
          </cell>
          <cell r="L15">
            <v>3467.0611227396548</v>
          </cell>
          <cell r="M15">
            <v>3269.2325624276082</v>
          </cell>
          <cell r="N15">
            <v>3470.5833412500006</v>
          </cell>
          <cell r="O15">
            <v>3555.453934980741</v>
          </cell>
          <cell r="P15">
            <v>3500.2520029318966</v>
          </cell>
          <cell r="Q15">
            <v>3500.2520029318966</v>
          </cell>
          <cell r="T15" t="str">
            <v>ISLAMABAD</v>
          </cell>
          <cell r="U15">
            <v>55065.342844378589</v>
          </cell>
          <cell r="V15">
            <v>53989.784024952103</v>
          </cell>
          <cell r="W15">
            <v>50165.551101190569</v>
          </cell>
          <cell r="X15">
            <v>56766.648184897429</v>
          </cell>
          <cell r="Y15">
            <v>55901.739391167044</v>
          </cell>
          <cell r="Z15">
            <v>55901.739391167044</v>
          </cell>
        </row>
        <row r="16">
          <cell r="B16">
            <v>14</v>
          </cell>
          <cell r="C16">
            <v>8833.4320840400014</v>
          </cell>
          <cell r="E16">
            <v>14</v>
          </cell>
          <cell r="F16">
            <v>18410.564058019998</v>
          </cell>
          <cell r="H16">
            <v>14</v>
          </cell>
          <cell r="I16">
            <v>18410.564058019998</v>
          </cell>
          <cell r="K16" t="str">
            <v>Banu</v>
          </cell>
          <cell r="L16">
            <v>1972.6731728755174</v>
          </cell>
          <cell r="M16">
            <v>1960.246145873587</v>
          </cell>
          <cell r="N16">
            <v>1774.13382484</v>
          </cell>
          <cell r="O16">
            <v>2006.6461918196298</v>
          </cell>
          <cell r="P16">
            <v>1993.1572391151726</v>
          </cell>
          <cell r="Q16">
            <v>1993.1572391151726</v>
          </cell>
          <cell r="T16" t="str">
            <v>JHELUM</v>
          </cell>
          <cell r="U16">
            <v>8346.2628362255164</v>
          </cell>
          <cell r="V16">
            <v>7854.3734248297797</v>
          </cell>
          <cell r="W16">
            <v>7008.3526365200032</v>
          </cell>
          <cell r="X16">
            <v>8742.2143567251842</v>
          </cell>
          <cell r="Y16">
            <v>8536.8542421396578</v>
          </cell>
          <cell r="Z16">
            <v>8536.8542421396578</v>
          </cell>
        </row>
        <row r="17">
          <cell r="B17">
            <v>15</v>
          </cell>
          <cell r="C17">
            <v>7891.9729722699994</v>
          </cell>
          <cell r="E17">
            <v>15</v>
          </cell>
          <cell r="F17">
            <v>23357.890237220003</v>
          </cell>
          <cell r="H17">
            <v>15</v>
          </cell>
          <cell r="I17">
            <v>23357.890237220003</v>
          </cell>
          <cell r="K17" t="str">
            <v>Bhimber</v>
          </cell>
          <cell r="L17">
            <v>1037.1392738051725</v>
          </cell>
          <cell r="M17">
            <v>1055.1111873627171</v>
          </cell>
          <cell r="N17">
            <v>928.06132787000001</v>
          </cell>
          <cell r="O17">
            <v>1129.0090676744446</v>
          </cell>
          <cell r="P17">
            <v>1080.4389236031036</v>
          </cell>
          <cell r="Q17">
            <v>1080.4389236031036</v>
          </cell>
          <cell r="T17" t="str">
            <v>KARACHI</v>
          </cell>
          <cell r="U17">
            <v>70001.615570994865</v>
          </cell>
          <cell r="V17">
            <v>68080.041251829403</v>
          </cell>
          <cell r="W17">
            <v>66105.814183713301</v>
          </cell>
          <cell r="X17">
            <v>70155.966543655566</v>
          </cell>
          <cell r="Y17">
            <v>70072.930606915717</v>
          </cell>
          <cell r="Z17">
            <v>70072.930606915717</v>
          </cell>
        </row>
        <row r="18">
          <cell r="B18">
            <v>17</v>
          </cell>
          <cell r="C18">
            <v>9838.9014260700005</v>
          </cell>
          <cell r="E18">
            <v>17</v>
          </cell>
          <cell r="F18">
            <v>21025.537708400003</v>
          </cell>
          <cell r="H18">
            <v>17</v>
          </cell>
          <cell r="I18">
            <v>21025.537708400003</v>
          </cell>
          <cell r="K18" t="str">
            <v>Bhoun Chowk Chakwal</v>
          </cell>
          <cell r="L18">
            <v>1341.0203002013798</v>
          </cell>
          <cell r="M18">
            <v>1279.1827200123914</v>
          </cell>
          <cell r="N18">
            <v>1140.3895310200003</v>
          </cell>
          <cell r="O18">
            <v>1391.5131725003703</v>
          </cell>
          <cell r="P18">
            <v>1365.6505490508625</v>
          </cell>
          <cell r="Q18">
            <v>1365.6505490508625</v>
          </cell>
          <cell r="T18" t="str">
            <v>LAHORE</v>
          </cell>
          <cell r="U18">
            <v>51915.804374176216</v>
          </cell>
          <cell r="V18">
            <v>50158.066536519487</v>
          </cell>
          <cell r="W18">
            <v>47401.954713788</v>
          </cell>
          <cell r="X18">
            <v>53896.943683564466</v>
          </cell>
          <cell r="Y18">
            <v>52911.88599640294</v>
          </cell>
          <cell r="Z18">
            <v>52911.88599640294</v>
          </cell>
        </row>
        <row r="19">
          <cell r="B19">
            <v>18</v>
          </cell>
          <cell r="C19">
            <v>9746.19966045</v>
          </cell>
          <cell r="E19">
            <v>18</v>
          </cell>
          <cell r="F19">
            <v>20664.730393170001</v>
          </cell>
          <cell r="H19">
            <v>18</v>
          </cell>
          <cell r="I19">
            <v>20664.730393170001</v>
          </cell>
          <cell r="K19" t="str">
            <v>Buner</v>
          </cell>
          <cell r="L19">
            <v>2906.0175626644827</v>
          </cell>
          <cell r="M19">
            <v>2895.9881247043481</v>
          </cell>
          <cell r="N19">
            <v>2634.4374756899997</v>
          </cell>
          <cell r="O19">
            <v>3029.3603895625924</v>
          </cell>
          <cell r="P19">
            <v>2968.642683045518</v>
          </cell>
          <cell r="Q19">
            <v>2968.642683045518</v>
          </cell>
          <cell r="T19" t="str">
            <v>MARDAN</v>
          </cell>
          <cell r="U19">
            <v>26198.701023497579</v>
          </cell>
          <cell r="V19">
            <v>25343.021598158139</v>
          </cell>
          <cell r="W19">
            <v>23305.517791079987</v>
          </cell>
          <cell r="X19">
            <v>26962.71963270889</v>
          </cell>
          <cell r="Y19">
            <v>26585.917298113622</v>
          </cell>
          <cell r="Z19">
            <v>26585.917298113622</v>
          </cell>
        </row>
        <row r="20">
          <cell r="B20">
            <v>19</v>
          </cell>
          <cell r="C20">
            <v>13636.074972220003</v>
          </cell>
          <cell r="E20">
            <v>19</v>
          </cell>
          <cell r="F20">
            <v>28707.109721190012</v>
          </cell>
          <cell r="H20">
            <v>19</v>
          </cell>
          <cell r="I20">
            <v>28707.109721190012</v>
          </cell>
          <cell r="K20" t="str">
            <v>Burewala Area</v>
          </cell>
          <cell r="L20">
            <v>1184.0061873865516</v>
          </cell>
          <cell r="M20">
            <v>1156.688437224565</v>
          </cell>
          <cell r="N20">
            <v>1078.1620428100002</v>
          </cell>
          <cell r="O20">
            <v>1274.4681423544444</v>
          </cell>
          <cell r="P20">
            <v>1226.2814518086207</v>
          </cell>
          <cell r="Q20">
            <v>1226.2814518086207</v>
          </cell>
          <cell r="T20" t="str">
            <v>MIRPUR</v>
          </cell>
          <cell r="U20">
            <v>8410.6746425593101</v>
          </cell>
          <cell r="V20">
            <v>7986.830925132208</v>
          </cell>
          <cell r="W20">
            <v>7149.5934978846208</v>
          </cell>
          <cell r="X20">
            <v>8922.3669684600009</v>
          </cell>
          <cell r="Y20">
            <v>8651.819595408273</v>
          </cell>
          <cell r="Z20">
            <v>8651.819595408273</v>
          </cell>
        </row>
        <row r="21">
          <cell r="B21">
            <v>20</v>
          </cell>
          <cell r="C21">
            <v>8434.3432025600032</v>
          </cell>
          <cell r="E21">
            <v>20</v>
          </cell>
          <cell r="F21">
            <v>17693.288453360001</v>
          </cell>
          <cell r="H21">
            <v>20</v>
          </cell>
          <cell r="I21">
            <v>17693.288453360001</v>
          </cell>
          <cell r="K21" t="str">
            <v>Cantonment Sialkot</v>
          </cell>
          <cell r="L21">
            <v>1545.9572425906897</v>
          </cell>
          <cell r="M21">
            <v>1522.3721058191306</v>
          </cell>
          <cell r="N21">
            <v>1338.5411521399999</v>
          </cell>
          <cell r="O21">
            <v>1632.3012974599997</v>
          </cell>
          <cell r="P21">
            <v>1587.3337735056896</v>
          </cell>
          <cell r="Q21">
            <v>1587.3337735056896</v>
          </cell>
          <cell r="T21" t="str">
            <v>MULTAN</v>
          </cell>
          <cell r="U21">
            <v>17915.333195002408</v>
          </cell>
          <cell r="V21">
            <v>17271.980951181926</v>
          </cell>
          <cell r="W21">
            <v>16763.033504031559</v>
          </cell>
          <cell r="X21">
            <v>18317.143724129626</v>
          </cell>
          <cell r="Y21">
            <v>18133.941424263274</v>
          </cell>
          <cell r="Z21">
            <v>18133.941424263274</v>
          </cell>
        </row>
        <row r="22">
          <cell r="B22">
            <v>22</v>
          </cell>
          <cell r="C22">
            <v>9869.1272113300001</v>
          </cell>
          <cell r="E22">
            <v>22</v>
          </cell>
          <cell r="F22">
            <v>22245.86577388001</v>
          </cell>
          <cell r="H22">
            <v>22</v>
          </cell>
          <cell r="I22">
            <v>22245.86577388001</v>
          </cell>
          <cell r="K22" t="str">
            <v>Cantt Multan</v>
          </cell>
          <cell r="L22">
            <v>3336.2609744351726</v>
          </cell>
          <cell r="M22">
            <v>3219.0840024209383</v>
          </cell>
          <cell r="N22">
            <v>3165.621466512509</v>
          </cell>
          <cell r="O22">
            <v>3470.4606583577779</v>
          </cell>
          <cell r="P22">
            <v>3399.2829825079311</v>
          </cell>
          <cell r="Q22">
            <v>3399.2829825079311</v>
          </cell>
          <cell r="T22" t="str">
            <v>MUZAFFARABAD</v>
          </cell>
          <cell r="U22">
            <v>4454.6233974758625</v>
          </cell>
          <cell r="V22">
            <v>4092.4681630882606</v>
          </cell>
          <cell r="W22">
            <v>3776.9493691400012</v>
          </cell>
          <cell r="X22">
            <v>4493.2906470407397</v>
          </cell>
          <cell r="Y22">
            <v>4470.8213625168964</v>
          </cell>
          <cell r="Z22">
            <v>4470.8213625168964</v>
          </cell>
        </row>
        <row r="23">
          <cell r="B23">
            <v>24</v>
          </cell>
          <cell r="C23">
            <v>10561.134754849996</v>
          </cell>
          <cell r="E23">
            <v>24</v>
          </cell>
          <cell r="F23">
            <v>21765.305702960002</v>
          </cell>
          <cell r="H23">
            <v>24</v>
          </cell>
          <cell r="I23">
            <v>21765.305702960002</v>
          </cell>
          <cell r="K23" t="str">
            <v>CDA</v>
          </cell>
          <cell r="L23">
            <v>6568.4133141875873</v>
          </cell>
          <cell r="M23">
            <v>7793.7548010144901</v>
          </cell>
          <cell r="N23">
            <v>8169.232301733955</v>
          </cell>
          <cell r="O23">
            <v>5923.4026634562979</v>
          </cell>
          <cell r="P23">
            <v>6253.9959182810326</v>
          </cell>
          <cell r="Q23">
            <v>6253.9959182810326</v>
          </cell>
          <cell r="T23" t="str">
            <v>PESHAWAR</v>
          </cell>
          <cell r="U23">
            <v>22147.964741622414</v>
          </cell>
          <cell r="V23">
            <v>20396.731567944902</v>
          </cell>
          <cell r="W23">
            <v>19963.768491938816</v>
          </cell>
          <cell r="X23">
            <v>23423.20274922741</v>
          </cell>
          <cell r="Y23">
            <v>22765.506379553965</v>
          </cell>
          <cell r="Z23">
            <v>22765.506379553965</v>
          </cell>
        </row>
        <row r="24">
          <cell r="B24">
            <v>25</v>
          </cell>
          <cell r="C24">
            <v>13709.776824949999</v>
          </cell>
          <cell r="E24">
            <v>25</v>
          </cell>
          <cell r="F24">
            <v>28271.537433410005</v>
          </cell>
          <cell r="H24">
            <v>25</v>
          </cell>
          <cell r="I24">
            <v>28271.537433410005</v>
          </cell>
          <cell r="K24" t="str">
            <v>CHAKDARRA</v>
          </cell>
          <cell r="L24">
            <v>2223.4249811606896</v>
          </cell>
          <cell r="M24">
            <v>2184.8150441785865</v>
          </cell>
          <cell r="N24">
            <v>1952.14314848</v>
          </cell>
          <cell r="O24">
            <v>2300.0448264899997</v>
          </cell>
          <cell r="P24">
            <v>2260.9595717667239</v>
          </cell>
          <cell r="Q24">
            <v>2260.9595717667239</v>
          </cell>
          <cell r="T24" t="str">
            <v>QUETTA</v>
          </cell>
          <cell r="U24">
            <v>9947.2724769379311</v>
          </cell>
          <cell r="V24">
            <v>9889.5651509616273</v>
          </cell>
          <cell r="W24">
            <v>9338.7803411900004</v>
          </cell>
          <cell r="X24">
            <v>10006.633331357776</v>
          </cell>
          <cell r="Y24">
            <v>9988.3866790334469</v>
          </cell>
          <cell r="Z24">
            <v>9988.3866790334469</v>
          </cell>
        </row>
        <row r="25">
          <cell r="B25">
            <v>27</v>
          </cell>
          <cell r="C25">
            <v>40518.929525699983</v>
          </cell>
          <cell r="E25">
            <v>27</v>
          </cell>
          <cell r="F25">
            <v>84195.14449390996</v>
          </cell>
          <cell r="H25">
            <v>27</v>
          </cell>
          <cell r="I25">
            <v>84195.14449390996</v>
          </cell>
          <cell r="K25" t="str">
            <v>Chaklala</v>
          </cell>
          <cell r="L25">
            <v>5217.4245945893108</v>
          </cell>
          <cell r="M25">
            <v>5091.3157459681306</v>
          </cell>
          <cell r="N25">
            <v>4858.9643664697014</v>
          </cell>
          <cell r="O25">
            <v>5291.2131643000002</v>
          </cell>
          <cell r="P25">
            <v>5256.5661185025865</v>
          </cell>
          <cell r="Q25">
            <v>5256.5661185025865</v>
          </cell>
          <cell r="T25" t="str">
            <v>SAHIWAL</v>
          </cell>
          <cell r="U25">
            <v>13976.34626157379</v>
          </cell>
          <cell r="V25">
            <v>13779.394917443591</v>
          </cell>
          <cell r="W25">
            <v>13503.067006420004</v>
          </cell>
          <cell r="X25">
            <v>14509.087906774819</v>
          </cell>
          <cell r="Y25">
            <v>14221.493992104832</v>
          </cell>
          <cell r="Z25">
            <v>14221.493992104832</v>
          </cell>
        </row>
        <row r="26">
          <cell r="B26">
            <v>28</v>
          </cell>
          <cell r="C26">
            <v>12642.953507359998</v>
          </cell>
          <cell r="E26">
            <v>28</v>
          </cell>
          <cell r="F26">
            <v>28454.489662839984</v>
          </cell>
          <cell r="H26">
            <v>28</v>
          </cell>
          <cell r="I26">
            <v>28454.489662839984</v>
          </cell>
          <cell r="K26" t="str">
            <v>Chaksawari</v>
          </cell>
          <cell r="L26">
            <v>926.50334968379309</v>
          </cell>
          <cell r="M26">
            <v>932.12932888423916</v>
          </cell>
          <cell r="N26">
            <v>818.61702014999992</v>
          </cell>
          <cell r="O26">
            <v>1017.3973937137037</v>
          </cell>
          <cell r="P26">
            <v>968.41741093482779</v>
          </cell>
          <cell r="Q26">
            <v>968.41741093482779</v>
          </cell>
          <cell r="T26" t="str">
            <v>SARGODHA</v>
          </cell>
          <cell r="U26">
            <v>11327.413010000337</v>
          </cell>
          <cell r="V26">
            <v>10901.101322482389</v>
          </cell>
          <cell r="W26">
            <v>10711.314911299998</v>
          </cell>
          <cell r="X26">
            <v>12069.049248714811</v>
          </cell>
          <cell r="Y26">
            <v>11700.785811906726</v>
          </cell>
          <cell r="Z26">
            <v>11700.785811906726</v>
          </cell>
        </row>
        <row r="27">
          <cell r="B27">
            <v>29</v>
          </cell>
          <cell r="C27">
            <v>7151.9980283799978</v>
          </cell>
          <cell r="E27">
            <v>29</v>
          </cell>
          <cell r="F27">
            <v>14557.843776340003</v>
          </cell>
          <cell r="H27">
            <v>29</v>
          </cell>
          <cell r="I27">
            <v>14557.843776340003</v>
          </cell>
          <cell r="K27" t="str">
            <v>Charsadda</v>
          </cell>
          <cell r="L27">
            <v>1914.647119543793</v>
          </cell>
          <cell r="M27">
            <v>1868.8990281445651</v>
          </cell>
          <cell r="N27">
            <v>1846.93386291</v>
          </cell>
          <cell r="O27">
            <v>1999.0454983307409</v>
          </cell>
          <cell r="P27">
            <v>1957.7435679775863</v>
          </cell>
          <cell r="Q27">
            <v>1957.7435679775863</v>
          </cell>
          <cell r="T27" t="str">
            <v>SIALKOT</v>
          </cell>
          <cell r="U27">
            <v>12928.218313661728</v>
          </cell>
          <cell r="V27">
            <v>12218.195088030439</v>
          </cell>
          <cell r="W27">
            <v>11616.447272078765</v>
          </cell>
          <cell r="X27">
            <v>13523.446029733337</v>
          </cell>
          <cell r="Y27">
            <v>13216.627877096385</v>
          </cell>
          <cell r="Z27">
            <v>13216.627877096385</v>
          </cell>
        </row>
        <row r="28">
          <cell r="B28">
            <v>31</v>
          </cell>
          <cell r="C28">
            <v>7755.6272244500005</v>
          </cell>
          <cell r="E28">
            <v>31</v>
          </cell>
          <cell r="F28">
            <v>16632.727642850001</v>
          </cell>
          <cell r="H28">
            <v>31</v>
          </cell>
          <cell r="I28">
            <v>16632.727642850001</v>
          </cell>
          <cell r="K28" t="str">
            <v>Chichawatni Mianchannu Area</v>
          </cell>
          <cell r="L28">
            <v>2110.2669652024138</v>
          </cell>
          <cell r="M28">
            <v>2088.0215175677172</v>
          </cell>
          <cell r="N28">
            <v>2014.7641971</v>
          </cell>
          <cell r="O28">
            <v>2166.1540216629628</v>
          </cell>
          <cell r="P28">
            <v>2136.4193834101725</v>
          </cell>
          <cell r="Q28">
            <v>2136.4193834101725</v>
          </cell>
          <cell r="T28" t="str">
            <v>SUKKUR</v>
          </cell>
          <cell r="U28">
            <v>6823.4646377544796</v>
          </cell>
          <cell r="V28">
            <v>6420.0128670725007</v>
          </cell>
          <cell r="W28">
            <v>6377.0095917100007</v>
          </cell>
          <cell r="X28">
            <v>6985.4227452485184</v>
          </cell>
          <cell r="Y28">
            <v>6906.9779348005159</v>
          </cell>
          <cell r="Z28">
            <v>6906.9779348005159</v>
          </cell>
        </row>
        <row r="29">
          <cell r="B29">
            <v>34</v>
          </cell>
          <cell r="C29">
            <v>7913.9506216499958</v>
          </cell>
          <cell r="E29">
            <v>34</v>
          </cell>
          <cell r="F29">
            <v>16531.905084850012</v>
          </cell>
          <cell r="H29">
            <v>34</v>
          </cell>
          <cell r="I29">
            <v>16531.905084850012</v>
          </cell>
          <cell r="K29" t="str">
            <v>Chitral</v>
          </cell>
          <cell r="L29">
            <v>573.59617909241388</v>
          </cell>
          <cell r="M29">
            <v>488.11606452076092</v>
          </cell>
          <cell r="N29">
            <v>399.88741684999997</v>
          </cell>
          <cell r="O29">
            <v>598.75186244592589</v>
          </cell>
          <cell r="P29">
            <v>586.68810736586227</v>
          </cell>
          <cell r="Q29">
            <v>586.68810736586227</v>
          </cell>
          <cell r="T29" t="str">
            <v>Grand Total</v>
          </cell>
          <cell r="U29">
            <v>392651.87298363756</v>
          </cell>
          <cell r="V29">
            <v>378048.5333189799</v>
          </cell>
          <cell r="W29">
            <v>359573.2687283429</v>
          </cell>
          <cell r="X29">
            <v>404999.83942857716</v>
          </cell>
          <cell r="Y29">
            <v>398735.38109528064</v>
          </cell>
          <cell r="Z29">
            <v>398735.38109528064</v>
          </cell>
        </row>
        <row r="30">
          <cell r="B30">
            <v>39</v>
          </cell>
          <cell r="C30">
            <v>5140.7837779899992</v>
          </cell>
          <cell r="E30">
            <v>39</v>
          </cell>
          <cell r="F30">
            <v>10755.264012290001</v>
          </cell>
          <cell r="H30">
            <v>39</v>
          </cell>
          <cell r="I30">
            <v>10755.264012290001</v>
          </cell>
          <cell r="K30" t="str">
            <v>Circular Road - Sialkot</v>
          </cell>
          <cell r="L30">
            <v>2446.2687161658619</v>
          </cell>
          <cell r="M30">
            <v>2278.1476505786959</v>
          </cell>
          <cell r="N30">
            <v>2185.1583638500001</v>
          </cell>
          <cell r="O30">
            <v>2508.0439903474075</v>
          </cell>
          <cell r="P30">
            <v>2475.3183800094826</v>
          </cell>
          <cell r="Q30">
            <v>2475.3183800094826</v>
          </cell>
        </row>
        <row r="31">
          <cell r="B31">
            <v>40</v>
          </cell>
          <cell r="C31">
            <v>12692.352491260002</v>
          </cell>
          <cell r="E31">
            <v>40</v>
          </cell>
          <cell r="F31">
            <v>26811.543252539999</v>
          </cell>
          <cell r="H31">
            <v>40</v>
          </cell>
          <cell r="I31">
            <v>26811.543252539999</v>
          </cell>
          <cell r="K31" t="str">
            <v>Complex</v>
          </cell>
          <cell r="L31">
            <v>2770.1465571482754</v>
          </cell>
          <cell r="M31">
            <v>2978.8213707626091</v>
          </cell>
          <cell r="N31">
            <v>2929.8928583100001</v>
          </cell>
          <cell r="O31">
            <v>2801.0988815822225</v>
          </cell>
          <cell r="P31">
            <v>2792.3670201148284</v>
          </cell>
          <cell r="Q31">
            <v>2792.3670201148284</v>
          </cell>
        </row>
        <row r="32">
          <cell r="B32">
            <v>42</v>
          </cell>
          <cell r="C32">
            <v>93504.158675489991</v>
          </cell>
          <cell r="E32">
            <v>42</v>
          </cell>
          <cell r="F32">
            <v>217733.25144117002</v>
          </cell>
          <cell r="H32">
            <v>42</v>
          </cell>
          <cell r="I32">
            <v>217733.25144117002</v>
          </cell>
          <cell r="K32" t="str">
            <v>D.I. Khan</v>
          </cell>
          <cell r="L32">
            <v>3129.4244187927584</v>
          </cell>
          <cell r="M32">
            <v>3006.3869405489131</v>
          </cell>
          <cell r="N32">
            <v>3063.3256753799997</v>
          </cell>
          <cell r="O32">
            <v>3429.4287970281489</v>
          </cell>
          <cell r="P32">
            <v>3282.4501369263789</v>
          </cell>
          <cell r="Q32">
            <v>3282.4501369263789</v>
          </cell>
        </row>
        <row r="33">
          <cell r="B33">
            <v>43</v>
          </cell>
          <cell r="C33">
            <v>18074.805090920003</v>
          </cell>
          <cell r="E33">
            <v>43</v>
          </cell>
          <cell r="F33">
            <v>40096.305849440003</v>
          </cell>
          <cell r="H33">
            <v>43</v>
          </cell>
          <cell r="I33">
            <v>40096.305849440003</v>
          </cell>
          <cell r="K33" t="str">
            <v>DADU</v>
          </cell>
          <cell r="L33">
            <v>932.66974960689663</v>
          </cell>
          <cell r="M33">
            <v>934.15374871065228</v>
          </cell>
          <cell r="N33">
            <v>883.60431623000011</v>
          </cell>
          <cell r="O33">
            <v>935.34746646370365</v>
          </cell>
          <cell r="P33">
            <v>934.89328574551735</v>
          </cell>
          <cell r="Q33">
            <v>934.89328574551735</v>
          </cell>
        </row>
        <row r="34">
          <cell r="B34">
            <v>44</v>
          </cell>
          <cell r="C34">
            <v>7403.5359193799995</v>
          </cell>
          <cell r="E34">
            <v>44</v>
          </cell>
          <cell r="F34">
            <v>15529.914130789995</v>
          </cell>
          <cell r="H34">
            <v>44</v>
          </cell>
          <cell r="I34">
            <v>15529.914130789995</v>
          </cell>
          <cell r="K34" t="str">
            <v>Dadyal</v>
          </cell>
          <cell r="L34">
            <v>1192.1403693072411</v>
          </cell>
          <cell r="M34">
            <v>1155.8153702707609</v>
          </cell>
          <cell r="N34">
            <v>1035.2506350399999</v>
          </cell>
          <cell r="O34">
            <v>1390.8258516177777</v>
          </cell>
          <cell r="P34">
            <v>1288.6985635246549</v>
          </cell>
          <cell r="Q34">
            <v>1288.6985635246549</v>
          </cell>
        </row>
        <row r="35">
          <cell r="B35">
            <v>45</v>
          </cell>
          <cell r="C35">
            <v>4546.2210446199997</v>
          </cell>
          <cell r="E35">
            <v>45</v>
          </cell>
          <cell r="F35">
            <v>9140.6518495600012</v>
          </cell>
          <cell r="H35">
            <v>45</v>
          </cell>
          <cell r="I35">
            <v>9140.6518495600012</v>
          </cell>
          <cell r="K35" t="str">
            <v>Dargai</v>
          </cell>
          <cell r="L35">
            <v>1768.5125790651723</v>
          </cell>
          <cell r="M35">
            <v>1694.5388451584784</v>
          </cell>
          <cell r="N35">
            <v>1512.0857500599998</v>
          </cell>
          <cell r="O35">
            <v>1774.9744053707409</v>
          </cell>
          <cell r="P35">
            <v>1773.3186413882763</v>
          </cell>
          <cell r="Q35">
            <v>1773.3186413882763</v>
          </cell>
        </row>
        <row r="36">
          <cell r="B36">
            <v>47</v>
          </cell>
          <cell r="C36">
            <v>34048.08105791999</v>
          </cell>
          <cell r="E36">
            <v>47</v>
          </cell>
          <cell r="F36">
            <v>71141.242471100035</v>
          </cell>
          <cell r="H36">
            <v>47</v>
          </cell>
          <cell r="I36">
            <v>71141.242471100035</v>
          </cell>
          <cell r="K36" t="str">
            <v>Daska</v>
          </cell>
          <cell r="L36">
            <v>1145.5116151631037</v>
          </cell>
          <cell r="M36">
            <v>1109.5166729909783</v>
          </cell>
          <cell r="N36">
            <v>1050.1338111800001</v>
          </cell>
          <cell r="O36">
            <v>1189.6851183355554</v>
          </cell>
          <cell r="P36">
            <v>1166.8662563322412</v>
          </cell>
          <cell r="Q36">
            <v>1166.8662563322412</v>
          </cell>
        </row>
        <row r="37">
          <cell r="B37">
            <v>50</v>
          </cell>
          <cell r="C37">
            <v>11366.37197063</v>
          </cell>
          <cell r="E37">
            <v>50</v>
          </cell>
          <cell r="F37">
            <v>23775.979352220013</v>
          </cell>
          <cell r="H37">
            <v>50</v>
          </cell>
          <cell r="I37">
            <v>23775.979352220013</v>
          </cell>
          <cell r="K37" t="str">
            <v>Defence Housing Society (DHS)</v>
          </cell>
          <cell r="L37">
            <v>3966.7396037658623</v>
          </cell>
          <cell r="M37">
            <v>4132.9054067441712</v>
          </cell>
          <cell r="N37">
            <v>3936.9336096861521</v>
          </cell>
          <cell r="O37">
            <v>4112.2303225970381</v>
          </cell>
          <cell r="P37">
            <v>4035.1845474749994</v>
          </cell>
          <cell r="Q37">
            <v>4035.1845474749994</v>
          </cell>
        </row>
        <row r="38">
          <cell r="B38">
            <v>51</v>
          </cell>
          <cell r="C38">
            <v>9757.1337868999999</v>
          </cell>
          <cell r="E38">
            <v>51</v>
          </cell>
          <cell r="F38">
            <v>21198.829602000005</v>
          </cell>
          <cell r="H38">
            <v>51</v>
          </cell>
          <cell r="I38">
            <v>21198.829602000005</v>
          </cell>
          <cell r="K38" t="str">
            <v>DHA</v>
          </cell>
          <cell r="L38">
            <v>4451.752288145517</v>
          </cell>
          <cell r="M38">
            <v>4127.5493584807709</v>
          </cell>
          <cell r="N38">
            <v>3737.3164328081202</v>
          </cell>
          <cell r="O38">
            <v>4773.6152642366669</v>
          </cell>
          <cell r="P38">
            <v>4608.561044851208</v>
          </cell>
          <cell r="Q38">
            <v>4608.561044851208</v>
          </cell>
        </row>
        <row r="39">
          <cell r="B39">
            <v>53</v>
          </cell>
          <cell r="C39">
            <v>8565.0883213399975</v>
          </cell>
          <cell r="E39">
            <v>53</v>
          </cell>
          <cell r="F39">
            <v>17880.837307540001</v>
          </cell>
          <cell r="H39">
            <v>53</v>
          </cell>
          <cell r="I39">
            <v>17880.837307540001</v>
          </cell>
          <cell r="K39" t="str">
            <v>Dina</v>
          </cell>
          <cell r="L39">
            <v>1343.8608525851723</v>
          </cell>
          <cell r="M39">
            <v>1245.205848148478</v>
          </cell>
          <cell r="N39">
            <v>1150.6812933599999</v>
          </cell>
          <cell r="O39">
            <v>1395.9460143485185</v>
          </cell>
          <cell r="P39">
            <v>1370.0331483727591</v>
          </cell>
          <cell r="Q39">
            <v>1370.0331483727591</v>
          </cell>
        </row>
        <row r="40">
          <cell r="B40">
            <v>56</v>
          </cell>
          <cell r="C40">
            <v>20559.877605450005</v>
          </cell>
          <cell r="E40">
            <v>56</v>
          </cell>
          <cell r="F40">
            <v>43886.293337330004</v>
          </cell>
          <cell r="H40">
            <v>56</v>
          </cell>
          <cell r="I40">
            <v>43886.293337330004</v>
          </cell>
          <cell r="K40" t="str">
            <v>F.B. Area</v>
          </cell>
          <cell r="L40">
            <v>2794.7977902241373</v>
          </cell>
          <cell r="M40">
            <v>2679.5581318457607</v>
          </cell>
          <cell r="N40">
            <v>2703.8175981699997</v>
          </cell>
          <cell r="O40">
            <v>2927.5670088037041</v>
          </cell>
          <cell r="P40">
            <v>2856.1674807765521</v>
          </cell>
          <cell r="Q40">
            <v>2856.1674807765521</v>
          </cell>
        </row>
        <row r="41">
          <cell r="B41">
            <v>57</v>
          </cell>
          <cell r="C41">
            <v>13705.765607670006</v>
          </cell>
          <cell r="E41">
            <v>57</v>
          </cell>
          <cell r="F41">
            <v>28260.152946080008</v>
          </cell>
          <cell r="H41">
            <v>57</v>
          </cell>
          <cell r="I41">
            <v>28260.152946080008</v>
          </cell>
          <cell r="K41" t="str">
            <v>F.F.C. MIRPUR MATHELO</v>
          </cell>
          <cell r="L41">
            <v>1310.4379714124138</v>
          </cell>
          <cell r="M41">
            <v>1070.7200005550001</v>
          </cell>
          <cell r="N41">
            <v>1139.03452838</v>
          </cell>
          <cell r="O41">
            <v>1397.664312562963</v>
          </cell>
          <cell r="P41">
            <v>1349.0176713306896</v>
          </cell>
          <cell r="Q41">
            <v>1349.0176713306896</v>
          </cell>
        </row>
        <row r="42">
          <cell r="B42">
            <v>58</v>
          </cell>
          <cell r="C42">
            <v>6720.7975599700003</v>
          </cell>
          <cell r="E42">
            <v>58</v>
          </cell>
          <cell r="F42">
            <v>14003.588407469997</v>
          </cell>
          <cell r="H42">
            <v>58</v>
          </cell>
          <cell r="I42">
            <v>14003.588407469997</v>
          </cell>
          <cell r="K42" t="str">
            <v>F-7</v>
          </cell>
          <cell r="L42">
            <v>7727.2030275655161</v>
          </cell>
          <cell r="M42">
            <v>7049.9070473834618</v>
          </cell>
          <cell r="N42">
            <v>5060.4097406264809</v>
          </cell>
          <cell r="O42">
            <v>8032.3419663681489</v>
          </cell>
          <cell r="P42">
            <v>7879.8083037544839</v>
          </cell>
          <cell r="Q42">
            <v>7879.8083037544839</v>
          </cell>
        </row>
        <row r="43">
          <cell r="B43">
            <v>59</v>
          </cell>
          <cell r="C43">
            <v>15042.213353679999</v>
          </cell>
          <cell r="E43">
            <v>59</v>
          </cell>
          <cell r="F43">
            <v>29573.656506150004</v>
          </cell>
          <cell r="H43">
            <v>59</v>
          </cell>
          <cell r="I43">
            <v>29573.656506150004</v>
          </cell>
          <cell r="K43" t="str">
            <v>Farid Gate</v>
          </cell>
          <cell r="L43">
            <v>2287.603673133448</v>
          </cell>
          <cell r="M43">
            <v>2065.0244722493439</v>
          </cell>
          <cell r="N43">
            <v>1988.4617994246416</v>
          </cell>
          <cell r="O43">
            <v>2286.3337171348148</v>
          </cell>
          <cell r="P43">
            <v>2295.5082573008622</v>
          </cell>
          <cell r="Q43">
            <v>2295.5082573008622</v>
          </cell>
        </row>
        <row r="44">
          <cell r="B44">
            <v>62</v>
          </cell>
          <cell r="C44">
            <v>13354.29039647</v>
          </cell>
          <cell r="E44">
            <v>62</v>
          </cell>
          <cell r="F44">
            <v>27598.312386010006</v>
          </cell>
          <cell r="H44">
            <v>62</v>
          </cell>
          <cell r="I44">
            <v>27598.312386010006</v>
          </cell>
          <cell r="K44" t="str">
            <v>G T Road Lalamusa Area</v>
          </cell>
          <cell r="L44">
            <v>1578.6548829555175</v>
          </cell>
          <cell r="M44">
            <v>1559.5342001221738</v>
          </cell>
          <cell r="N44">
            <v>1374.90237404</v>
          </cell>
          <cell r="O44">
            <v>1652.6100445996299</v>
          </cell>
          <cell r="P44">
            <v>1612.9969794944832</v>
          </cell>
          <cell r="Q44">
            <v>1612.9969794944832</v>
          </cell>
        </row>
        <row r="45">
          <cell r="B45">
            <v>63</v>
          </cell>
          <cell r="C45">
            <v>8554.8689166799977</v>
          </cell>
          <cell r="E45">
            <v>63</v>
          </cell>
          <cell r="F45">
            <v>18032.598391670002</v>
          </cell>
          <cell r="H45">
            <v>63</v>
          </cell>
          <cell r="I45">
            <v>18032.598391670002</v>
          </cell>
          <cell r="K45" t="str">
            <v>G.T. Road Gujar Khan</v>
          </cell>
          <cell r="L45">
            <v>1014.1188029137933</v>
          </cell>
          <cell r="M45">
            <v>941.01842435749995</v>
          </cell>
          <cell r="N45">
            <v>861.4038866799998</v>
          </cell>
          <cell r="O45">
            <v>1061.5521811751851</v>
          </cell>
          <cell r="P45">
            <v>1036.6714367422412</v>
          </cell>
          <cell r="Q45">
            <v>1036.6714367422412</v>
          </cell>
        </row>
        <row r="46">
          <cell r="B46">
            <v>64</v>
          </cell>
          <cell r="C46">
            <v>11116.433409970003</v>
          </cell>
          <cell r="E46">
            <v>64</v>
          </cell>
          <cell r="F46">
            <v>23715.807473279994</v>
          </cell>
          <cell r="H46">
            <v>64</v>
          </cell>
          <cell r="I46">
            <v>23715.807473279994</v>
          </cell>
          <cell r="K46" t="str">
            <v>Garden</v>
          </cell>
          <cell r="L46">
            <v>2571.6844620062066</v>
          </cell>
          <cell r="M46">
            <v>2492.9224470808695</v>
          </cell>
          <cell r="N46">
            <v>2653.14706308</v>
          </cell>
          <cell r="O46">
            <v>2682.6794118785187</v>
          </cell>
          <cell r="P46">
            <v>2624.6015580696553</v>
          </cell>
          <cell r="Q46">
            <v>2624.6015580696553</v>
          </cell>
        </row>
        <row r="47">
          <cell r="B47">
            <v>65</v>
          </cell>
          <cell r="C47">
            <v>21233.494266410005</v>
          </cell>
          <cell r="E47">
            <v>65</v>
          </cell>
          <cell r="F47">
            <v>44550.186822119998</v>
          </cell>
          <cell r="H47">
            <v>65</v>
          </cell>
          <cell r="I47">
            <v>44550.186822119998</v>
          </cell>
          <cell r="K47" t="str">
            <v>Gilgit</v>
          </cell>
          <cell r="L47">
            <v>958.630179950345</v>
          </cell>
          <cell r="M47">
            <v>555.66942054086962</v>
          </cell>
          <cell r="N47">
            <v>432.76677670000009</v>
          </cell>
          <cell r="O47">
            <v>846.32043313222221</v>
          </cell>
          <cell r="P47">
            <v>904.40574565327586</v>
          </cell>
          <cell r="Q47">
            <v>904.40574565327586</v>
          </cell>
        </row>
        <row r="48">
          <cell r="B48">
            <v>66</v>
          </cell>
          <cell r="C48">
            <v>1275.67314149</v>
          </cell>
          <cell r="E48">
            <v>66</v>
          </cell>
          <cell r="F48">
            <v>3102.2125687200005</v>
          </cell>
          <cell r="H48">
            <v>66</v>
          </cell>
          <cell r="I48">
            <v>3102.2125687200005</v>
          </cell>
          <cell r="K48" t="str">
            <v>GILWALA AREA</v>
          </cell>
          <cell r="L48">
            <v>1714.5366571575864</v>
          </cell>
          <cell r="M48">
            <v>1593.9494795758694</v>
          </cell>
          <cell r="N48">
            <v>1682.8532404700002</v>
          </cell>
          <cell r="O48">
            <v>1803.1997662888887</v>
          </cell>
          <cell r="P48">
            <v>1758.2333106446554</v>
          </cell>
          <cell r="Q48">
            <v>1758.2333106446554</v>
          </cell>
        </row>
        <row r="49">
          <cell r="B49">
            <v>67</v>
          </cell>
          <cell r="C49">
            <v>8117.1834983300005</v>
          </cell>
          <cell r="E49">
            <v>67</v>
          </cell>
          <cell r="F49">
            <v>17122.14505073</v>
          </cell>
          <cell r="H49">
            <v>67</v>
          </cell>
          <cell r="I49">
            <v>17122.14505073</v>
          </cell>
          <cell r="K49" t="str">
            <v>Gm Chishtian</v>
          </cell>
          <cell r="L49">
            <v>1608.6945683548274</v>
          </cell>
          <cell r="M49">
            <v>1566.8342909676085</v>
          </cell>
          <cell r="N49">
            <v>1511.0519220900001</v>
          </cell>
          <cell r="O49">
            <v>1695.2592175803702</v>
          </cell>
          <cell r="P49">
            <v>1655.7095327634481</v>
          </cell>
          <cell r="Q49">
            <v>1655.7095327634481</v>
          </cell>
        </row>
        <row r="50">
          <cell r="B50">
            <v>68</v>
          </cell>
          <cell r="C50">
            <v>11297.966918750002</v>
          </cell>
          <cell r="E50">
            <v>68</v>
          </cell>
          <cell r="F50">
            <v>24810.30516231</v>
          </cell>
          <cell r="H50">
            <v>68</v>
          </cell>
          <cell r="I50">
            <v>24810.30516231</v>
          </cell>
          <cell r="K50" t="str">
            <v>Gole Cloth Market</v>
          </cell>
          <cell r="L50">
            <v>3064.430370184828</v>
          </cell>
          <cell r="M50">
            <v>3185.9930677873913</v>
          </cell>
          <cell r="N50">
            <v>3078.0303803699999</v>
          </cell>
          <cell r="O50">
            <v>3043.3378779137038</v>
          </cell>
          <cell r="P50">
            <v>3054.8861500681028</v>
          </cell>
          <cell r="Q50">
            <v>3054.8861500681028</v>
          </cell>
        </row>
        <row r="51">
          <cell r="B51">
            <v>69</v>
          </cell>
          <cell r="C51">
            <v>2427.8634406899996</v>
          </cell>
          <cell r="E51">
            <v>69</v>
          </cell>
          <cell r="F51">
            <v>5045.5951172299992</v>
          </cell>
          <cell r="H51">
            <v>69</v>
          </cell>
          <cell r="I51">
            <v>5045.5951172299992</v>
          </cell>
          <cell r="K51" t="str">
            <v>Grain Market Hafizabad</v>
          </cell>
          <cell r="L51">
            <v>1814.0103401820691</v>
          </cell>
          <cell r="M51">
            <v>1707.6723865824999</v>
          </cell>
          <cell r="N51">
            <v>1680.5573419100001</v>
          </cell>
          <cell r="O51">
            <v>1826.3590013811106</v>
          </cell>
          <cell r="P51">
            <v>1818.251469803276</v>
          </cell>
          <cell r="Q51">
            <v>1818.251469803276</v>
          </cell>
        </row>
        <row r="52">
          <cell r="B52">
            <v>70</v>
          </cell>
          <cell r="C52">
            <v>7721.2730241099989</v>
          </cell>
          <cell r="E52">
            <v>70</v>
          </cell>
          <cell r="F52">
            <v>16612.126299270003</v>
          </cell>
          <cell r="H52">
            <v>70</v>
          </cell>
          <cell r="I52">
            <v>16612.126299270003</v>
          </cell>
          <cell r="K52" t="str">
            <v>Gujrat City Area</v>
          </cell>
          <cell r="L52">
            <v>2282.4141246182758</v>
          </cell>
          <cell r="M52">
            <v>2145.2142200608273</v>
          </cell>
          <cell r="N52">
            <v>1988.2236659126827</v>
          </cell>
          <cell r="O52">
            <v>2304.6430306722223</v>
          </cell>
          <cell r="P52">
            <v>2292.4778795903449</v>
          </cell>
          <cell r="Q52">
            <v>2292.4778795903449</v>
          </cell>
        </row>
        <row r="53">
          <cell r="B53">
            <v>71</v>
          </cell>
          <cell r="C53">
            <v>7184.3705640499993</v>
          </cell>
          <cell r="E53">
            <v>71</v>
          </cell>
          <cell r="F53">
            <v>14973.174519440001</v>
          </cell>
          <cell r="H53">
            <v>71</v>
          </cell>
          <cell r="I53">
            <v>14973.174519440001</v>
          </cell>
          <cell r="K53" t="str">
            <v>Gulshan</v>
          </cell>
          <cell r="L53">
            <v>4100.0191883634488</v>
          </cell>
          <cell r="M53">
            <v>3946.2171223771734</v>
          </cell>
          <cell r="N53">
            <v>3764.9113543699996</v>
          </cell>
          <cell r="O53">
            <v>4413.2642296840741</v>
          </cell>
          <cell r="P53">
            <v>4251.5712859522409</v>
          </cell>
          <cell r="Q53">
            <v>4251.5712859522409</v>
          </cell>
        </row>
        <row r="54">
          <cell r="B54">
            <v>72</v>
          </cell>
          <cell r="C54">
            <v>27432.083070500001</v>
          </cell>
          <cell r="E54">
            <v>72</v>
          </cell>
          <cell r="F54">
            <v>56123.123096939991</v>
          </cell>
          <cell r="H54">
            <v>72</v>
          </cell>
          <cell r="I54">
            <v>56123.123096939991</v>
          </cell>
          <cell r="K54" t="str">
            <v>Hangu</v>
          </cell>
          <cell r="L54">
            <v>354.51775083758622</v>
          </cell>
          <cell r="M54">
            <v>341.26827218695655</v>
          </cell>
          <cell r="N54">
            <v>323.08428484999996</v>
          </cell>
          <cell r="O54">
            <v>404.66341259407398</v>
          </cell>
          <cell r="P54">
            <v>379.53477728534483</v>
          </cell>
          <cell r="Q54">
            <v>379.53477728534483</v>
          </cell>
        </row>
        <row r="55">
          <cell r="B55">
            <v>73</v>
          </cell>
          <cell r="C55">
            <v>10012.345604780001</v>
          </cell>
          <cell r="E55">
            <v>73</v>
          </cell>
          <cell r="F55">
            <v>21451.851735500004</v>
          </cell>
          <cell r="H55">
            <v>73</v>
          </cell>
          <cell r="I55">
            <v>21451.851735500004</v>
          </cell>
          <cell r="K55" t="str">
            <v>Hasilpur</v>
          </cell>
          <cell r="L55">
            <v>1598.3798951341378</v>
          </cell>
          <cell r="M55">
            <v>1527.8581898858702</v>
          </cell>
          <cell r="N55">
            <v>1405.1409603099999</v>
          </cell>
          <cell r="O55">
            <v>1598.3801437603704</v>
          </cell>
          <cell r="P55">
            <v>1594.8328448555169</v>
          </cell>
          <cell r="Q55">
            <v>1594.8328448555169</v>
          </cell>
        </row>
        <row r="56">
          <cell r="B56">
            <v>74</v>
          </cell>
          <cell r="C56">
            <v>5210.7931459300007</v>
          </cell>
          <cell r="E56">
            <v>74</v>
          </cell>
          <cell r="F56">
            <v>9127.6470204000016</v>
          </cell>
          <cell r="H56">
            <v>74</v>
          </cell>
          <cell r="I56">
            <v>9127.6470204000016</v>
          </cell>
          <cell r="K56" t="str">
            <v>Hussain Agahi Multan</v>
          </cell>
          <cell r="L56">
            <v>3945.5548122103442</v>
          </cell>
          <cell r="M56">
            <v>3844.1222475914133</v>
          </cell>
          <cell r="N56">
            <v>3703.3321438790376</v>
          </cell>
          <cell r="O56">
            <v>4067.9363098196291</v>
          </cell>
          <cell r="P56">
            <v>4009.882511352931</v>
          </cell>
          <cell r="Q56">
            <v>4009.882511352931</v>
          </cell>
        </row>
        <row r="57">
          <cell r="B57">
            <v>75</v>
          </cell>
          <cell r="C57">
            <v>5773.6512425200008</v>
          </cell>
          <cell r="E57">
            <v>75</v>
          </cell>
          <cell r="F57">
            <v>12554.385920089988</v>
          </cell>
          <cell r="H57">
            <v>75</v>
          </cell>
          <cell r="I57">
            <v>12554.385920089988</v>
          </cell>
          <cell r="K57" t="str">
            <v>Hyderabad City Area</v>
          </cell>
          <cell r="L57">
            <v>2656.7262292503451</v>
          </cell>
          <cell r="M57">
            <v>2534.6820768532612</v>
          </cell>
          <cell r="N57">
            <v>2578.7699990999999</v>
          </cell>
          <cell r="O57">
            <v>2923.1823613362967</v>
          </cell>
          <cell r="P57">
            <v>2789.5488839872419</v>
          </cell>
          <cell r="Q57">
            <v>2789.5488839872419</v>
          </cell>
        </row>
        <row r="58">
          <cell r="B58">
            <v>76</v>
          </cell>
          <cell r="C58">
            <v>10673.572791340002</v>
          </cell>
          <cell r="E58">
            <v>76</v>
          </cell>
          <cell r="F58">
            <v>24415.526609870001</v>
          </cell>
          <cell r="H58">
            <v>76</v>
          </cell>
          <cell r="I58">
            <v>24415.526609870001</v>
          </cell>
          <cell r="K58" t="str">
            <v>Independent Branch</v>
          </cell>
          <cell r="L58">
            <v>4130.3371688151728</v>
          </cell>
          <cell r="M58">
            <v>4636.7708936799991</v>
          </cell>
          <cell r="N58">
            <v>4711.4266655100009</v>
          </cell>
          <cell r="O58">
            <v>3463.1169879811109</v>
          </cell>
          <cell r="P58">
            <v>3754.0215765718972</v>
          </cell>
          <cell r="Q58">
            <v>3754.0215765718972</v>
          </cell>
        </row>
        <row r="59">
          <cell r="B59">
            <v>77</v>
          </cell>
          <cell r="C59">
            <v>3426.9950265899997</v>
          </cell>
          <cell r="E59">
            <v>77</v>
          </cell>
          <cell r="F59">
            <v>6738.6835564400008</v>
          </cell>
          <cell r="H59">
            <v>77</v>
          </cell>
          <cell r="I59">
            <v>6738.6835564400008</v>
          </cell>
          <cell r="K59" t="str">
            <v>Independent_Branch</v>
          </cell>
          <cell r="L59">
            <v>971.09131583103454</v>
          </cell>
          <cell r="M59">
            <v>1249.7797745999999</v>
          </cell>
          <cell r="N59">
            <v>1409.1086129799999</v>
          </cell>
          <cell r="O59">
            <v>844.97423764518533</v>
          </cell>
          <cell r="P59">
            <v>909.10349724448281</v>
          </cell>
          <cell r="Q59">
            <v>909.10349724448281</v>
          </cell>
        </row>
        <row r="60">
          <cell r="B60">
            <v>78</v>
          </cell>
          <cell r="C60">
            <v>12613.714626389999</v>
          </cell>
          <cell r="E60">
            <v>78</v>
          </cell>
          <cell r="F60">
            <v>28374.95844788001</v>
          </cell>
          <cell r="H60">
            <v>78</v>
          </cell>
          <cell r="I60">
            <v>28374.95844788001</v>
          </cell>
          <cell r="K60" t="str">
            <v>Independent-Branch</v>
          </cell>
          <cell r="L60">
            <v>450.70577274655176</v>
          </cell>
          <cell r="M60">
            <v>632.92493949103141</v>
          </cell>
          <cell r="N60">
            <v>643.08956721006041</v>
          </cell>
          <cell r="O60">
            <v>436.90358360259268</v>
          </cell>
          <cell r="P60">
            <v>443.94527886965557</v>
          </cell>
          <cell r="Q60">
            <v>443.94527886965557</v>
          </cell>
        </row>
        <row r="61">
          <cell r="B61">
            <v>79</v>
          </cell>
          <cell r="C61">
            <v>4241.6129639899991</v>
          </cell>
          <cell r="E61">
            <v>79</v>
          </cell>
          <cell r="F61">
            <v>9098.3731682600028</v>
          </cell>
          <cell r="H61">
            <v>79</v>
          </cell>
          <cell r="I61">
            <v>9098.3731682600028</v>
          </cell>
          <cell r="K61" t="str">
            <v>Independent--Branch</v>
          </cell>
          <cell r="L61">
            <v>65.794496028620713</v>
          </cell>
          <cell r="M61">
            <v>100.3591088</v>
          </cell>
          <cell r="N61">
            <v>70.510926470000001</v>
          </cell>
          <cell r="O61">
            <v>69.857922382222242</v>
          </cell>
          <cell r="P61">
            <v>68.430142053965525</v>
          </cell>
          <cell r="Q61">
            <v>68.430142053965525</v>
          </cell>
        </row>
        <row r="62">
          <cell r="B62">
            <v>80</v>
          </cell>
          <cell r="C62">
            <v>2589.0415094900004</v>
          </cell>
          <cell r="E62">
            <v>80</v>
          </cell>
          <cell r="F62">
            <v>5600.9199045299974</v>
          </cell>
          <cell r="H62">
            <v>80</v>
          </cell>
          <cell r="I62">
            <v>5600.9199045299974</v>
          </cell>
          <cell r="K62" t="str">
            <v>Jalalpur Jattan Area</v>
          </cell>
          <cell r="L62">
            <v>1397.6489223672415</v>
          </cell>
          <cell r="M62">
            <v>1368.1773084422825</v>
          </cell>
          <cell r="N62">
            <v>1171.4687712</v>
          </cell>
          <cell r="O62">
            <v>1489.357551671852</v>
          </cell>
          <cell r="P62">
            <v>1441.8955435218968</v>
          </cell>
          <cell r="Q62">
            <v>1441.8955435218968</v>
          </cell>
        </row>
        <row r="63">
          <cell r="B63">
            <v>81</v>
          </cell>
          <cell r="C63">
            <v>4163.4926417300003</v>
          </cell>
          <cell r="E63">
            <v>81</v>
          </cell>
          <cell r="F63">
            <v>8708.3536433000008</v>
          </cell>
          <cell r="H63">
            <v>81</v>
          </cell>
          <cell r="I63">
            <v>8708.3536433000008</v>
          </cell>
          <cell r="K63" t="str">
            <v>Jaranwala</v>
          </cell>
          <cell r="L63">
            <v>1359.7130762768963</v>
          </cell>
          <cell r="M63">
            <v>1354.3791461032608</v>
          </cell>
          <cell r="N63">
            <v>1284.4121486999998</v>
          </cell>
          <cell r="O63">
            <v>1473.713848038889</v>
          </cell>
          <cell r="P63">
            <v>1413.8580278306897</v>
          </cell>
          <cell r="Q63">
            <v>1413.8580278306897</v>
          </cell>
        </row>
        <row r="64">
          <cell r="B64">
            <v>82</v>
          </cell>
          <cell r="C64">
            <v>4636.3963734499976</v>
          </cell>
          <cell r="E64">
            <v>82</v>
          </cell>
          <cell r="F64">
            <v>9543.1159116299968</v>
          </cell>
          <cell r="H64">
            <v>82</v>
          </cell>
          <cell r="I64">
            <v>9543.1159116299968</v>
          </cell>
          <cell r="K64" t="str">
            <v>Jatlan</v>
          </cell>
          <cell r="L64">
            <v>1319.7492697862072</v>
          </cell>
          <cell r="M64">
            <v>1252.5837161193479</v>
          </cell>
          <cell r="N64">
            <v>1134.3451641300001</v>
          </cell>
          <cell r="O64">
            <v>1373.9871767437035</v>
          </cell>
          <cell r="P64">
            <v>1346.4719283486206</v>
          </cell>
          <cell r="Q64">
            <v>1346.4719283486206</v>
          </cell>
        </row>
        <row r="65">
          <cell r="B65">
            <v>83</v>
          </cell>
          <cell r="C65">
            <v>3435.0928435999999</v>
          </cell>
          <cell r="E65">
            <v>83</v>
          </cell>
          <cell r="F65">
            <v>7440.7355710500051</v>
          </cell>
          <cell r="H65">
            <v>83</v>
          </cell>
          <cell r="I65">
            <v>7440.7355710500051</v>
          </cell>
          <cell r="K65" t="str">
            <v>JHANG AREA</v>
          </cell>
          <cell r="L65">
            <v>1859.5545377368967</v>
          </cell>
          <cell r="M65">
            <v>1744.1703993586959</v>
          </cell>
          <cell r="N65">
            <v>1753.4163149999997</v>
          </cell>
          <cell r="O65">
            <v>2006.966954716296</v>
          </cell>
          <cell r="P65">
            <v>1934.2385119563792</v>
          </cell>
          <cell r="Q65">
            <v>1934.2385119563792</v>
          </cell>
        </row>
        <row r="66">
          <cell r="B66">
            <v>84</v>
          </cell>
          <cell r="C66">
            <v>10433.387706010002</v>
          </cell>
          <cell r="E66">
            <v>84</v>
          </cell>
          <cell r="F66">
            <v>21626.867367539999</v>
          </cell>
          <cell r="H66">
            <v>84</v>
          </cell>
          <cell r="I66">
            <v>21626.867367539999</v>
          </cell>
          <cell r="K66" t="str">
            <v>Jhelum-Cantt</v>
          </cell>
          <cell r="L66">
            <v>1219.3028754010343</v>
          </cell>
          <cell r="M66">
            <v>1161.3245879572826</v>
          </cell>
          <cell r="N66">
            <v>1024.8487474400001</v>
          </cell>
          <cell r="O66">
            <v>1320.6274250674076</v>
          </cell>
          <cell r="P66">
            <v>1268.2441413487927</v>
          </cell>
          <cell r="Q66">
            <v>1268.2441413487927</v>
          </cell>
        </row>
        <row r="67">
          <cell r="B67">
            <v>85</v>
          </cell>
          <cell r="C67">
            <v>5284.948430989999</v>
          </cell>
          <cell r="E67">
            <v>85</v>
          </cell>
          <cell r="F67">
            <v>11010.393182629996</v>
          </cell>
          <cell r="H67">
            <v>85</v>
          </cell>
          <cell r="I67">
            <v>11010.393182629996</v>
          </cell>
          <cell r="K67" t="str">
            <v>Johar</v>
          </cell>
          <cell r="L67">
            <v>2843.7940333158622</v>
          </cell>
          <cell r="M67">
            <v>2619.6123667926086</v>
          </cell>
          <cell r="N67">
            <v>2548.8034725699999</v>
          </cell>
          <cell r="O67">
            <v>2983.9067222162967</v>
          </cell>
          <cell r="P67">
            <v>2909.8573827262071</v>
          </cell>
          <cell r="Q67">
            <v>2909.8573827262071</v>
          </cell>
        </row>
        <row r="68">
          <cell r="B68">
            <v>86</v>
          </cell>
          <cell r="C68">
            <v>13125.774604509999</v>
          </cell>
          <cell r="E68">
            <v>86</v>
          </cell>
          <cell r="F68">
            <v>27227.420206389987</v>
          </cell>
          <cell r="H68">
            <v>86</v>
          </cell>
          <cell r="I68">
            <v>27227.420206389987</v>
          </cell>
          <cell r="K68" t="str">
            <v>Johar Town</v>
          </cell>
          <cell r="L68">
            <v>3825.9908987899998</v>
          </cell>
          <cell r="M68">
            <v>3638.1579958682605</v>
          </cell>
          <cell r="N68">
            <v>3431.8459460300001</v>
          </cell>
          <cell r="O68">
            <v>4062.2096189451859</v>
          </cell>
          <cell r="P68">
            <v>3944.1490769932757</v>
          </cell>
          <cell r="Q68">
            <v>3944.1490769932757</v>
          </cell>
        </row>
        <row r="69">
          <cell r="B69">
            <v>87</v>
          </cell>
          <cell r="C69">
            <v>7321.2778869700005</v>
          </cell>
          <cell r="E69">
            <v>87</v>
          </cell>
          <cell r="F69">
            <v>15794.957762550002</v>
          </cell>
          <cell r="H69">
            <v>87</v>
          </cell>
          <cell r="I69">
            <v>15794.957762550002</v>
          </cell>
          <cell r="K69" t="str">
            <v>Kallar Saiday</v>
          </cell>
          <cell r="L69">
            <v>885.80126678862064</v>
          </cell>
          <cell r="M69">
            <v>817.20992893304356</v>
          </cell>
          <cell r="N69">
            <v>754.01157211999998</v>
          </cell>
          <cell r="O69">
            <v>890.85086689703701</v>
          </cell>
          <cell r="P69">
            <v>887.74026529844821</v>
          </cell>
          <cell r="Q69">
            <v>887.74026529844821</v>
          </cell>
        </row>
        <row r="70">
          <cell r="B70">
            <v>89</v>
          </cell>
          <cell r="C70">
            <v>4890.4448291099998</v>
          </cell>
          <cell r="E70">
            <v>89</v>
          </cell>
          <cell r="F70">
            <v>10667.74872697</v>
          </cell>
          <cell r="H70">
            <v>89</v>
          </cell>
          <cell r="I70">
            <v>10667.74872697</v>
          </cell>
          <cell r="K70" t="str">
            <v>Kashmir Rd</v>
          </cell>
          <cell r="L70">
            <v>4079.9544396327574</v>
          </cell>
          <cell r="M70">
            <v>4279.5212760343911</v>
          </cell>
          <cell r="N70">
            <v>4029.0005056927694</v>
          </cell>
          <cell r="O70">
            <v>4181.7132655929627</v>
          </cell>
          <cell r="P70">
            <v>4134.1489324096556</v>
          </cell>
          <cell r="Q70">
            <v>4134.1489324096556</v>
          </cell>
        </row>
        <row r="71">
          <cell r="B71">
            <v>90</v>
          </cell>
          <cell r="C71">
            <v>10970.346566199998</v>
          </cell>
          <cell r="E71">
            <v>90</v>
          </cell>
          <cell r="F71">
            <v>23368.070026150002</v>
          </cell>
          <cell r="H71">
            <v>90</v>
          </cell>
          <cell r="I71">
            <v>23368.070026150002</v>
          </cell>
          <cell r="K71" t="str">
            <v>KASHMORE</v>
          </cell>
          <cell r="L71">
            <v>1183.1114956975862</v>
          </cell>
          <cell r="M71">
            <v>1141.8395861027172</v>
          </cell>
          <cell r="N71">
            <v>1227.8414608200001</v>
          </cell>
          <cell r="O71">
            <v>1235.039233251111</v>
          </cell>
          <cell r="P71">
            <v>1211.4898933894831</v>
          </cell>
          <cell r="Q71">
            <v>1211.4898933894831</v>
          </cell>
        </row>
        <row r="72">
          <cell r="B72">
            <v>91</v>
          </cell>
          <cell r="C72">
            <v>6259.4942759900005</v>
          </cell>
          <cell r="E72">
            <v>91</v>
          </cell>
          <cell r="F72">
            <v>13391.47003601</v>
          </cell>
          <cell r="H72">
            <v>91</v>
          </cell>
          <cell r="I72">
            <v>13391.47003601</v>
          </cell>
          <cell r="K72" t="str">
            <v>Kasur Area</v>
          </cell>
          <cell r="L72">
            <v>2034.2282361793102</v>
          </cell>
          <cell r="M72">
            <v>2032.7208106869564</v>
          </cell>
          <cell r="N72">
            <v>2031.9626740799999</v>
          </cell>
          <cell r="O72">
            <v>2202.7831264285187</v>
          </cell>
          <cell r="P72">
            <v>2113.2036816363789</v>
          </cell>
          <cell r="Q72">
            <v>2113.2036816363789</v>
          </cell>
        </row>
        <row r="73">
          <cell r="B73">
            <v>92</v>
          </cell>
          <cell r="C73">
            <v>3438.7976522299991</v>
          </cell>
          <cell r="E73">
            <v>92</v>
          </cell>
          <cell r="F73">
            <v>7299.3875490600012</v>
          </cell>
          <cell r="H73">
            <v>92</v>
          </cell>
          <cell r="I73">
            <v>7299.3875490600012</v>
          </cell>
          <cell r="K73" t="str">
            <v>Katchery Chowk Wazirabad</v>
          </cell>
          <cell r="L73">
            <v>1730.7346931551724</v>
          </cell>
          <cell r="M73">
            <v>1622.3876833353261</v>
          </cell>
          <cell r="N73">
            <v>1537.88319785</v>
          </cell>
          <cell r="O73">
            <v>1800.5965820570373</v>
          </cell>
          <cell r="P73">
            <v>1762.9989819793102</v>
          </cell>
          <cell r="Q73">
            <v>1762.9989819793102</v>
          </cell>
        </row>
        <row r="74">
          <cell r="B74">
            <v>93</v>
          </cell>
          <cell r="C74">
            <v>4179.4902988499998</v>
          </cell>
          <cell r="E74">
            <v>93</v>
          </cell>
          <cell r="F74">
            <v>9002.1866914600014</v>
          </cell>
          <cell r="H74">
            <v>93</v>
          </cell>
          <cell r="I74">
            <v>9002.1866914600014</v>
          </cell>
          <cell r="K74" t="str">
            <v>KHAIRPUR</v>
          </cell>
          <cell r="L74">
            <v>1249.0089749144825</v>
          </cell>
          <cell r="M74">
            <v>1192.5852612363044</v>
          </cell>
          <cell r="N74">
            <v>1107.0732347199998</v>
          </cell>
          <cell r="O74">
            <v>1187.3687730007407</v>
          </cell>
          <cell r="P74">
            <v>1220.7305983724139</v>
          </cell>
          <cell r="Q74">
            <v>1220.7305983724139</v>
          </cell>
        </row>
        <row r="75">
          <cell r="B75">
            <v>94</v>
          </cell>
          <cell r="C75">
            <v>13964.861773519999</v>
          </cell>
          <cell r="E75">
            <v>94</v>
          </cell>
          <cell r="F75">
            <v>23726.583630430006</v>
          </cell>
          <cell r="H75">
            <v>94</v>
          </cell>
          <cell r="I75">
            <v>23726.583630430006</v>
          </cell>
          <cell r="K75" t="str">
            <v>Khanewal</v>
          </cell>
          <cell r="L75">
            <v>1597.491751488621</v>
          </cell>
          <cell r="M75">
            <v>1451.4911758542391</v>
          </cell>
          <cell r="N75">
            <v>1419.1333854899999</v>
          </cell>
          <cell r="O75">
            <v>1616.4643631277777</v>
          </cell>
          <cell r="P75">
            <v>1610.6392936955169</v>
          </cell>
          <cell r="Q75">
            <v>1610.6392936955169</v>
          </cell>
        </row>
        <row r="76">
          <cell r="B76">
            <v>95</v>
          </cell>
          <cell r="C76">
            <v>3250.5672643199996</v>
          </cell>
          <cell r="E76">
            <v>95</v>
          </cell>
          <cell r="F76">
            <v>6545.229418599999</v>
          </cell>
          <cell r="H76">
            <v>95</v>
          </cell>
          <cell r="I76">
            <v>6545.229418599999</v>
          </cell>
          <cell r="K76" t="str">
            <v>Khanpur Gm</v>
          </cell>
          <cell r="L76">
            <v>1804.2587304272415</v>
          </cell>
          <cell r="M76">
            <v>1575.8424668974997</v>
          </cell>
          <cell r="N76">
            <v>1568.3557965399998</v>
          </cell>
          <cell r="O76">
            <v>2046.0290987688893</v>
          </cell>
          <cell r="P76">
            <v>1918.2533440832758</v>
          </cell>
          <cell r="Q76">
            <v>1918.2533440832758</v>
          </cell>
        </row>
        <row r="77">
          <cell r="B77">
            <v>96</v>
          </cell>
          <cell r="C77">
            <v>4336.3570351199996</v>
          </cell>
          <cell r="E77">
            <v>96</v>
          </cell>
          <cell r="F77">
            <v>8591.6491804799971</v>
          </cell>
          <cell r="H77">
            <v>96</v>
          </cell>
          <cell r="I77">
            <v>8591.6491804799971</v>
          </cell>
          <cell r="K77" t="str">
            <v>Kharian Cantt Area</v>
          </cell>
          <cell r="L77">
            <v>1339.0588062158622</v>
          </cell>
          <cell r="M77">
            <v>1235.2038704189906</v>
          </cell>
          <cell r="N77">
            <v>1143.0188286688417</v>
          </cell>
          <cell r="O77">
            <v>1350.4199804574073</v>
          </cell>
          <cell r="P77">
            <v>1348.008539230517</v>
          </cell>
          <cell r="Q77">
            <v>1348.008539230517</v>
          </cell>
        </row>
        <row r="78">
          <cell r="B78">
            <v>98</v>
          </cell>
          <cell r="C78">
            <v>3081.7436701499996</v>
          </cell>
          <cell r="E78">
            <v>98</v>
          </cell>
          <cell r="F78">
            <v>6996.2033277399996</v>
          </cell>
          <cell r="H78">
            <v>98</v>
          </cell>
          <cell r="I78">
            <v>6996.2033277399996</v>
          </cell>
          <cell r="K78" t="str">
            <v>KHUSHAB AREA</v>
          </cell>
          <cell r="L78">
            <v>1195.2983698834485</v>
          </cell>
          <cell r="M78">
            <v>1137.9895799285873</v>
          </cell>
          <cell r="N78">
            <v>1111.8495938000001</v>
          </cell>
          <cell r="O78">
            <v>1296.082726828889</v>
          </cell>
          <cell r="P78">
            <v>1246.0022777417241</v>
          </cell>
          <cell r="Q78">
            <v>1246.0022777417241</v>
          </cell>
        </row>
        <row r="79">
          <cell r="B79">
            <v>99</v>
          </cell>
          <cell r="C79">
            <v>11422.9143136</v>
          </cell>
          <cell r="E79">
            <v>99</v>
          </cell>
          <cell r="F79">
            <v>24460.581832099982</v>
          </cell>
          <cell r="H79">
            <v>99</v>
          </cell>
          <cell r="I79">
            <v>24460.581832099982</v>
          </cell>
          <cell r="K79" t="str">
            <v>Kohat</v>
          </cell>
          <cell r="L79">
            <v>2257.6749505351722</v>
          </cell>
          <cell r="M79">
            <v>2188.3778809172823</v>
          </cell>
          <cell r="N79">
            <v>1940.0831689699999</v>
          </cell>
          <cell r="O79">
            <v>2416.2833809192598</v>
          </cell>
          <cell r="P79">
            <v>2335.5530925251724</v>
          </cell>
          <cell r="Q79">
            <v>2335.5530925251724</v>
          </cell>
        </row>
        <row r="80">
          <cell r="B80">
            <v>100</v>
          </cell>
          <cell r="C80">
            <v>8444.1434862999995</v>
          </cell>
          <cell r="E80">
            <v>100</v>
          </cell>
          <cell r="F80">
            <v>17703.990718669993</v>
          </cell>
          <cell r="H80">
            <v>100</v>
          </cell>
          <cell r="I80">
            <v>17703.990718669993</v>
          </cell>
          <cell r="K80" t="str">
            <v>Korangi</v>
          </cell>
          <cell r="L80">
            <v>4892.1198160031036</v>
          </cell>
          <cell r="M80">
            <v>4742.6322756510863</v>
          </cell>
          <cell r="N80">
            <v>4421.6927083099999</v>
          </cell>
          <cell r="O80">
            <v>4945.9249590496302</v>
          </cell>
          <cell r="P80">
            <v>4917.0136746560347</v>
          </cell>
          <cell r="Q80">
            <v>4917.0136746560347</v>
          </cell>
        </row>
        <row r="81">
          <cell r="B81">
            <v>101</v>
          </cell>
          <cell r="C81">
            <v>5586.8586127200006</v>
          </cell>
          <cell r="E81">
            <v>101</v>
          </cell>
          <cell r="F81">
            <v>11892.493597330005</v>
          </cell>
          <cell r="H81">
            <v>101</v>
          </cell>
          <cell r="I81">
            <v>11892.493597330005</v>
          </cell>
          <cell r="K81" t="str">
            <v>Kotli</v>
          </cell>
          <cell r="L81">
            <v>1861.8409123651722</v>
          </cell>
          <cell r="M81">
            <v>1704.3531532543475</v>
          </cell>
          <cell r="N81">
            <v>1553.0097048500004</v>
          </cell>
          <cell r="O81">
            <v>1821.4744794196297</v>
          </cell>
          <cell r="P81">
            <v>1838.4157909593105</v>
          </cell>
          <cell r="Q81">
            <v>1838.4157909593105</v>
          </cell>
        </row>
        <row r="82">
          <cell r="B82">
            <v>102</v>
          </cell>
          <cell r="C82">
            <v>10315.97874</v>
          </cell>
          <cell r="E82">
            <v>102</v>
          </cell>
          <cell r="F82">
            <v>22315.004184139998</v>
          </cell>
          <cell r="H82">
            <v>102</v>
          </cell>
          <cell r="I82">
            <v>22315.004184139998</v>
          </cell>
          <cell r="K82" t="str">
            <v>KUTCHERY BAZAR AREA</v>
          </cell>
          <cell r="L82">
            <v>2030.979688522069</v>
          </cell>
          <cell r="M82">
            <v>1955.8664446751086</v>
          </cell>
          <cell r="N82">
            <v>1932.4620292299996</v>
          </cell>
          <cell r="O82">
            <v>2175.0766660874074</v>
          </cell>
          <cell r="P82">
            <v>2102.6847447989658</v>
          </cell>
          <cell r="Q82">
            <v>2102.6847447989658</v>
          </cell>
        </row>
        <row r="83">
          <cell r="B83">
            <v>103</v>
          </cell>
          <cell r="C83">
            <v>4428.3567206799999</v>
          </cell>
          <cell r="E83">
            <v>103</v>
          </cell>
          <cell r="F83">
            <v>9273.3046971099993</v>
          </cell>
          <cell r="H83">
            <v>103</v>
          </cell>
          <cell r="I83">
            <v>9273.3046971099993</v>
          </cell>
          <cell r="K83" t="str">
            <v>Kutchery Chowk</v>
          </cell>
          <cell r="L83">
            <v>2068.3314488762062</v>
          </cell>
          <cell r="M83">
            <v>1938.7090526300797</v>
          </cell>
          <cell r="N83">
            <v>1760.9938462607461</v>
          </cell>
          <cell r="O83">
            <v>2172.5806140862965</v>
          </cell>
          <cell r="P83">
            <v>2118.6339873037928</v>
          </cell>
          <cell r="Q83">
            <v>2118.6339873037928</v>
          </cell>
        </row>
        <row r="84">
          <cell r="B84">
            <v>104</v>
          </cell>
          <cell r="C84">
            <v>10932.191637329999</v>
          </cell>
          <cell r="E84">
            <v>104</v>
          </cell>
          <cell r="F84">
            <v>21505.564098220006</v>
          </cell>
          <cell r="H84">
            <v>104</v>
          </cell>
          <cell r="I84">
            <v>21505.564098220006</v>
          </cell>
          <cell r="K84" t="str">
            <v>Kutchery Dg Khan</v>
          </cell>
          <cell r="L84">
            <v>1466.3008465117239</v>
          </cell>
          <cell r="M84">
            <v>1794.1983396003259</v>
          </cell>
          <cell r="N84">
            <v>1625.5449094500002</v>
          </cell>
          <cell r="O84">
            <v>1338.7846761959258</v>
          </cell>
          <cell r="P84">
            <v>1403.7367097718966</v>
          </cell>
          <cell r="Q84">
            <v>1403.7367097718966</v>
          </cell>
        </row>
        <row r="85">
          <cell r="B85">
            <v>105</v>
          </cell>
          <cell r="C85">
            <v>14870.949452809995</v>
          </cell>
          <cell r="E85">
            <v>105</v>
          </cell>
          <cell r="F85">
            <v>31050.524463819998</v>
          </cell>
          <cell r="H85">
            <v>105</v>
          </cell>
          <cell r="I85">
            <v>31050.524463819998</v>
          </cell>
          <cell r="K85" t="str">
            <v>LARKANA</v>
          </cell>
          <cell r="L85">
            <v>885.30872448413811</v>
          </cell>
          <cell r="M85">
            <v>827.18254984043506</v>
          </cell>
          <cell r="N85">
            <v>788.02718413000002</v>
          </cell>
          <cell r="O85">
            <v>906.66935763148149</v>
          </cell>
          <cell r="P85">
            <v>896.63151744913785</v>
          </cell>
          <cell r="Q85">
            <v>896.63151744913785</v>
          </cell>
        </row>
        <row r="86">
          <cell r="B86">
            <v>106</v>
          </cell>
          <cell r="C86">
            <v>14400.287371420003</v>
          </cell>
          <cell r="E86">
            <v>106</v>
          </cell>
          <cell r="F86">
            <v>32250.66627887998</v>
          </cell>
          <cell r="H86">
            <v>106</v>
          </cell>
          <cell r="I86">
            <v>32250.66627887998</v>
          </cell>
          <cell r="K86" t="str">
            <v>Latifabad / Autobhan Area</v>
          </cell>
          <cell r="L86">
            <v>2238.2754873672411</v>
          </cell>
          <cell r="M86">
            <v>2051.7604610931521</v>
          </cell>
          <cell r="N86">
            <v>1921.58494062</v>
          </cell>
          <cell r="O86">
            <v>2155.5533015837041</v>
          </cell>
          <cell r="P86">
            <v>2201.4283125460342</v>
          </cell>
          <cell r="Q86">
            <v>2201.4283125460342</v>
          </cell>
        </row>
        <row r="87">
          <cell r="B87">
            <v>107</v>
          </cell>
          <cell r="C87">
            <v>7974.2519767199983</v>
          </cell>
          <cell r="E87">
            <v>107</v>
          </cell>
          <cell r="F87">
            <v>16943.726714370012</v>
          </cell>
          <cell r="H87">
            <v>107</v>
          </cell>
          <cell r="I87">
            <v>16943.726714370012</v>
          </cell>
          <cell r="K87" t="str">
            <v>Layyah</v>
          </cell>
          <cell r="L87">
            <v>1610.7372477186204</v>
          </cell>
          <cell r="M87">
            <v>1559.3720810148911</v>
          </cell>
          <cell r="N87">
            <v>1635.3067649100001</v>
          </cell>
          <cell r="O87">
            <v>1723.3946824011109</v>
          </cell>
          <cell r="P87">
            <v>1671.4695972877587</v>
          </cell>
          <cell r="Q87">
            <v>1671.4695972877587</v>
          </cell>
        </row>
        <row r="88">
          <cell r="B88">
            <v>108</v>
          </cell>
          <cell r="C88">
            <v>17753.696605309993</v>
          </cell>
          <cell r="E88">
            <v>108</v>
          </cell>
          <cell r="F88">
            <v>37540.064455119995</v>
          </cell>
          <cell r="H88">
            <v>108</v>
          </cell>
          <cell r="I88">
            <v>37540.064455119995</v>
          </cell>
          <cell r="K88" t="str">
            <v>Lodhran</v>
          </cell>
          <cell r="L88">
            <v>1282.8976998251726</v>
          </cell>
          <cell r="M88">
            <v>1190.1444465831523</v>
          </cell>
          <cell r="N88">
            <v>1153.8631341999996</v>
          </cell>
          <cell r="O88">
            <v>1320.1074042755558</v>
          </cell>
          <cell r="P88">
            <v>1302.2957304098277</v>
          </cell>
          <cell r="Q88">
            <v>1302.2957304098277</v>
          </cell>
        </row>
        <row r="89">
          <cell r="B89">
            <v>109</v>
          </cell>
          <cell r="C89">
            <v>10039.998191710001</v>
          </cell>
          <cell r="E89">
            <v>109</v>
          </cell>
          <cell r="F89">
            <v>20743.856464539993</v>
          </cell>
          <cell r="H89">
            <v>109</v>
          </cell>
          <cell r="I89">
            <v>20743.856464539993</v>
          </cell>
          <cell r="K89" t="str">
            <v>M B Din Area</v>
          </cell>
          <cell r="L89">
            <v>1722.7536764355173</v>
          </cell>
          <cell r="M89">
            <v>1590.8745184556637</v>
          </cell>
          <cell r="N89">
            <v>1464.9303493172981</v>
          </cell>
          <cell r="O89">
            <v>1795.4979119633335</v>
          </cell>
          <cell r="P89">
            <v>1758.0199175627583</v>
          </cell>
          <cell r="Q89">
            <v>1758.0199175627583</v>
          </cell>
        </row>
        <row r="90">
          <cell r="B90">
            <v>110</v>
          </cell>
          <cell r="C90">
            <v>7913.1784086900007</v>
          </cell>
          <cell r="E90">
            <v>110</v>
          </cell>
          <cell r="F90">
            <v>16732.021744369995</v>
          </cell>
          <cell r="H90">
            <v>110</v>
          </cell>
          <cell r="I90">
            <v>16732.021744369995</v>
          </cell>
          <cell r="K90" t="str">
            <v>Madina Town</v>
          </cell>
          <cell r="L90">
            <v>2886.8007448458625</v>
          </cell>
          <cell r="M90">
            <v>2812.9160098586399</v>
          </cell>
          <cell r="N90">
            <v>2666.4405422601485</v>
          </cell>
          <cell r="O90">
            <v>3072.0400453751849</v>
          </cell>
          <cell r="P90">
            <v>2974.9478222762068</v>
          </cell>
          <cell r="Q90">
            <v>2974.9478222762068</v>
          </cell>
        </row>
        <row r="91">
          <cell r="B91">
            <v>111</v>
          </cell>
          <cell r="C91">
            <v>15996.273954059998</v>
          </cell>
          <cell r="E91">
            <v>111</v>
          </cell>
          <cell r="F91">
            <v>34594.228551880005</v>
          </cell>
          <cell r="H91">
            <v>111</v>
          </cell>
          <cell r="I91">
            <v>34594.228551880005</v>
          </cell>
          <cell r="K91" t="str">
            <v>Mailsi--Vehari</v>
          </cell>
          <cell r="L91">
            <v>1455.1151797137934</v>
          </cell>
          <cell r="M91">
            <v>1387.2978092490216</v>
          </cell>
          <cell r="N91">
            <v>1346.9784798000001</v>
          </cell>
          <cell r="O91">
            <v>1532.8378383251852</v>
          </cell>
          <cell r="P91">
            <v>1495.6422799403447</v>
          </cell>
          <cell r="Q91">
            <v>1495.6422799403447</v>
          </cell>
        </row>
        <row r="92">
          <cell r="B92">
            <v>112</v>
          </cell>
          <cell r="C92">
            <v>23969.097096469999</v>
          </cell>
          <cell r="E92">
            <v>112</v>
          </cell>
          <cell r="F92">
            <v>50090.367189200013</v>
          </cell>
          <cell r="H92">
            <v>112</v>
          </cell>
          <cell r="I92">
            <v>50090.367189200013</v>
          </cell>
          <cell r="K92" t="str">
            <v>Main Dg Khan</v>
          </cell>
          <cell r="L92">
            <v>1689.3720195534479</v>
          </cell>
          <cell r="M92">
            <v>1418.6259105669565</v>
          </cell>
          <cell r="N92">
            <v>1381.24474485</v>
          </cell>
          <cell r="O92">
            <v>1664.8069439585183</v>
          </cell>
          <cell r="P92">
            <v>1681.675691340517</v>
          </cell>
          <cell r="Q92">
            <v>1681.675691340517</v>
          </cell>
        </row>
        <row r="93">
          <cell r="B93">
            <v>113</v>
          </cell>
          <cell r="C93">
            <v>7064.8259668599976</v>
          </cell>
          <cell r="E93">
            <v>113</v>
          </cell>
          <cell r="F93">
            <v>13963.804281149998</v>
          </cell>
          <cell r="H93">
            <v>113</v>
          </cell>
          <cell r="I93">
            <v>13963.804281149998</v>
          </cell>
          <cell r="K93" t="str">
            <v>Makran</v>
          </cell>
          <cell r="L93">
            <v>1553.5087650531032</v>
          </cell>
          <cell r="M93">
            <v>1496.9624344900001</v>
          </cell>
          <cell r="N93">
            <v>1176.6449358100001</v>
          </cell>
          <cell r="O93">
            <v>1544.9966969285185</v>
          </cell>
          <cell r="P93">
            <v>1549.3061712977585</v>
          </cell>
          <cell r="Q93">
            <v>1549.3061712977585</v>
          </cell>
        </row>
        <row r="94">
          <cell r="B94">
            <v>114</v>
          </cell>
          <cell r="C94">
            <v>10621.101022849998</v>
          </cell>
          <cell r="E94">
            <v>114</v>
          </cell>
          <cell r="F94">
            <v>21840.529670819997</v>
          </cell>
          <cell r="H94">
            <v>114</v>
          </cell>
          <cell r="I94">
            <v>21840.529670819997</v>
          </cell>
          <cell r="K94" t="str">
            <v>Malir</v>
          </cell>
          <cell r="L94">
            <v>2525.3931144724138</v>
          </cell>
          <cell r="M94">
            <v>2500.3100855668476</v>
          </cell>
          <cell r="N94">
            <v>2347.8881308100003</v>
          </cell>
          <cell r="O94">
            <v>2582.5574599411116</v>
          </cell>
          <cell r="P94">
            <v>2551.4123812722414</v>
          </cell>
          <cell r="Q94">
            <v>2551.4123812722414</v>
          </cell>
        </row>
        <row r="95">
          <cell r="B95">
            <v>115</v>
          </cell>
          <cell r="C95">
            <v>4815.4723195499992</v>
          </cell>
          <cell r="E95">
            <v>115</v>
          </cell>
          <cell r="F95">
            <v>10562.274211170003</v>
          </cell>
          <cell r="H95">
            <v>115</v>
          </cell>
          <cell r="I95">
            <v>10562.274211170003</v>
          </cell>
          <cell r="K95" t="str">
            <v>Mangowal</v>
          </cell>
          <cell r="L95">
            <v>1316.7674528541377</v>
          </cell>
          <cell r="M95">
            <v>1227.9438582347825</v>
          </cell>
          <cell r="N95">
            <v>1092.3562931499998</v>
          </cell>
          <cell r="O95">
            <v>1365.5057376507409</v>
          </cell>
          <cell r="P95">
            <v>1339.6558328265519</v>
          </cell>
          <cell r="Q95">
            <v>1339.6558328265519</v>
          </cell>
        </row>
        <row r="96">
          <cell r="B96">
            <v>116</v>
          </cell>
          <cell r="C96">
            <v>14955.491609639997</v>
          </cell>
          <cell r="E96">
            <v>116</v>
          </cell>
          <cell r="F96">
            <v>30887.125701540004</v>
          </cell>
          <cell r="H96">
            <v>116</v>
          </cell>
          <cell r="I96">
            <v>30887.125701540004</v>
          </cell>
          <cell r="K96" t="str">
            <v>Mansehra</v>
          </cell>
          <cell r="L96">
            <v>1274.2237633934483</v>
          </cell>
          <cell r="M96">
            <v>1248.1913910569565</v>
          </cell>
          <cell r="N96">
            <v>1146.0874761800001</v>
          </cell>
          <cell r="O96">
            <v>1309.8532622570369</v>
          </cell>
          <cell r="P96">
            <v>1291.1614148867238</v>
          </cell>
          <cell r="Q96">
            <v>1291.1614148867238</v>
          </cell>
        </row>
        <row r="97">
          <cell r="B97">
            <v>117</v>
          </cell>
          <cell r="C97">
            <v>4937.9803264499988</v>
          </cell>
          <cell r="E97">
            <v>117</v>
          </cell>
          <cell r="F97">
            <v>9838.131195790007</v>
          </cell>
          <cell r="H97">
            <v>117</v>
          </cell>
          <cell r="I97">
            <v>9838.131195790007</v>
          </cell>
          <cell r="K97" t="str">
            <v>Mardan</v>
          </cell>
          <cell r="L97">
            <v>4230.5703417793102</v>
          </cell>
          <cell r="M97">
            <v>4168.1496202620665</v>
          </cell>
          <cell r="N97">
            <v>4034.9415356300005</v>
          </cell>
          <cell r="O97">
            <v>4305.9991940570371</v>
          </cell>
          <cell r="P97">
            <v>4269.8663424748274</v>
          </cell>
          <cell r="Q97">
            <v>4269.8663424748274</v>
          </cell>
        </row>
        <row r="98">
          <cell r="B98">
            <v>118</v>
          </cell>
          <cell r="C98">
            <v>12113.264948579994</v>
          </cell>
          <cell r="E98">
            <v>118</v>
          </cell>
          <cell r="F98">
            <v>26023.747797899996</v>
          </cell>
          <cell r="H98">
            <v>118</v>
          </cell>
          <cell r="I98">
            <v>26023.747797899996</v>
          </cell>
          <cell r="K98" t="str">
            <v>MIANWALI AREA</v>
          </cell>
          <cell r="L98">
            <v>1604.9093917606899</v>
          </cell>
          <cell r="M98">
            <v>1532.8681474022828</v>
          </cell>
          <cell r="N98">
            <v>1492.0318719399997</v>
          </cell>
          <cell r="O98">
            <v>1653.3285406988887</v>
          </cell>
          <cell r="P98">
            <v>1633.3841527456896</v>
          </cell>
          <cell r="Q98">
            <v>1633.3841527456896</v>
          </cell>
        </row>
        <row r="99">
          <cell r="B99">
            <v>119</v>
          </cell>
          <cell r="C99">
            <v>22073.800888929996</v>
          </cell>
          <cell r="E99">
            <v>119</v>
          </cell>
          <cell r="F99">
            <v>43621.671114189987</v>
          </cell>
          <cell r="H99">
            <v>119</v>
          </cell>
          <cell r="I99">
            <v>43621.671114189987</v>
          </cell>
          <cell r="K99" t="str">
            <v>Mingora</v>
          </cell>
          <cell r="L99">
            <v>4231.2162973655177</v>
          </cell>
          <cell r="M99">
            <v>4115.5478872089143</v>
          </cell>
          <cell r="N99">
            <v>3497.9191035099998</v>
          </cell>
          <cell r="O99">
            <v>4377.4831330914822</v>
          </cell>
          <cell r="P99">
            <v>4305.3281108446545</v>
          </cell>
          <cell r="Q99">
            <v>4305.3281108446545</v>
          </cell>
        </row>
        <row r="100">
          <cell r="B100">
            <v>120</v>
          </cell>
          <cell r="C100">
            <v>4843.52821451</v>
          </cell>
          <cell r="E100">
            <v>120</v>
          </cell>
          <cell r="F100">
            <v>10238.102688320001</v>
          </cell>
          <cell r="H100">
            <v>120</v>
          </cell>
          <cell r="I100">
            <v>10238.102688320001</v>
          </cell>
          <cell r="K100" t="str">
            <v>Mirpur</v>
          </cell>
          <cell r="L100">
            <v>2073.3014676117241</v>
          </cell>
          <cell r="M100">
            <v>1886.8381692407957</v>
          </cell>
          <cell r="N100">
            <v>1680.3096458446221</v>
          </cell>
          <cell r="O100">
            <v>2189.6729992907408</v>
          </cell>
          <cell r="P100">
            <v>2129.3769780377588</v>
          </cell>
          <cell r="Q100">
            <v>2129.3769780377588</v>
          </cell>
        </row>
        <row r="101">
          <cell r="B101">
            <v>121</v>
          </cell>
          <cell r="C101">
            <v>6445.4605703099996</v>
          </cell>
          <cell r="E101">
            <v>121</v>
          </cell>
          <cell r="F101">
            <v>13918.984896440004</v>
          </cell>
          <cell r="H101">
            <v>121</v>
          </cell>
          <cell r="I101">
            <v>13918.984896440004</v>
          </cell>
          <cell r="K101" t="str">
            <v>Mirpurkhas Area</v>
          </cell>
          <cell r="L101">
            <v>1627.6296046179307</v>
          </cell>
          <cell r="M101">
            <v>1515.4784960167387</v>
          </cell>
          <cell r="N101">
            <v>1432.28002603</v>
          </cell>
          <cell r="O101">
            <v>1544.5628103751853</v>
          </cell>
          <cell r="P101">
            <v>1591.5640333946553</v>
          </cell>
          <cell r="Q101">
            <v>1591.5640333946553</v>
          </cell>
        </row>
        <row r="102">
          <cell r="B102">
            <v>123</v>
          </cell>
          <cell r="C102">
            <v>14003.85668692</v>
          </cell>
          <cell r="E102">
            <v>123</v>
          </cell>
          <cell r="F102">
            <v>31314.157411200002</v>
          </cell>
          <cell r="H102">
            <v>123</v>
          </cell>
          <cell r="I102">
            <v>31314.157411200002</v>
          </cell>
          <cell r="K102" t="str">
            <v>Model Town - Gujranwala</v>
          </cell>
          <cell r="L102">
            <v>2355.9944786503447</v>
          </cell>
          <cell r="M102">
            <v>2267.8625997766303</v>
          </cell>
          <cell r="N102">
            <v>2189.1181722199999</v>
          </cell>
          <cell r="O102">
            <v>2543.6416957681486</v>
          </cell>
          <cell r="P102">
            <v>2442.5639130365516</v>
          </cell>
          <cell r="Q102">
            <v>2442.5639130365516</v>
          </cell>
        </row>
        <row r="103">
          <cell r="B103">
            <v>124</v>
          </cell>
          <cell r="C103">
            <v>8462.4646286200041</v>
          </cell>
          <cell r="E103">
            <v>124</v>
          </cell>
          <cell r="F103">
            <v>17409.469034419992</v>
          </cell>
          <cell r="H103">
            <v>124</v>
          </cell>
          <cell r="I103">
            <v>17409.469034419992</v>
          </cell>
          <cell r="K103" t="str">
            <v>Murree</v>
          </cell>
          <cell r="L103">
            <v>704.14625370517251</v>
          </cell>
          <cell r="M103">
            <v>696.42902294641306</v>
          </cell>
          <cell r="N103">
            <v>630.94270379</v>
          </cell>
          <cell r="O103">
            <v>752.09952734518527</v>
          </cell>
          <cell r="P103">
            <v>726.58398732120691</v>
          </cell>
          <cell r="Q103">
            <v>726.58398732120691</v>
          </cell>
        </row>
        <row r="104">
          <cell r="B104">
            <v>125</v>
          </cell>
          <cell r="C104">
            <v>23080.222990759998</v>
          </cell>
          <cell r="E104">
            <v>125</v>
          </cell>
          <cell r="F104">
            <v>50317.946500769998</v>
          </cell>
          <cell r="H104">
            <v>125</v>
          </cell>
          <cell r="I104">
            <v>50317.946500769998</v>
          </cell>
          <cell r="K104" t="str">
            <v>Muzaffar Garh</v>
          </cell>
          <cell r="L104">
            <v>1531.6026635455171</v>
          </cell>
          <cell r="M104">
            <v>1407.6449383009783</v>
          </cell>
          <cell r="N104">
            <v>1332.00847494</v>
          </cell>
          <cell r="O104">
            <v>1582.3508476681484</v>
          </cell>
          <cell r="P104">
            <v>1559.3166279565517</v>
          </cell>
          <cell r="Q104">
            <v>1559.3166279565517</v>
          </cell>
        </row>
        <row r="105">
          <cell r="B105">
            <v>126</v>
          </cell>
          <cell r="C105">
            <v>12919.342345030002</v>
          </cell>
          <cell r="E105">
            <v>126</v>
          </cell>
          <cell r="F105">
            <v>29332.087333409989</v>
          </cell>
          <cell r="H105">
            <v>126</v>
          </cell>
          <cell r="I105">
            <v>29332.087333409989</v>
          </cell>
          <cell r="K105" t="str">
            <v>Muzaffarabad</v>
          </cell>
          <cell r="L105">
            <v>1785.6649265931037</v>
          </cell>
          <cell r="M105">
            <v>1572.0403642253261</v>
          </cell>
          <cell r="N105">
            <v>1505.7091232499999</v>
          </cell>
          <cell r="O105">
            <v>1752.0097476477779</v>
          </cell>
          <cell r="P105">
            <v>1768.2651700436209</v>
          </cell>
          <cell r="Q105">
            <v>1768.2651700436209</v>
          </cell>
        </row>
        <row r="106">
          <cell r="B106">
            <v>127</v>
          </cell>
          <cell r="C106">
            <v>17799.867554770004</v>
          </cell>
          <cell r="E106">
            <v>127</v>
          </cell>
          <cell r="F106">
            <v>36775.439673559988</v>
          </cell>
          <cell r="H106">
            <v>127</v>
          </cell>
          <cell r="I106">
            <v>36775.439673559988</v>
          </cell>
          <cell r="K106" t="str">
            <v>Narowal</v>
          </cell>
          <cell r="L106">
            <v>2158.8334023141379</v>
          </cell>
          <cell r="M106">
            <v>2042.8095399409783</v>
          </cell>
          <cell r="N106">
            <v>1971.60860196</v>
          </cell>
          <cell r="O106">
            <v>2267.5495950229629</v>
          </cell>
          <cell r="P106">
            <v>2214.4082112515521</v>
          </cell>
          <cell r="Q106">
            <v>2214.4082112515521</v>
          </cell>
        </row>
        <row r="107">
          <cell r="B107">
            <v>128</v>
          </cell>
          <cell r="C107">
            <v>50983.317205169988</v>
          </cell>
          <cell r="E107">
            <v>128</v>
          </cell>
          <cell r="F107">
            <v>106367.82038721997</v>
          </cell>
          <cell r="H107">
            <v>128</v>
          </cell>
          <cell r="I107">
            <v>106367.82038721997</v>
          </cell>
          <cell r="K107" t="str">
            <v>Nawabshah Area</v>
          </cell>
          <cell r="L107">
            <v>1587.9131928889651</v>
          </cell>
          <cell r="M107">
            <v>1539.1316170918476</v>
          </cell>
          <cell r="N107">
            <v>1430.1523092800001</v>
          </cell>
          <cell r="O107">
            <v>1581.1989310781482</v>
          </cell>
          <cell r="P107">
            <v>1585.3229077877586</v>
          </cell>
          <cell r="Q107">
            <v>1585.3229077877586</v>
          </cell>
        </row>
        <row r="108">
          <cell r="B108">
            <v>129</v>
          </cell>
          <cell r="C108">
            <v>3092.9307359299996</v>
          </cell>
          <cell r="E108">
            <v>129</v>
          </cell>
          <cell r="F108">
            <v>6751.5581015499993</v>
          </cell>
          <cell r="H108">
            <v>129</v>
          </cell>
          <cell r="I108">
            <v>6751.5581015499993</v>
          </cell>
          <cell r="K108" t="str">
            <v>Neikapura</v>
          </cell>
          <cell r="L108">
            <v>1542.0127418672414</v>
          </cell>
          <cell r="M108">
            <v>1459.8785815241304</v>
          </cell>
          <cell r="N108">
            <v>1419.4885657499999</v>
          </cell>
          <cell r="O108">
            <v>1624.613149934074</v>
          </cell>
          <cell r="P108">
            <v>1582.8536231577589</v>
          </cell>
          <cell r="Q108">
            <v>1582.8536231577589</v>
          </cell>
        </row>
        <row r="109">
          <cell r="B109">
            <v>130</v>
          </cell>
          <cell r="C109">
            <v>11740.287281590005</v>
          </cell>
          <cell r="E109">
            <v>130</v>
          </cell>
          <cell r="F109">
            <v>25660.769255280004</v>
          </cell>
          <cell r="H109">
            <v>130</v>
          </cell>
          <cell r="I109">
            <v>25660.769255280004</v>
          </cell>
          <cell r="K109" t="str">
            <v>New Area</v>
          </cell>
          <cell r="L109">
            <v>1445.712972622759</v>
          </cell>
          <cell r="M109">
            <v>1439.3557599100002</v>
          </cell>
          <cell r="N109">
            <v>425.04552108999997</v>
          </cell>
          <cell r="O109">
            <v>1492.9674231618521</v>
          </cell>
          <cell r="P109">
            <v>1469.2358143567242</v>
          </cell>
          <cell r="Q109">
            <v>1469.2358143567242</v>
          </cell>
        </row>
        <row r="110">
          <cell r="B110">
            <v>131</v>
          </cell>
          <cell r="C110">
            <v>1.180847</v>
          </cell>
          <cell r="E110">
            <v>131</v>
          </cell>
          <cell r="F110">
            <v>3.226051</v>
          </cell>
          <cell r="H110">
            <v>131</v>
          </cell>
          <cell r="I110">
            <v>3.226051</v>
          </cell>
          <cell r="K110" t="str">
            <v>New Muslim Town</v>
          </cell>
          <cell r="L110">
            <v>4807.465957520345</v>
          </cell>
          <cell r="M110">
            <v>4698.5786971914977</v>
          </cell>
          <cell r="N110">
            <v>4454.2766380879448</v>
          </cell>
          <cell r="O110">
            <v>4870.6053525600009</v>
          </cell>
          <cell r="P110">
            <v>4834.6390355125886</v>
          </cell>
          <cell r="Q110">
            <v>4834.6390355125886</v>
          </cell>
        </row>
        <row r="111">
          <cell r="B111">
            <v>133</v>
          </cell>
          <cell r="C111">
            <v>14939.949615510004</v>
          </cell>
          <cell r="E111">
            <v>133</v>
          </cell>
          <cell r="F111">
            <v>31012.269889200004</v>
          </cell>
          <cell r="H111">
            <v>133</v>
          </cell>
          <cell r="I111">
            <v>31012.269889200004</v>
          </cell>
          <cell r="K111" t="str">
            <v>Nowshera</v>
          </cell>
          <cell r="L111">
            <v>2205.3486820772414</v>
          </cell>
          <cell r="M111">
            <v>2181.9671519754347</v>
          </cell>
          <cell r="N111">
            <v>2063.7581841899996</v>
          </cell>
          <cell r="O111">
            <v>2301.30848754</v>
          </cell>
          <cell r="P111">
            <v>2251.8769797768964</v>
          </cell>
          <cell r="Q111">
            <v>2251.8769797768964</v>
          </cell>
        </row>
        <row r="112">
          <cell r="B112">
            <v>134</v>
          </cell>
          <cell r="C112">
            <v>12407.435128670004</v>
          </cell>
          <cell r="E112">
            <v>134</v>
          </cell>
          <cell r="F112">
            <v>26547.652522249999</v>
          </cell>
          <cell r="H112">
            <v>134</v>
          </cell>
          <cell r="I112">
            <v>26547.652522249999</v>
          </cell>
          <cell r="K112" t="str">
            <v>Okara Area</v>
          </cell>
          <cell r="L112">
            <v>2083.0885280110342</v>
          </cell>
          <cell r="M112">
            <v>2123.0384807010869</v>
          </cell>
          <cell r="N112">
            <v>2084.8708068400006</v>
          </cell>
          <cell r="O112">
            <v>2130.9590981814817</v>
          </cell>
          <cell r="P112">
            <v>2104.2149106603447</v>
          </cell>
          <cell r="Q112">
            <v>2104.2149106603447</v>
          </cell>
        </row>
        <row r="113">
          <cell r="B113">
            <v>135</v>
          </cell>
          <cell r="C113">
            <v>34281.256517820009</v>
          </cell>
          <cell r="E113">
            <v>135</v>
          </cell>
          <cell r="F113">
            <v>70872.072509589998</v>
          </cell>
          <cell r="H113">
            <v>135</v>
          </cell>
          <cell r="I113">
            <v>70872.072509589998</v>
          </cell>
          <cell r="K113" t="str">
            <v>PAF AREA</v>
          </cell>
          <cell r="L113">
            <v>2922.1343649396545</v>
          </cell>
          <cell r="M113">
            <v>2936.2572715418482</v>
          </cell>
          <cell r="N113">
            <v>2738.7018608600006</v>
          </cell>
          <cell r="O113">
            <v>3134.3945940944445</v>
          </cell>
          <cell r="P113">
            <v>3026.242814019311</v>
          </cell>
          <cell r="Q113">
            <v>3026.242814019311</v>
          </cell>
        </row>
        <row r="114">
          <cell r="B114">
            <v>136</v>
          </cell>
          <cell r="C114">
            <v>8038.0779793800029</v>
          </cell>
          <cell r="E114">
            <v>136</v>
          </cell>
          <cell r="F114">
            <v>16018.730751030011</v>
          </cell>
          <cell r="H114">
            <v>136</v>
          </cell>
          <cell r="I114">
            <v>16018.730751030011</v>
          </cell>
          <cell r="K114" t="str">
            <v>Pakpattan Area</v>
          </cell>
          <cell r="L114">
            <v>1500.092354485862</v>
          </cell>
          <cell r="M114">
            <v>1589.769301687174</v>
          </cell>
          <cell r="N114">
            <v>1643.4122439600003</v>
          </cell>
          <cell r="O114">
            <v>1551.2486157422227</v>
          </cell>
          <cell r="P114">
            <v>1523.7764292839656</v>
          </cell>
          <cell r="Q114">
            <v>1523.7764292839656</v>
          </cell>
        </row>
        <row r="115">
          <cell r="B115">
            <v>137</v>
          </cell>
          <cell r="C115">
            <v>15393.828986859999</v>
          </cell>
          <cell r="E115">
            <v>137</v>
          </cell>
          <cell r="F115">
            <v>33746.895456400009</v>
          </cell>
          <cell r="H115">
            <v>137</v>
          </cell>
          <cell r="I115">
            <v>33746.895456400009</v>
          </cell>
          <cell r="K115" t="str">
            <v>Parachinar</v>
          </cell>
          <cell r="L115">
            <v>159.25275303206894</v>
          </cell>
          <cell r="M115">
            <v>139.78828332999998</v>
          </cell>
          <cell r="N115">
            <v>122.62267749000002</v>
          </cell>
          <cell r="O115">
            <v>152.87283676814815</v>
          </cell>
          <cell r="P115">
            <v>156.59237552879313</v>
          </cell>
          <cell r="Q115">
            <v>156.59237552879313</v>
          </cell>
        </row>
        <row r="116">
          <cell r="B116">
            <v>138</v>
          </cell>
          <cell r="C116">
            <v>12373.579849250002</v>
          </cell>
          <cell r="E116">
            <v>138</v>
          </cell>
          <cell r="F116">
            <v>24988.353448100002</v>
          </cell>
          <cell r="H116">
            <v>138</v>
          </cell>
          <cell r="I116">
            <v>24988.353448100002</v>
          </cell>
          <cell r="K116" t="str">
            <v>Pattoki Area</v>
          </cell>
          <cell r="L116">
            <v>2153.2039104586206</v>
          </cell>
          <cell r="M116">
            <v>1784.5965281718479</v>
          </cell>
          <cell r="N116">
            <v>1774.25813468</v>
          </cell>
          <cell r="O116">
            <v>2238.6764345122224</v>
          </cell>
          <cell r="P116">
            <v>2193.2116061812067</v>
          </cell>
          <cell r="Q116">
            <v>2193.2116061812067</v>
          </cell>
        </row>
        <row r="117">
          <cell r="B117">
            <v>139</v>
          </cell>
          <cell r="C117">
            <v>11124.864958119997</v>
          </cell>
          <cell r="E117">
            <v>139</v>
          </cell>
          <cell r="F117">
            <v>22635.791353069999</v>
          </cell>
          <cell r="H117">
            <v>139</v>
          </cell>
          <cell r="I117">
            <v>22635.791353069999</v>
          </cell>
          <cell r="K117" t="str">
            <v>Peshawar City</v>
          </cell>
          <cell r="L117">
            <v>4671.731721221724</v>
          </cell>
          <cell r="M117">
            <v>3334.4628814458692</v>
          </cell>
          <cell r="N117">
            <v>3401.8229590999999</v>
          </cell>
          <cell r="O117">
            <v>4885.3652039192602</v>
          </cell>
          <cell r="P117">
            <v>4743.5241427781039</v>
          </cell>
          <cell r="Q117">
            <v>4743.5241427781039</v>
          </cell>
        </row>
        <row r="118">
          <cell r="B118">
            <v>140</v>
          </cell>
          <cell r="C118">
            <v>2430.2071436099995</v>
          </cell>
          <cell r="E118">
            <v>140</v>
          </cell>
          <cell r="F118">
            <v>4996.7410072799985</v>
          </cell>
          <cell r="H118">
            <v>140</v>
          </cell>
          <cell r="I118">
            <v>4996.7410072799985</v>
          </cell>
          <cell r="K118" t="str">
            <v>Pindi Gheb</v>
          </cell>
          <cell r="L118">
            <v>667.27962224586202</v>
          </cell>
          <cell r="M118">
            <v>640.22473734532605</v>
          </cell>
          <cell r="N118">
            <v>568.39689469999996</v>
          </cell>
          <cell r="O118">
            <v>690.53211388185196</v>
          </cell>
          <cell r="P118">
            <v>678.4349536872412</v>
          </cell>
          <cell r="Q118">
            <v>678.4349536872412</v>
          </cell>
        </row>
        <row r="119">
          <cell r="B119">
            <v>141</v>
          </cell>
          <cell r="C119">
            <v>5917.1035879200008</v>
          </cell>
          <cell r="E119">
            <v>141</v>
          </cell>
          <cell r="F119">
            <v>12487.20907092</v>
          </cell>
          <cell r="H119">
            <v>141</v>
          </cell>
          <cell r="I119">
            <v>12487.20907092</v>
          </cell>
          <cell r="K119" t="str">
            <v>Pir mahal</v>
          </cell>
          <cell r="L119">
            <v>1395.1760246431033</v>
          </cell>
          <cell r="M119">
            <v>1274.5941176413046</v>
          </cell>
          <cell r="N119">
            <v>1257.3151054999998</v>
          </cell>
          <cell r="O119">
            <v>1535.5354159485187</v>
          </cell>
          <cell r="P119">
            <v>1461.1648931072414</v>
          </cell>
          <cell r="Q119">
            <v>1461.1648931072414</v>
          </cell>
        </row>
        <row r="120">
          <cell r="B120">
            <v>142</v>
          </cell>
          <cell r="C120">
            <v>18261.085468049998</v>
          </cell>
          <cell r="E120">
            <v>142</v>
          </cell>
          <cell r="F120">
            <v>38748.507898429998</v>
          </cell>
          <cell r="H120">
            <v>142</v>
          </cell>
          <cell r="I120">
            <v>38748.507898429998</v>
          </cell>
          <cell r="K120" t="str">
            <v>Plaza</v>
          </cell>
          <cell r="L120">
            <v>5537.0284148958617</v>
          </cell>
          <cell r="M120">
            <v>4501.6040954105601</v>
          </cell>
          <cell r="N120">
            <v>4413.4823863075035</v>
          </cell>
          <cell r="O120">
            <v>5534.2795051285175</v>
          </cell>
          <cell r="P120">
            <v>5539.9450660332768</v>
          </cell>
          <cell r="Q120">
            <v>5539.9450660332768</v>
          </cell>
        </row>
        <row r="121">
          <cell r="B121">
            <v>146</v>
          </cell>
          <cell r="C121">
            <v>6160.7594956099992</v>
          </cell>
          <cell r="E121">
            <v>146</v>
          </cell>
          <cell r="F121">
            <v>12995.980432780001</v>
          </cell>
          <cell r="H121">
            <v>146</v>
          </cell>
          <cell r="I121">
            <v>12995.980432780001</v>
          </cell>
          <cell r="K121" t="str">
            <v>PMC</v>
          </cell>
          <cell r="L121">
            <v>3040.9762706686206</v>
          </cell>
          <cell r="M121">
            <v>2810.1092202540217</v>
          </cell>
          <cell r="N121">
            <v>2578.0823968499999</v>
          </cell>
          <cell r="O121">
            <v>3227.4162329566666</v>
          </cell>
          <cell r="P121">
            <v>3127.6638614310345</v>
          </cell>
          <cell r="Q121">
            <v>3127.6638614310345</v>
          </cell>
        </row>
        <row r="122">
          <cell r="B122">
            <v>147</v>
          </cell>
          <cell r="C122">
            <v>11312.421938280004</v>
          </cell>
          <cell r="E122">
            <v>147</v>
          </cell>
          <cell r="F122">
            <v>23010.92822767</v>
          </cell>
          <cell r="H122">
            <v>147</v>
          </cell>
          <cell r="I122">
            <v>23010.92822767</v>
          </cell>
          <cell r="K122" t="str">
            <v>Pullandri</v>
          </cell>
          <cell r="L122">
            <v>584.84240148620688</v>
          </cell>
          <cell r="M122">
            <v>559.46875455467398</v>
          </cell>
          <cell r="N122">
            <v>505.33758521999999</v>
          </cell>
          <cell r="O122">
            <v>631.83728558074074</v>
          </cell>
          <cell r="P122">
            <v>607.17584581999984</v>
          </cell>
          <cell r="Q122">
            <v>607.17584581999984</v>
          </cell>
        </row>
        <row r="123">
          <cell r="B123">
            <v>148</v>
          </cell>
          <cell r="C123">
            <v>3519.20276939</v>
          </cell>
          <cell r="E123">
            <v>148</v>
          </cell>
          <cell r="F123">
            <v>7342.0694397800007</v>
          </cell>
          <cell r="H123">
            <v>148</v>
          </cell>
          <cell r="I123">
            <v>7342.0694397800007</v>
          </cell>
          <cell r="K123" t="str">
            <v>Qamc Bahawalpur</v>
          </cell>
          <cell r="L123">
            <v>1846.6113809762069</v>
          </cell>
          <cell r="M123">
            <v>1849.9440503382611</v>
          </cell>
          <cell r="N123">
            <v>1717.0653505199998</v>
          </cell>
          <cell r="O123">
            <v>1873.6199845651852</v>
          </cell>
          <cell r="P123">
            <v>1870.1343308984483</v>
          </cell>
          <cell r="Q123">
            <v>1870.1343308984483</v>
          </cell>
        </row>
        <row r="124">
          <cell r="B124">
            <v>150</v>
          </cell>
          <cell r="C124">
            <v>13505.358444649999</v>
          </cell>
          <cell r="E124">
            <v>150</v>
          </cell>
          <cell r="F124">
            <v>28531.197106120002</v>
          </cell>
          <cell r="H124">
            <v>150</v>
          </cell>
          <cell r="I124">
            <v>28531.197106120002</v>
          </cell>
          <cell r="K124" t="str">
            <v>Railway Road Sheikhupura</v>
          </cell>
          <cell r="L124">
            <v>1850.1279066948275</v>
          </cell>
          <cell r="M124">
            <v>1816.9803008060869</v>
          </cell>
          <cell r="N124">
            <v>1738.7901568100001</v>
          </cell>
          <cell r="O124">
            <v>1939.0302307040738</v>
          </cell>
          <cell r="P124">
            <v>1900.1072370686211</v>
          </cell>
          <cell r="Q124">
            <v>1900.1072370686211</v>
          </cell>
        </row>
        <row r="125">
          <cell r="B125">
            <v>151</v>
          </cell>
          <cell r="C125">
            <v>6578.5574778500004</v>
          </cell>
          <cell r="E125">
            <v>151</v>
          </cell>
          <cell r="F125">
            <v>13584.977257199995</v>
          </cell>
          <cell r="H125">
            <v>151</v>
          </cell>
          <cell r="I125">
            <v>13584.977257199995</v>
          </cell>
          <cell r="K125" t="str">
            <v>Ram Din Bazar</v>
          </cell>
          <cell r="L125">
            <v>1418.0946132317242</v>
          </cell>
          <cell r="M125">
            <v>1323.7373373345652</v>
          </cell>
          <cell r="N125">
            <v>1111.5507132799999</v>
          </cell>
          <cell r="O125">
            <v>1529.2070951399999</v>
          </cell>
          <cell r="P125">
            <v>1471.1940364234483</v>
          </cell>
          <cell r="Q125">
            <v>1471.1940364234483</v>
          </cell>
        </row>
        <row r="126">
          <cell r="B126">
            <v>152</v>
          </cell>
          <cell r="C126">
            <v>14135.171356310007</v>
          </cell>
          <cell r="E126">
            <v>152</v>
          </cell>
          <cell r="F126">
            <v>30120.442063840008</v>
          </cell>
          <cell r="H126">
            <v>152</v>
          </cell>
          <cell r="I126">
            <v>30120.442063840008</v>
          </cell>
          <cell r="K126" t="str">
            <v>Rawalakot</v>
          </cell>
          <cell r="L126">
            <v>1310.7070457637931</v>
          </cell>
          <cell r="M126">
            <v>1214.4326161689132</v>
          </cell>
          <cell r="N126">
            <v>1089.7952560199999</v>
          </cell>
          <cell r="O126">
            <v>1299.3928699200001</v>
          </cell>
          <cell r="P126">
            <v>1305.4101652943104</v>
          </cell>
          <cell r="Q126">
            <v>1305.4101652943104</v>
          </cell>
        </row>
        <row r="127">
          <cell r="B127">
            <v>153</v>
          </cell>
          <cell r="C127">
            <v>2923.4560335599995</v>
          </cell>
          <cell r="E127">
            <v>153</v>
          </cell>
          <cell r="F127">
            <v>5971.4895720100012</v>
          </cell>
          <cell r="H127">
            <v>153</v>
          </cell>
          <cell r="I127">
            <v>5971.4895720100012</v>
          </cell>
          <cell r="K127" t="str">
            <v>Saddar</v>
          </cell>
          <cell r="L127">
            <v>3345.492066846552</v>
          </cell>
          <cell r="M127">
            <v>3195.9162762052779</v>
          </cell>
          <cell r="N127">
            <v>3301.3553387318029</v>
          </cell>
          <cell r="O127">
            <v>3339.7594820962968</v>
          </cell>
          <cell r="P127">
            <v>3354.301454942241</v>
          </cell>
          <cell r="Q127">
            <v>3354.301454942241</v>
          </cell>
        </row>
        <row r="128">
          <cell r="B128">
            <v>154</v>
          </cell>
          <cell r="C128">
            <v>16453.548350949997</v>
          </cell>
          <cell r="E128">
            <v>154</v>
          </cell>
          <cell r="F128">
            <v>32948.88637350002</v>
          </cell>
          <cell r="H128">
            <v>154</v>
          </cell>
          <cell r="I128">
            <v>32948.88637350002</v>
          </cell>
          <cell r="K128" t="str">
            <v>Sahiwal Rural Area</v>
          </cell>
          <cell r="L128">
            <v>1417.9492236844828</v>
          </cell>
          <cell r="M128">
            <v>1355.9743002454345</v>
          </cell>
          <cell r="N128">
            <v>1276.9747637599996</v>
          </cell>
          <cell r="O128">
            <v>1371.2433507414814</v>
          </cell>
          <cell r="P128">
            <v>1393.8313070681036</v>
          </cell>
          <cell r="Q128">
            <v>1393.8313070681036</v>
          </cell>
        </row>
        <row r="129">
          <cell r="B129">
            <v>156</v>
          </cell>
          <cell r="C129">
            <v>16907.909793119998</v>
          </cell>
          <cell r="E129">
            <v>156</v>
          </cell>
          <cell r="F129">
            <v>34859.09646963999</v>
          </cell>
          <cell r="H129">
            <v>156</v>
          </cell>
          <cell r="I129">
            <v>34859.09646963999</v>
          </cell>
          <cell r="K129" t="str">
            <v>SAM East</v>
          </cell>
          <cell r="L129">
            <v>9175.7471551596536</v>
          </cell>
          <cell r="M129">
            <v>8359.0580183371731</v>
          </cell>
          <cell r="N129">
            <v>8050.74157724</v>
          </cell>
          <cell r="O129">
            <v>9388.4501579877742</v>
          </cell>
          <cell r="P129">
            <v>9309.155585506549</v>
          </cell>
          <cell r="Q129">
            <v>9309.155585506549</v>
          </cell>
        </row>
        <row r="130">
          <cell r="B130">
            <v>158</v>
          </cell>
          <cell r="C130">
            <v>11412.662902890001</v>
          </cell>
          <cell r="E130">
            <v>158</v>
          </cell>
          <cell r="F130">
            <v>24506.309639040002</v>
          </cell>
          <cell r="H130">
            <v>158</v>
          </cell>
          <cell r="I130">
            <v>24506.309639040002</v>
          </cell>
          <cell r="K130" t="str">
            <v>SAM I</v>
          </cell>
          <cell r="L130">
            <v>5361.1871798003449</v>
          </cell>
          <cell r="M130">
            <v>4958.720914638081</v>
          </cell>
          <cell r="N130">
            <v>4830.3282401823672</v>
          </cell>
          <cell r="O130">
            <v>5670.7368296718514</v>
          </cell>
          <cell r="P130">
            <v>5505.7039760818971</v>
          </cell>
          <cell r="Q130">
            <v>5505.7039760818971</v>
          </cell>
        </row>
        <row r="131">
          <cell r="B131">
            <v>160</v>
          </cell>
          <cell r="C131">
            <v>25576.628810939997</v>
          </cell>
          <cell r="E131">
            <v>160</v>
          </cell>
          <cell r="F131">
            <v>55305.189018529993</v>
          </cell>
          <cell r="H131">
            <v>160</v>
          </cell>
          <cell r="I131">
            <v>55305.189018529993</v>
          </cell>
          <cell r="K131" t="str">
            <v>SAM II</v>
          </cell>
          <cell r="L131">
            <v>5251.7209657589647</v>
          </cell>
          <cell r="M131">
            <v>5142.8621385352144</v>
          </cell>
          <cell r="N131">
            <v>5120.4942810572402</v>
          </cell>
          <cell r="O131">
            <v>6103.5454087059261</v>
          </cell>
          <cell r="P131">
            <v>5674.5810241370691</v>
          </cell>
          <cell r="Q131">
            <v>5674.5810241370691</v>
          </cell>
        </row>
        <row r="132">
          <cell r="B132">
            <v>161</v>
          </cell>
          <cell r="C132">
            <v>10997.538101009999</v>
          </cell>
          <cell r="E132">
            <v>161</v>
          </cell>
          <cell r="F132">
            <v>23536.295568669993</v>
          </cell>
          <cell r="H132">
            <v>161</v>
          </cell>
          <cell r="I132">
            <v>23536.295568669993</v>
          </cell>
          <cell r="K132" t="str">
            <v>SAM North</v>
          </cell>
          <cell r="L132">
            <v>5595.6637995258607</v>
          </cell>
          <cell r="M132">
            <v>5328.3597219944277</v>
          </cell>
          <cell r="N132">
            <v>5145.0615087470132</v>
          </cell>
          <cell r="O132">
            <v>5887.9206364766651</v>
          </cell>
          <cell r="P132">
            <v>5733.5535600744824</v>
          </cell>
          <cell r="Q132">
            <v>5733.5535600744824</v>
          </cell>
        </row>
        <row r="133">
          <cell r="B133">
            <v>162</v>
          </cell>
          <cell r="C133">
            <v>12324.991238360002</v>
          </cell>
          <cell r="E133">
            <v>162</v>
          </cell>
          <cell r="F133">
            <v>25750.690268189985</v>
          </cell>
          <cell r="H133">
            <v>162</v>
          </cell>
          <cell r="I133">
            <v>25750.690268189985</v>
          </cell>
          <cell r="K133" t="str">
            <v>SAM South</v>
          </cell>
          <cell r="L133">
            <v>9659.3138239944838</v>
          </cell>
          <cell r="M133">
            <v>9636.8364907723535</v>
          </cell>
          <cell r="N133">
            <v>9780.9746410375392</v>
          </cell>
          <cell r="O133">
            <v>9168.7090617818503</v>
          </cell>
          <cell r="P133">
            <v>9443.1434229463812</v>
          </cell>
          <cell r="Q133">
            <v>9443.1434229463812</v>
          </cell>
        </row>
        <row r="134">
          <cell r="B134">
            <v>163</v>
          </cell>
          <cell r="C134">
            <v>4517.7558434700004</v>
          </cell>
          <cell r="E134">
            <v>163</v>
          </cell>
          <cell r="F134">
            <v>9509.6569608999998</v>
          </cell>
          <cell r="H134">
            <v>163</v>
          </cell>
          <cell r="I134">
            <v>9509.6569608999998</v>
          </cell>
          <cell r="K134" t="str">
            <v>SAM West</v>
          </cell>
          <cell r="L134">
            <v>5930.1805763772418</v>
          </cell>
          <cell r="M134">
            <v>5884.9183365700046</v>
          </cell>
          <cell r="N134">
            <v>5777.8235013932481</v>
          </cell>
          <cell r="O134">
            <v>5880.8974312411101</v>
          </cell>
          <cell r="P134">
            <v>5902.286897388105</v>
          </cell>
          <cell r="Q134">
            <v>5902.286897388105</v>
          </cell>
        </row>
        <row r="135">
          <cell r="B135">
            <v>164</v>
          </cell>
          <cell r="C135">
            <v>6197.1906207199991</v>
          </cell>
          <cell r="E135">
            <v>164</v>
          </cell>
          <cell r="F135">
            <v>12400.463282369998</v>
          </cell>
          <cell r="H135">
            <v>164</v>
          </cell>
          <cell r="I135">
            <v>12400.463282369998</v>
          </cell>
          <cell r="K135" t="str">
            <v>Samanabad</v>
          </cell>
          <cell r="L135">
            <v>3092.3426234510348</v>
          </cell>
          <cell r="M135">
            <v>3077.034010736957</v>
          </cell>
          <cell r="N135">
            <v>2929.5800480600001</v>
          </cell>
          <cell r="O135">
            <v>3140.8797707933331</v>
          </cell>
          <cell r="P135">
            <v>3113.8654025986207</v>
          </cell>
          <cell r="Q135">
            <v>3113.8654025986207</v>
          </cell>
        </row>
        <row r="136">
          <cell r="B136">
            <v>165</v>
          </cell>
          <cell r="C136">
            <v>7353.0546361600018</v>
          </cell>
          <cell r="E136">
            <v>165</v>
          </cell>
          <cell r="F136">
            <v>15884.286229160003</v>
          </cell>
          <cell r="H136">
            <v>165</v>
          </cell>
          <cell r="I136">
            <v>15884.286229160003</v>
          </cell>
          <cell r="K136" t="str">
            <v>Samundri</v>
          </cell>
          <cell r="L136">
            <v>1261.415493365517</v>
          </cell>
          <cell r="M136">
            <v>1202.0661674505436</v>
          </cell>
          <cell r="N136">
            <v>1162.13401047</v>
          </cell>
          <cell r="O136">
            <v>1307.3727897751853</v>
          </cell>
          <cell r="P136">
            <v>1282.0935006222414</v>
          </cell>
          <cell r="Q136">
            <v>1282.0935006222414</v>
          </cell>
        </row>
        <row r="137">
          <cell r="B137">
            <v>166</v>
          </cell>
          <cell r="C137">
            <v>13946.71040378</v>
          </cell>
          <cell r="E137">
            <v>166</v>
          </cell>
          <cell r="F137">
            <v>29976.062916600014</v>
          </cell>
          <cell r="H137">
            <v>166</v>
          </cell>
          <cell r="I137">
            <v>29976.062916600014</v>
          </cell>
          <cell r="K137" t="str">
            <v>Sarai Alamgir Area</v>
          </cell>
          <cell r="L137">
            <v>1547.8968870137926</v>
          </cell>
          <cell r="M137">
            <v>1537.8982332417374</v>
          </cell>
          <cell r="N137">
            <v>1416.7947958928376</v>
          </cell>
          <cell r="O137">
            <v>1619.9455270018523</v>
          </cell>
          <cell r="P137">
            <v>1581.7070617567235</v>
          </cell>
          <cell r="Q137">
            <v>1581.7070617567235</v>
          </cell>
        </row>
        <row r="138">
          <cell r="B138">
            <v>168</v>
          </cell>
          <cell r="C138">
            <v>8964.5659909900023</v>
          </cell>
          <cell r="E138">
            <v>168</v>
          </cell>
          <cell r="F138">
            <v>19213.092704690011</v>
          </cell>
          <cell r="H138">
            <v>168</v>
          </cell>
          <cell r="I138">
            <v>19213.092704690011</v>
          </cell>
          <cell r="K138" t="str">
            <v>Satellite</v>
          </cell>
          <cell r="L138">
            <v>4771.8095372496555</v>
          </cell>
          <cell r="M138">
            <v>4653.8623004365227</v>
          </cell>
          <cell r="N138">
            <v>4513.3732666470987</v>
          </cell>
          <cell r="O138">
            <v>5046.7014176081493</v>
          </cell>
          <cell r="P138">
            <v>4902.0584735034499</v>
          </cell>
          <cell r="Q138">
            <v>4902.0584735034499</v>
          </cell>
        </row>
        <row r="139">
          <cell r="B139">
            <v>169</v>
          </cell>
          <cell r="C139">
            <v>14179.058669319997</v>
          </cell>
          <cell r="E139">
            <v>169</v>
          </cell>
          <cell r="F139">
            <v>29857.647702160004</v>
          </cell>
          <cell r="H139">
            <v>169</v>
          </cell>
          <cell r="I139">
            <v>29857.647702160004</v>
          </cell>
          <cell r="K139" t="str">
            <v>Satellite Town - Gujranwala</v>
          </cell>
          <cell r="L139">
            <v>2995.9081378317237</v>
          </cell>
          <cell r="M139">
            <v>2867.5603433546739</v>
          </cell>
          <cell r="N139">
            <v>2830.6152957300005</v>
          </cell>
          <cell r="O139">
            <v>3136.2306182970369</v>
          </cell>
          <cell r="P139">
            <v>3059.1359507813786</v>
          </cell>
          <cell r="Q139">
            <v>3059.1359507813786</v>
          </cell>
        </row>
        <row r="140">
          <cell r="B140">
            <v>170</v>
          </cell>
          <cell r="C140">
            <v>16769.247045920001</v>
          </cell>
          <cell r="E140">
            <v>170</v>
          </cell>
          <cell r="F140">
            <v>35208.999872029992</v>
          </cell>
          <cell r="H140">
            <v>170</v>
          </cell>
          <cell r="I140">
            <v>35208.999872029992</v>
          </cell>
          <cell r="K140" t="str">
            <v>Satellite Town - Quetta</v>
          </cell>
          <cell r="L140">
            <v>3295.4398113755165</v>
          </cell>
          <cell r="M140">
            <v>2905.3283278931522</v>
          </cell>
          <cell r="N140">
            <v>2977.0758491600004</v>
          </cell>
          <cell r="O140">
            <v>3346.5418860548152</v>
          </cell>
          <cell r="P140">
            <v>3325.1099370970692</v>
          </cell>
          <cell r="Q140">
            <v>3325.1099370970692</v>
          </cell>
        </row>
        <row r="141">
          <cell r="B141">
            <v>171</v>
          </cell>
          <cell r="C141">
            <v>11082.154113709999</v>
          </cell>
          <cell r="E141">
            <v>171</v>
          </cell>
          <cell r="F141">
            <v>23334.19698121</v>
          </cell>
          <cell r="H141">
            <v>171</v>
          </cell>
          <cell r="I141">
            <v>23334.19698121</v>
          </cell>
          <cell r="K141" t="str">
            <v>SDV</v>
          </cell>
          <cell r="L141">
            <v>4858.588400699311</v>
          </cell>
          <cell r="M141">
            <v>4368.2177062045648</v>
          </cell>
          <cell r="N141">
            <v>3845.6574014100001</v>
          </cell>
          <cell r="O141">
            <v>5034.4608692592592</v>
          </cell>
          <cell r="P141">
            <v>4940.34142226931</v>
          </cell>
          <cell r="Q141">
            <v>4940.34142226931</v>
          </cell>
        </row>
        <row r="142">
          <cell r="B142">
            <v>172</v>
          </cell>
          <cell r="C142">
            <v>34920.374790349997</v>
          </cell>
          <cell r="E142">
            <v>172</v>
          </cell>
          <cell r="F142">
            <v>71148.791906779996</v>
          </cell>
          <cell r="H142">
            <v>172</v>
          </cell>
          <cell r="I142">
            <v>71148.791906779996</v>
          </cell>
          <cell r="K142" t="str">
            <v>Shahdara</v>
          </cell>
          <cell r="L142">
            <v>1800.4344230751726</v>
          </cell>
          <cell r="M142">
            <v>1767.2375568132609</v>
          </cell>
          <cell r="N142">
            <v>1670.8768971499999</v>
          </cell>
          <cell r="O142">
            <v>1819.3671851988888</v>
          </cell>
          <cell r="P142">
            <v>1811.460281948448</v>
          </cell>
          <cell r="Q142">
            <v>1811.460281948448</v>
          </cell>
        </row>
        <row r="143">
          <cell r="B143">
            <v>173</v>
          </cell>
          <cell r="C143">
            <v>8283.2108487699988</v>
          </cell>
          <cell r="E143">
            <v>173</v>
          </cell>
          <cell r="F143">
            <v>17023.990051239998</v>
          </cell>
          <cell r="H143">
            <v>173</v>
          </cell>
          <cell r="I143">
            <v>17023.990051239998</v>
          </cell>
          <cell r="K143" t="str">
            <v>Shahi Road Ryk</v>
          </cell>
          <cell r="L143">
            <v>3634.7574626237938</v>
          </cell>
          <cell r="M143">
            <v>3008.6250403843474</v>
          </cell>
          <cell r="N143">
            <v>2904.0041831999997</v>
          </cell>
          <cell r="O143">
            <v>4097.1437712214811</v>
          </cell>
          <cell r="P143">
            <v>3865.3734949725863</v>
          </cell>
          <cell r="Q143">
            <v>3865.3734949725863</v>
          </cell>
        </row>
        <row r="144">
          <cell r="B144">
            <v>174</v>
          </cell>
          <cell r="C144">
            <v>10224.946678929999</v>
          </cell>
          <cell r="E144">
            <v>174</v>
          </cell>
          <cell r="F144">
            <v>21175.708474729996</v>
          </cell>
          <cell r="H144">
            <v>174</v>
          </cell>
          <cell r="I144">
            <v>21175.708474729996</v>
          </cell>
          <cell r="K144" t="str">
            <v>Shaiwal Commercial Area</v>
          </cell>
          <cell r="L144">
            <v>1493.5108561655172</v>
          </cell>
          <cell r="M144">
            <v>1648.5855411588041</v>
          </cell>
          <cell r="N144">
            <v>1598.6621431900003</v>
          </cell>
          <cell r="O144">
            <v>1573.5551171514815</v>
          </cell>
          <cell r="P144">
            <v>1530.5552220560348</v>
          </cell>
          <cell r="Q144">
            <v>1530.5552220560348</v>
          </cell>
        </row>
        <row r="145">
          <cell r="B145">
            <v>175</v>
          </cell>
          <cell r="C145">
            <v>5847.4236575699997</v>
          </cell>
          <cell r="E145">
            <v>175</v>
          </cell>
          <cell r="F145">
            <v>12604.297130889998</v>
          </cell>
          <cell r="H145">
            <v>175</v>
          </cell>
          <cell r="I145">
            <v>12604.297130889998</v>
          </cell>
          <cell r="K145" t="str">
            <v>Shakargarh</v>
          </cell>
          <cell r="L145">
            <v>1744.5061171437931</v>
          </cell>
          <cell r="M145">
            <v>1638.2381072102173</v>
          </cell>
          <cell r="N145">
            <v>1588.81740691</v>
          </cell>
          <cell r="O145">
            <v>1824.0888525599999</v>
          </cell>
          <cell r="P145">
            <v>1782.3126926294824</v>
          </cell>
          <cell r="Q145">
            <v>1782.3126926294824</v>
          </cell>
        </row>
        <row r="146">
          <cell r="B146">
            <v>176</v>
          </cell>
          <cell r="C146">
            <v>15260.139362510005</v>
          </cell>
          <cell r="E146">
            <v>176</v>
          </cell>
          <cell r="F146">
            <v>32819.613124879994</v>
          </cell>
          <cell r="H146">
            <v>176</v>
          </cell>
          <cell r="I146">
            <v>32819.613124879994</v>
          </cell>
          <cell r="K146" t="str">
            <v>Sialkot-City</v>
          </cell>
          <cell r="L146">
            <v>2345.1284784168965</v>
          </cell>
          <cell r="M146">
            <v>2167.2324299663105</v>
          </cell>
          <cell r="N146">
            <v>2062.6993702887644</v>
          </cell>
          <cell r="O146">
            <v>2477.1640260733338</v>
          </cell>
          <cell r="P146">
            <v>2407.5349402101729</v>
          </cell>
          <cell r="Q146">
            <v>2407.5349402101729</v>
          </cell>
        </row>
        <row r="147">
          <cell r="B147">
            <v>177</v>
          </cell>
          <cell r="C147">
            <v>25664.988312010002</v>
          </cell>
          <cell r="E147">
            <v>177</v>
          </cell>
          <cell r="F147">
            <v>54530.090992659985</v>
          </cell>
          <cell r="H147">
            <v>177</v>
          </cell>
          <cell r="I147">
            <v>54530.090992659985</v>
          </cell>
          <cell r="K147" t="str">
            <v>Skardu</v>
          </cell>
          <cell r="L147">
            <v>392.41918801689661</v>
          </cell>
          <cell r="M147">
            <v>400.54187846000002</v>
          </cell>
          <cell r="N147">
            <v>339.09962691999999</v>
          </cell>
          <cell r="O147">
            <v>393.18972708407404</v>
          </cell>
          <cell r="P147">
            <v>392.57761318896559</v>
          </cell>
          <cell r="Q147">
            <v>392.57761318896559</v>
          </cell>
        </row>
        <row r="148">
          <cell r="B148">
            <v>178</v>
          </cell>
          <cell r="C148">
            <v>7434.2616050500019</v>
          </cell>
          <cell r="E148">
            <v>178</v>
          </cell>
          <cell r="F148">
            <v>15819.328508119997</v>
          </cell>
          <cell r="H148">
            <v>178</v>
          </cell>
          <cell r="I148">
            <v>15819.328508119997</v>
          </cell>
          <cell r="K148" t="str">
            <v>SUKKUR</v>
          </cell>
          <cell r="L148">
            <v>1262.9277216389655</v>
          </cell>
          <cell r="M148">
            <v>1253.5317206273915</v>
          </cell>
          <cell r="N148">
            <v>1231.4288674300001</v>
          </cell>
          <cell r="O148">
            <v>1323.3336023385184</v>
          </cell>
          <cell r="P148">
            <v>1294.2149685132761</v>
          </cell>
          <cell r="Q148">
            <v>1294.2149685132761</v>
          </cell>
        </row>
        <row r="149">
          <cell r="B149">
            <v>179</v>
          </cell>
          <cell r="C149">
            <v>11881.138003889999</v>
          </cell>
          <cell r="E149">
            <v>179</v>
          </cell>
          <cell r="F149">
            <v>25571.755746099992</v>
          </cell>
          <cell r="H149">
            <v>179</v>
          </cell>
          <cell r="I149">
            <v>25571.755746099992</v>
          </cell>
          <cell r="K149" t="str">
            <v>Swabi</v>
          </cell>
          <cell r="L149">
            <v>2119.9849575862067</v>
          </cell>
          <cell r="M149">
            <v>2075.759267239674</v>
          </cell>
          <cell r="N149">
            <v>1938.3935941199998</v>
          </cell>
          <cell r="O149">
            <v>2206.5367333114814</v>
          </cell>
          <cell r="P149">
            <v>2161.1038508629317</v>
          </cell>
          <cell r="Q149">
            <v>2161.1038508629317</v>
          </cell>
        </row>
        <row r="150">
          <cell r="B150">
            <v>180</v>
          </cell>
          <cell r="C150">
            <v>6709.4609527499988</v>
          </cell>
          <cell r="E150">
            <v>180</v>
          </cell>
          <cell r="F150">
            <v>14236.386255749996</v>
          </cell>
          <cell r="H150">
            <v>180</v>
          </cell>
          <cell r="I150">
            <v>14236.386255749996</v>
          </cell>
          <cell r="K150" t="str">
            <v>Talagang</v>
          </cell>
          <cell r="L150">
            <v>456.78450285793099</v>
          </cell>
          <cell r="M150">
            <v>446.46984074119575</v>
          </cell>
          <cell r="N150">
            <v>397.06999792000005</v>
          </cell>
          <cell r="O150">
            <v>461.98548771481495</v>
          </cell>
          <cell r="P150">
            <v>458.88571121586233</v>
          </cell>
          <cell r="Q150">
            <v>458.88571121586233</v>
          </cell>
        </row>
        <row r="151">
          <cell r="B151">
            <v>182</v>
          </cell>
          <cell r="C151">
            <v>52910.156968820018</v>
          </cell>
          <cell r="E151">
            <v>182</v>
          </cell>
          <cell r="F151">
            <v>111623.3478716901</v>
          </cell>
          <cell r="H151">
            <v>182</v>
          </cell>
          <cell r="I151">
            <v>111623.3478716901</v>
          </cell>
          <cell r="K151" t="str">
            <v>Timergara</v>
          </cell>
          <cell r="L151">
            <v>4598.9785022551732</v>
          </cell>
          <cell r="M151">
            <v>4157.3566292860869</v>
          </cell>
          <cell r="N151">
            <v>3824.9051364900001</v>
          </cell>
          <cell r="O151">
            <v>4667.9669649548159</v>
          </cell>
          <cell r="P151">
            <v>4637.0775499762076</v>
          </cell>
          <cell r="Q151">
            <v>4637.0775499762076</v>
          </cell>
        </row>
        <row r="152">
          <cell r="B152">
            <v>183</v>
          </cell>
          <cell r="C152">
            <v>9329.1714779699996</v>
          </cell>
          <cell r="E152">
            <v>183</v>
          </cell>
          <cell r="F152">
            <v>20423.406659229997</v>
          </cell>
          <cell r="H152">
            <v>183</v>
          </cell>
          <cell r="I152">
            <v>20423.406659229997</v>
          </cell>
          <cell r="K152" t="str">
            <v>Toba Tek Singh</v>
          </cell>
          <cell r="L152">
            <v>1997.1733652206899</v>
          </cell>
          <cell r="M152">
            <v>1875.087820744674</v>
          </cell>
          <cell r="N152">
            <v>1748.6967423099998</v>
          </cell>
          <cell r="O152">
            <v>2121.7592556933328</v>
          </cell>
          <cell r="P152">
            <v>2059.7222436986203</v>
          </cell>
          <cell r="Q152">
            <v>2059.7222436986203</v>
          </cell>
        </row>
        <row r="153">
          <cell r="B153">
            <v>184</v>
          </cell>
          <cell r="C153">
            <v>8414.5069264100002</v>
          </cell>
          <cell r="E153">
            <v>184</v>
          </cell>
          <cell r="F153">
            <v>17425.643761549993</v>
          </cell>
          <cell r="H153">
            <v>184</v>
          </cell>
          <cell r="I153">
            <v>17425.643761549993</v>
          </cell>
          <cell r="K153" t="str">
            <v>University</v>
          </cell>
          <cell r="L153">
            <v>2328.1773433610347</v>
          </cell>
          <cell r="M153">
            <v>2508.4530178158698</v>
          </cell>
          <cell r="N153">
            <v>2255.16669791</v>
          </cell>
          <cell r="O153">
            <v>2313.9958667922224</v>
          </cell>
          <cell r="P153">
            <v>2321.6035505237928</v>
          </cell>
          <cell r="Q153">
            <v>2321.6035505237928</v>
          </cell>
        </row>
        <row r="154">
          <cell r="B154">
            <v>185</v>
          </cell>
          <cell r="C154">
            <v>15365.461376510006</v>
          </cell>
          <cell r="E154">
            <v>185</v>
          </cell>
          <cell r="F154">
            <v>32068.357197310004</v>
          </cell>
          <cell r="H154">
            <v>185</v>
          </cell>
          <cell r="I154">
            <v>32068.357197310004</v>
          </cell>
          <cell r="K154" t="str">
            <v>University Campus</v>
          </cell>
          <cell r="L154">
            <v>4822.179793787931</v>
          </cell>
          <cell r="M154">
            <v>5054.4552920848919</v>
          </cell>
          <cell r="N154">
            <v>4938.5878145000006</v>
          </cell>
          <cell r="O154">
            <v>5050.1558724785191</v>
          </cell>
          <cell r="P154">
            <v>4927.6530073287913</v>
          </cell>
          <cell r="Q154">
            <v>4927.6530073287913</v>
          </cell>
        </row>
        <row r="155">
          <cell r="B155">
            <v>186</v>
          </cell>
          <cell r="C155">
            <v>10269.533088780001</v>
          </cell>
          <cell r="E155">
            <v>186</v>
          </cell>
          <cell r="F155">
            <v>22277.193327639998</v>
          </cell>
          <cell r="H155">
            <v>186</v>
          </cell>
          <cell r="I155">
            <v>22277.193327639998</v>
          </cell>
          <cell r="K155" t="str">
            <v>Wah</v>
          </cell>
          <cell r="L155">
            <v>2512.2059667055169</v>
          </cell>
          <cell r="M155">
            <v>2404.3298315126076</v>
          </cell>
          <cell r="N155">
            <v>2295.392120074031</v>
          </cell>
          <cell r="O155">
            <v>2560.2264996399999</v>
          </cell>
          <cell r="P155">
            <v>2534.4281586389652</v>
          </cell>
          <cell r="Q155">
            <v>2534.4281586389652</v>
          </cell>
        </row>
        <row r="156">
          <cell r="B156">
            <v>187</v>
          </cell>
          <cell r="C156">
            <v>6907.8864375100002</v>
          </cell>
          <cell r="E156">
            <v>187</v>
          </cell>
          <cell r="F156">
            <v>14401.690105340005</v>
          </cell>
          <cell r="H156">
            <v>187</v>
          </cell>
          <cell r="I156">
            <v>14401.690105340005</v>
          </cell>
          <cell r="K156" t="str">
            <v>Mall Area</v>
          </cell>
          <cell r="L156">
            <v>3548.8390223227584</v>
          </cell>
          <cell r="M156">
            <v>3352.3737596838209</v>
          </cell>
          <cell r="N156">
            <v>3388.9052081630966</v>
          </cell>
          <cell r="O156">
            <v>3658.1612648659266</v>
          </cell>
          <cell r="P156">
            <v>3612.6696556027591</v>
          </cell>
          <cell r="Q156">
            <v>3612.6696556027591</v>
          </cell>
        </row>
        <row r="157">
          <cell r="B157">
            <v>188</v>
          </cell>
          <cell r="C157">
            <v>3361.8470253200007</v>
          </cell>
          <cell r="E157">
            <v>188</v>
          </cell>
          <cell r="F157">
            <v>7193.4595781499993</v>
          </cell>
          <cell r="H157">
            <v>188</v>
          </cell>
          <cell r="I157">
            <v>7193.4595781499993</v>
          </cell>
          <cell r="K157" t="str">
            <v>Shadman Area</v>
          </cell>
          <cell r="L157">
            <v>3270.086452866552</v>
          </cell>
          <cell r="M157">
            <v>3078.352462142283</v>
          </cell>
          <cell r="N157">
            <v>2954.14950916</v>
          </cell>
          <cell r="O157">
            <v>3318.3597868885186</v>
          </cell>
          <cell r="P157">
            <v>3293.1435013344822</v>
          </cell>
          <cell r="Q157">
            <v>3293.1435013344822</v>
          </cell>
        </row>
        <row r="158">
          <cell r="B158">
            <v>189</v>
          </cell>
          <cell r="C158">
            <v>7394.0172504100001</v>
          </cell>
          <cell r="E158">
            <v>189</v>
          </cell>
          <cell r="F158">
            <v>15674.768912719997</v>
          </cell>
          <cell r="H158">
            <v>189</v>
          </cell>
          <cell r="I158">
            <v>15674.768912719997</v>
          </cell>
          <cell r="K158" t="str">
            <v>Davis Road</v>
          </cell>
          <cell r="L158">
            <v>3041.3491127386205</v>
          </cell>
          <cell r="M158">
            <v>2896.9021224955504</v>
          </cell>
          <cell r="N158">
            <v>2774.9769248781586</v>
          </cell>
          <cell r="O158">
            <v>3070.2969052614822</v>
          </cell>
          <cell r="P158">
            <v>3056.8428202527584</v>
          </cell>
          <cell r="Q158">
            <v>3056.8428202527584</v>
          </cell>
        </row>
        <row r="159">
          <cell r="B159">
            <v>190</v>
          </cell>
          <cell r="C159">
            <v>19766.81621972</v>
          </cell>
          <cell r="E159">
            <v>190</v>
          </cell>
          <cell r="F159">
            <v>41941.868378169995</v>
          </cell>
          <cell r="H159">
            <v>190</v>
          </cell>
          <cell r="I159">
            <v>41941.868378169995</v>
          </cell>
          <cell r="K159" t="str">
            <v>Cantonment Area</v>
          </cell>
          <cell r="L159">
            <v>5815.4293118965525</v>
          </cell>
          <cell r="M159">
            <v>5455.8130568678371</v>
          </cell>
          <cell r="N159">
            <v>5119.4791345677295</v>
          </cell>
          <cell r="O159">
            <v>6033.0946051840729</v>
          </cell>
          <cell r="P159">
            <v>5929.061975793622</v>
          </cell>
          <cell r="Q159">
            <v>5929.061975793622</v>
          </cell>
        </row>
        <row r="160">
          <cell r="B160">
            <v>191</v>
          </cell>
          <cell r="C160">
            <v>5710.1492724000009</v>
          </cell>
          <cell r="E160">
            <v>191</v>
          </cell>
          <cell r="F160">
            <v>12147.977821229997</v>
          </cell>
          <cell r="H160">
            <v>191</v>
          </cell>
          <cell r="I160">
            <v>12147.977821229997</v>
          </cell>
          <cell r="K160" t="str">
            <v>Lake Road Area</v>
          </cell>
          <cell r="L160">
            <v>2854.2856842886208</v>
          </cell>
          <cell r="M160">
            <v>2828.0623692763043</v>
          </cell>
          <cell r="N160">
            <v>2822.7623394500001</v>
          </cell>
          <cell r="O160">
            <v>2968.7342559837043</v>
          </cell>
          <cell r="P160">
            <v>2916.9105993843104</v>
          </cell>
          <cell r="Q160">
            <v>2916.9105993843104</v>
          </cell>
        </row>
        <row r="161">
          <cell r="B161">
            <v>192</v>
          </cell>
          <cell r="C161">
            <v>9898.8857722300017</v>
          </cell>
          <cell r="E161">
            <v>192</v>
          </cell>
          <cell r="F161">
            <v>20504.998482100011</v>
          </cell>
          <cell r="H161">
            <v>192</v>
          </cell>
          <cell r="I161">
            <v>20504.998482100011</v>
          </cell>
          <cell r="K161" t="str">
            <v>Wapda Area</v>
          </cell>
          <cell r="L161">
            <v>4302.0002716117233</v>
          </cell>
          <cell r="M161">
            <v>4348.7717241082346</v>
          </cell>
          <cell r="N161">
            <v>4570.895555324164</v>
          </cell>
          <cell r="O161">
            <v>4526.0653818437031</v>
          </cell>
          <cell r="P161">
            <v>4413.7903023272411</v>
          </cell>
          <cell r="Q161">
            <v>4413.7903023272411</v>
          </cell>
        </row>
        <row r="162">
          <cell r="B162">
            <v>194</v>
          </cell>
          <cell r="C162">
            <v>10805.5059747</v>
          </cell>
          <cell r="E162">
            <v>194</v>
          </cell>
          <cell r="F162">
            <v>22575.624338359998</v>
          </cell>
          <cell r="H162">
            <v>194</v>
          </cell>
          <cell r="I162">
            <v>22575.624338359998</v>
          </cell>
          <cell r="K162" t="str">
            <v>Gulberg Area</v>
          </cell>
          <cell r="L162">
            <v>6094.7716328896549</v>
          </cell>
          <cell r="M162">
            <v>6017.6382311368898</v>
          </cell>
          <cell r="N162">
            <v>5014.7307934110095</v>
          </cell>
          <cell r="O162">
            <v>6216.4608237503699</v>
          </cell>
          <cell r="P162">
            <v>6153.5616423468964</v>
          </cell>
          <cell r="Q162">
            <v>6153.5616423468964</v>
          </cell>
        </row>
        <row r="163">
          <cell r="B163">
            <v>195</v>
          </cell>
          <cell r="C163">
            <v>18519.463769400001</v>
          </cell>
          <cell r="E163">
            <v>195</v>
          </cell>
          <cell r="F163">
            <v>38077.28104201</v>
          </cell>
          <cell r="H163">
            <v>195</v>
          </cell>
          <cell r="I163">
            <v>38077.28104201</v>
          </cell>
          <cell r="K163" t="str">
            <v>Shadbagh Area</v>
          </cell>
          <cell r="L163">
            <v>3089.7408821065519</v>
          </cell>
          <cell r="M163">
            <v>3135.703234235978</v>
          </cell>
          <cell r="N163">
            <v>3066.6390653799999</v>
          </cell>
          <cell r="O163">
            <v>3295.1301057940736</v>
          </cell>
          <cell r="P163">
            <v>3191.3740801370695</v>
          </cell>
          <cell r="Q163">
            <v>3191.3740801370695</v>
          </cell>
        </row>
        <row r="164">
          <cell r="B164">
            <v>196</v>
          </cell>
          <cell r="C164">
            <v>23537.194066589997</v>
          </cell>
          <cell r="E164">
            <v>196</v>
          </cell>
          <cell r="F164">
            <v>48800.45201583</v>
          </cell>
          <cell r="H164">
            <v>196</v>
          </cell>
          <cell r="I164">
            <v>48800.45201583</v>
          </cell>
          <cell r="K164" t="str">
            <v>Allama Iqbal Town Area</v>
          </cell>
          <cell r="L164">
            <v>3118.0831610503446</v>
          </cell>
          <cell r="M164">
            <v>2961.2905573379117</v>
          </cell>
          <cell r="N164">
            <v>2792.6900649877948</v>
          </cell>
          <cell r="O164">
            <v>3368.8340265592587</v>
          </cell>
          <cell r="P164">
            <v>3241.6013140717237</v>
          </cell>
          <cell r="Q164">
            <v>3241.6013140717237</v>
          </cell>
        </row>
        <row r="165">
          <cell r="B165">
            <v>197</v>
          </cell>
          <cell r="C165">
            <v>12751.881596100002</v>
          </cell>
          <cell r="E165">
            <v>197</v>
          </cell>
          <cell r="F165">
            <v>26046.11109319</v>
          </cell>
          <cell r="H165">
            <v>197</v>
          </cell>
          <cell r="I165">
            <v>26046.11109319</v>
          </cell>
          <cell r="K165" t="str">
            <v>Model Town Area</v>
          </cell>
          <cell r="L165">
            <v>3696.0096979489658</v>
          </cell>
          <cell r="M165">
            <v>3618.8729676941302</v>
          </cell>
          <cell r="N165">
            <v>3273.2871015400005</v>
          </cell>
          <cell r="O165">
            <v>3735.3762916914816</v>
          </cell>
          <cell r="P165">
            <v>3715.5809477950006</v>
          </cell>
          <cell r="Q165">
            <v>3715.5809477950006</v>
          </cell>
        </row>
        <row r="166">
          <cell r="B166">
            <v>198</v>
          </cell>
          <cell r="C166">
            <v>14323.626057430005</v>
          </cell>
          <cell r="E166">
            <v>198</v>
          </cell>
          <cell r="F166">
            <v>30771.335063310009</v>
          </cell>
          <cell r="H166">
            <v>198</v>
          </cell>
          <cell r="I166">
            <v>30771.335063310009</v>
          </cell>
          <cell r="K166" t="str">
            <v>Univeristies Area</v>
          </cell>
          <cell r="L166">
            <v>1842.7751072813794</v>
          </cell>
          <cell r="M166">
            <v>1910.2966272908693</v>
          </cell>
          <cell r="N166">
            <v>1810.9598421199998</v>
          </cell>
          <cell r="O166">
            <v>1958.4815639666667</v>
          </cell>
          <cell r="P166">
            <v>1895.7943080541377</v>
          </cell>
          <cell r="Q166">
            <v>1895.7943080541377</v>
          </cell>
        </row>
        <row r="167">
          <cell r="B167">
            <v>199</v>
          </cell>
          <cell r="C167">
            <v>15507.527988589996</v>
          </cell>
          <cell r="E167">
            <v>199</v>
          </cell>
          <cell r="F167">
            <v>29974.939046319989</v>
          </cell>
          <cell r="H167">
            <v>199</v>
          </cell>
          <cell r="I167">
            <v>29974.939046319989</v>
          </cell>
          <cell r="K167" t="str">
            <v>Peshawar Cantt</v>
          </cell>
          <cell r="L167">
            <v>4206.9140014472414</v>
          </cell>
          <cell r="M167">
            <v>3883.6298070366365</v>
          </cell>
          <cell r="N167">
            <v>4000.2206699588264</v>
          </cell>
          <cell r="O167">
            <v>4479.0351912544447</v>
          </cell>
          <cell r="P167">
            <v>4360.3535007003447</v>
          </cell>
          <cell r="Q167">
            <v>4360.3535007003447</v>
          </cell>
        </row>
        <row r="168">
          <cell r="B168">
            <v>201</v>
          </cell>
          <cell r="C168">
            <v>15098.547121240003</v>
          </cell>
          <cell r="E168">
            <v>201</v>
          </cell>
          <cell r="F168">
            <v>32079.76655428001</v>
          </cell>
          <cell r="H168">
            <v>201</v>
          </cell>
          <cell r="I168">
            <v>32079.76655428001</v>
          </cell>
          <cell r="K168" t="str">
            <v>Grand Total</v>
          </cell>
          <cell r="L168">
            <v>392651.87298363756</v>
          </cell>
          <cell r="M168">
            <v>378048.53331898001</v>
          </cell>
          <cell r="N168">
            <v>359573.2687283429</v>
          </cell>
          <cell r="O168">
            <v>404999.83942857687</v>
          </cell>
          <cell r="P168">
            <v>398735.38109528046</v>
          </cell>
          <cell r="Q168">
            <v>398735.38109528046</v>
          </cell>
        </row>
        <row r="169">
          <cell r="B169">
            <v>202</v>
          </cell>
          <cell r="C169">
            <v>15789.381316360001</v>
          </cell>
          <cell r="E169">
            <v>202</v>
          </cell>
          <cell r="F169">
            <v>33175.767247579992</v>
          </cell>
          <cell r="H169">
            <v>202</v>
          </cell>
          <cell r="I169">
            <v>33175.767247579992</v>
          </cell>
        </row>
        <row r="170">
          <cell r="B170">
            <v>203</v>
          </cell>
          <cell r="C170">
            <v>6160.4321824699991</v>
          </cell>
          <cell r="E170">
            <v>203</v>
          </cell>
          <cell r="F170">
            <v>12874.640346900002</v>
          </cell>
          <cell r="H170">
            <v>203</v>
          </cell>
          <cell r="I170">
            <v>12874.640346900002</v>
          </cell>
        </row>
        <row r="171">
          <cell r="B171">
            <v>204</v>
          </cell>
          <cell r="C171">
            <v>6856.1127618600003</v>
          </cell>
          <cell r="E171">
            <v>204</v>
          </cell>
          <cell r="F171">
            <v>14289.526167660002</v>
          </cell>
          <cell r="H171">
            <v>204</v>
          </cell>
          <cell r="I171">
            <v>14289.526167660002</v>
          </cell>
        </row>
        <row r="172">
          <cell r="B172">
            <v>205</v>
          </cell>
          <cell r="C172">
            <v>3326.5280940499997</v>
          </cell>
          <cell r="E172">
            <v>205</v>
          </cell>
          <cell r="F172">
            <v>7005.2807570499999</v>
          </cell>
          <cell r="H172">
            <v>205</v>
          </cell>
          <cell r="I172">
            <v>7005.2807570499999</v>
          </cell>
        </row>
        <row r="173">
          <cell r="B173">
            <v>206</v>
          </cell>
          <cell r="C173">
            <v>2706.7591545300002</v>
          </cell>
          <cell r="E173">
            <v>206</v>
          </cell>
          <cell r="F173">
            <v>5566.2090039700024</v>
          </cell>
          <cell r="H173">
            <v>206</v>
          </cell>
          <cell r="I173">
            <v>5566.2090039700024</v>
          </cell>
        </row>
        <row r="174">
          <cell r="B174">
            <v>207</v>
          </cell>
          <cell r="C174">
            <v>1944.9178805700001</v>
          </cell>
          <cell r="E174">
            <v>207</v>
          </cell>
          <cell r="F174">
            <v>4345.9862042299992</v>
          </cell>
          <cell r="H174">
            <v>207</v>
          </cell>
          <cell r="I174">
            <v>4345.9862042299992</v>
          </cell>
        </row>
        <row r="175">
          <cell r="B175">
            <v>208</v>
          </cell>
          <cell r="C175">
            <v>6193.0987430399982</v>
          </cell>
          <cell r="E175">
            <v>208</v>
          </cell>
          <cell r="F175">
            <v>13501.256192179999</v>
          </cell>
          <cell r="H175">
            <v>208</v>
          </cell>
          <cell r="I175">
            <v>13501.256192179999</v>
          </cell>
        </row>
        <row r="176">
          <cell r="B176">
            <v>209</v>
          </cell>
          <cell r="C176">
            <v>14439.881745439996</v>
          </cell>
          <cell r="E176">
            <v>209</v>
          </cell>
          <cell r="F176">
            <v>34530.226416699996</v>
          </cell>
          <cell r="H176">
            <v>209</v>
          </cell>
          <cell r="I176">
            <v>34530.226416699996</v>
          </cell>
        </row>
        <row r="177">
          <cell r="B177">
            <v>210</v>
          </cell>
          <cell r="C177">
            <v>8552.6053705500035</v>
          </cell>
          <cell r="E177">
            <v>210</v>
          </cell>
          <cell r="F177">
            <v>18007.417080359995</v>
          </cell>
          <cell r="H177">
            <v>210</v>
          </cell>
          <cell r="I177">
            <v>18007.417080359995</v>
          </cell>
        </row>
        <row r="178">
          <cell r="B178">
            <v>211</v>
          </cell>
          <cell r="C178">
            <v>24414.72773346</v>
          </cell>
          <cell r="E178">
            <v>211</v>
          </cell>
          <cell r="F178">
            <v>50745.979717149996</v>
          </cell>
          <cell r="H178">
            <v>211</v>
          </cell>
          <cell r="I178">
            <v>50745.979717149996</v>
          </cell>
        </row>
        <row r="179">
          <cell r="B179">
            <v>212</v>
          </cell>
          <cell r="C179">
            <v>7212.319496449999</v>
          </cell>
          <cell r="E179">
            <v>212</v>
          </cell>
          <cell r="F179">
            <v>15250.56374439</v>
          </cell>
          <cell r="H179">
            <v>212</v>
          </cell>
          <cell r="I179">
            <v>15250.56374439</v>
          </cell>
        </row>
        <row r="180">
          <cell r="B180">
            <v>213</v>
          </cell>
          <cell r="C180">
            <v>2314.8476684499997</v>
          </cell>
          <cell r="E180">
            <v>213</v>
          </cell>
          <cell r="F180">
            <v>5038.6537756099997</v>
          </cell>
          <cell r="H180">
            <v>213</v>
          </cell>
          <cell r="I180">
            <v>5038.6537756099997</v>
          </cell>
        </row>
        <row r="181">
          <cell r="B181">
            <v>214</v>
          </cell>
          <cell r="C181">
            <v>8689.3143172299988</v>
          </cell>
          <cell r="E181">
            <v>214</v>
          </cell>
          <cell r="F181">
            <v>18730.217091379993</v>
          </cell>
          <cell r="H181">
            <v>214</v>
          </cell>
          <cell r="I181">
            <v>18730.217091379993</v>
          </cell>
        </row>
        <row r="182">
          <cell r="B182">
            <v>215</v>
          </cell>
          <cell r="C182">
            <v>11504.547145739998</v>
          </cell>
          <cell r="E182">
            <v>215</v>
          </cell>
          <cell r="F182">
            <v>23868.667161669997</v>
          </cell>
          <cell r="H182">
            <v>215</v>
          </cell>
          <cell r="I182">
            <v>23868.667161669997</v>
          </cell>
        </row>
        <row r="183">
          <cell r="B183">
            <v>216</v>
          </cell>
          <cell r="C183">
            <v>12206.746834280004</v>
          </cell>
          <cell r="E183">
            <v>216</v>
          </cell>
          <cell r="F183">
            <v>26454.556336979989</v>
          </cell>
          <cell r="H183">
            <v>216</v>
          </cell>
          <cell r="I183">
            <v>26454.556336979989</v>
          </cell>
        </row>
        <row r="184">
          <cell r="B184">
            <v>217</v>
          </cell>
          <cell r="C184">
            <v>15828.121512079993</v>
          </cell>
          <cell r="E184">
            <v>217</v>
          </cell>
          <cell r="F184">
            <v>33237.656984690002</v>
          </cell>
          <cell r="H184">
            <v>217</v>
          </cell>
          <cell r="I184">
            <v>33237.656984690002</v>
          </cell>
        </row>
        <row r="185">
          <cell r="B185">
            <v>218</v>
          </cell>
          <cell r="C185">
            <v>14614.782039270003</v>
          </cell>
          <cell r="E185">
            <v>218</v>
          </cell>
          <cell r="F185">
            <v>31248.108729410029</v>
          </cell>
          <cell r="H185">
            <v>218</v>
          </cell>
          <cell r="I185">
            <v>31248.108729410029</v>
          </cell>
        </row>
        <row r="186">
          <cell r="B186">
            <v>219</v>
          </cell>
          <cell r="C186">
            <v>26415.231198359998</v>
          </cell>
          <cell r="E186">
            <v>219</v>
          </cell>
          <cell r="F186">
            <v>55949.738697079978</v>
          </cell>
          <cell r="H186">
            <v>219</v>
          </cell>
          <cell r="I186">
            <v>55949.738697079978</v>
          </cell>
        </row>
        <row r="187">
          <cell r="B187">
            <v>221</v>
          </cell>
          <cell r="C187">
            <v>39959.640954760005</v>
          </cell>
          <cell r="E187">
            <v>221</v>
          </cell>
          <cell r="F187">
            <v>82826.765458039969</v>
          </cell>
          <cell r="H187">
            <v>221</v>
          </cell>
          <cell r="I187">
            <v>82826.765458039969</v>
          </cell>
        </row>
        <row r="188">
          <cell r="B188">
            <v>222</v>
          </cell>
          <cell r="C188">
            <v>21548.182672429997</v>
          </cell>
          <cell r="E188">
            <v>222</v>
          </cell>
          <cell r="F188">
            <v>45240.87097467998</v>
          </cell>
          <cell r="H188">
            <v>222</v>
          </cell>
          <cell r="I188">
            <v>45240.87097467998</v>
          </cell>
        </row>
        <row r="189">
          <cell r="B189">
            <v>223</v>
          </cell>
          <cell r="C189">
            <v>11547.404285150002</v>
          </cell>
          <cell r="E189">
            <v>223</v>
          </cell>
          <cell r="F189">
            <v>26232.322805820007</v>
          </cell>
          <cell r="H189">
            <v>223</v>
          </cell>
          <cell r="I189">
            <v>26232.322805820007</v>
          </cell>
        </row>
        <row r="190">
          <cell r="B190">
            <v>224</v>
          </cell>
          <cell r="C190">
            <v>30879.874110419994</v>
          </cell>
          <cell r="E190">
            <v>224</v>
          </cell>
          <cell r="F190">
            <v>61936.516447550013</v>
          </cell>
          <cell r="H190">
            <v>224</v>
          </cell>
          <cell r="I190">
            <v>61936.516447550013</v>
          </cell>
        </row>
        <row r="191">
          <cell r="B191">
            <v>225</v>
          </cell>
          <cell r="C191">
            <v>8213.8350330600006</v>
          </cell>
          <cell r="E191">
            <v>225</v>
          </cell>
          <cell r="F191">
            <v>17033.74043342</v>
          </cell>
          <cell r="H191">
            <v>225</v>
          </cell>
          <cell r="I191">
            <v>17033.74043342</v>
          </cell>
        </row>
        <row r="192">
          <cell r="B192">
            <v>226</v>
          </cell>
          <cell r="C192">
            <v>2596.6685843800001</v>
          </cell>
          <cell r="E192">
            <v>226</v>
          </cell>
          <cell r="F192">
            <v>5292.7083502800006</v>
          </cell>
          <cell r="H192">
            <v>226</v>
          </cell>
          <cell r="I192">
            <v>5292.7083502800006</v>
          </cell>
        </row>
        <row r="193">
          <cell r="B193">
            <v>227</v>
          </cell>
          <cell r="C193">
            <v>908.54357002000006</v>
          </cell>
          <cell r="E193">
            <v>227</v>
          </cell>
          <cell r="F193">
            <v>1989.6280109700001</v>
          </cell>
          <cell r="H193">
            <v>227</v>
          </cell>
          <cell r="I193">
            <v>1989.6280109700001</v>
          </cell>
        </row>
        <row r="194">
          <cell r="B194">
            <v>228</v>
          </cell>
          <cell r="C194">
            <v>6117.3011245600001</v>
          </cell>
          <cell r="E194">
            <v>228</v>
          </cell>
          <cell r="F194">
            <v>12842.397583509994</v>
          </cell>
          <cell r="H194">
            <v>228</v>
          </cell>
          <cell r="I194">
            <v>12842.397583509994</v>
          </cell>
        </row>
        <row r="195">
          <cell r="B195">
            <v>229</v>
          </cell>
          <cell r="C195">
            <v>17599.137860260002</v>
          </cell>
          <cell r="E195">
            <v>229</v>
          </cell>
          <cell r="F195">
            <v>41532.671520780015</v>
          </cell>
          <cell r="H195">
            <v>229</v>
          </cell>
          <cell r="I195">
            <v>41532.671520780015</v>
          </cell>
        </row>
        <row r="196">
          <cell r="B196">
            <v>230</v>
          </cell>
          <cell r="C196">
            <v>9922.2386749399975</v>
          </cell>
          <cell r="E196">
            <v>230</v>
          </cell>
          <cell r="F196">
            <v>21354.923393470006</v>
          </cell>
          <cell r="H196">
            <v>230</v>
          </cell>
          <cell r="I196">
            <v>21354.923393470006</v>
          </cell>
        </row>
        <row r="197">
          <cell r="B197">
            <v>231</v>
          </cell>
          <cell r="C197">
            <v>4855.5987912400005</v>
          </cell>
          <cell r="E197">
            <v>231</v>
          </cell>
          <cell r="F197">
            <v>10144.325943630003</v>
          </cell>
          <cell r="H197">
            <v>231</v>
          </cell>
          <cell r="I197">
            <v>10144.325943630003</v>
          </cell>
        </row>
        <row r="198">
          <cell r="B198">
            <v>232</v>
          </cell>
          <cell r="C198">
            <v>1306.6847606600002</v>
          </cell>
          <cell r="E198">
            <v>232</v>
          </cell>
          <cell r="F198">
            <v>2927.9501288899992</v>
          </cell>
          <cell r="H198">
            <v>232</v>
          </cell>
          <cell r="I198">
            <v>2927.9501288899992</v>
          </cell>
        </row>
        <row r="199">
          <cell r="B199">
            <v>233</v>
          </cell>
          <cell r="C199">
            <v>53237.17974788</v>
          </cell>
          <cell r="E199">
            <v>233</v>
          </cell>
          <cell r="F199">
            <v>104313.42384460999</v>
          </cell>
          <cell r="H199">
            <v>233</v>
          </cell>
          <cell r="I199">
            <v>104313.42384460999</v>
          </cell>
        </row>
        <row r="200">
          <cell r="B200">
            <v>234</v>
          </cell>
          <cell r="C200">
            <v>3948.0025077699984</v>
          </cell>
          <cell r="E200">
            <v>234</v>
          </cell>
          <cell r="F200">
            <v>7985.4830377000026</v>
          </cell>
          <cell r="H200">
            <v>234</v>
          </cell>
          <cell r="I200">
            <v>7985.4830377000026</v>
          </cell>
        </row>
        <row r="201">
          <cell r="B201">
            <v>235</v>
          </cell>
          <cell r="C201">
            <v>12157.955080390002</v>
          </cell>
          <cell r="E201">
            <v>235</v>
          </cell>
          <cell r="F201">
            <v>27335.934773539993</v>
          </cell>
          <cell r="H201">
            <v>235</v>
          </cell>
          <cell r="I201">
            <v>27335.934773539993</v>
          </cell>
        </row>
        <row r="202">
          <cell r="B202">
            <v>236</v>
          </cell>
          <cell r="C202">
            <v>2083.0409561899996</v>
          </cell>
          <cell r="E202">
            <v>236</v>
          </cell>
          <cell r="F202">
            <v>4327.2502786000005</v>
          </cell>
          <cell r="H202">
            <v>236</v>
          </cell>
          <cell r="I202">
            <v>4327.2502786000005</v>
          </cell>
        </row>
        <row r="203">
          <cell r="B203">
            <v>238</v>
          </cell>
          <cell r="C203">
            <v>5170.7630423699993</v>
          </cell>
          <cell r="E203">
            <v>238</v>
          </cell>
          <cell r="F203">
            <v>11323.212568950001</v>
          </cell>
          <cell r="H203">
            <v>238</v>
          </cell>
          <cell r="I203">
            <v>11323.212568950001</v>
          </cell>
        </row>
        <row r="204">
          <cell r="B204">
            <v>240</v>
          </cell>
          <cell r="C204">
            <v>8074.9984884800015</v>
          </cell>
          <cell r="E204">
            <v>240</v>
          </cell>
          <cell r="F204">
            <v>17211.042374800007</v>
          </cell>
          <cell r="H204">
            <v>240</v>
          </cell>
          <cell r="I204">
            <v>17211.042374800007</v>
          </cell>
        </row>
        <row r="205">
          <cell r="B205">
            <v>243</v>
          </cell>
          <cell r="C205">
            <v>12753.68147582</v>
          </cell>
          <cell r="E205">
            <v>243</v>
          </cell>
          <cell r="F205">
            <v>26916.127805470012</v>
          </cell>
          <cell r="H205">
            <v>243</v>
          </cell>
          <cell r="I205">
            <v>26916.127805470012</v>
          </cell>
        </row>
        <row r="206">
          <cell r="B206">
            <v>244</v>
          </cell>
          <cell r="C206">
            <v>4978.5575664600001</v>
          </cell>
          <cell r="E206">
            <v>244</v>
          </cell>
          <cell r="F206">
            <v>10517.971711960003</v>
          </cell>
          <cell r="H206">
            <v>244</v>
          </cell>
          <cell r="I206">
            <v>10517.971711960003</v>
          </cell>
        </row>
        <row r="207">
          <cell r="B207">
            <v>246</v>
          </cell>
          <cell r="C207">
            <v>7008.2623376199981</v>
          </cell>
          <cell r="E207">
            <v>246</v>
          </cell>
          <cell r="F207">
            <v>16254.595672289995</v>
          </cell>
          <cell r="H207">
            <v>246</v>
          </cell>
          <cell r="I207">
            <v>16254.595672289995</v>
          </cell>
        </row>
        <row r="208">
          <cell r="B208">
            <v>248</v>
          </cell>
          <cell r="C208">
            <v>6635.819720030001</v>
          </cell>
          <cell r="E208">
            <v>248</v>
          </cell>
          <cell r="F208">
            <v>14343.725871659999</v>
          </cell>
          <cell r="H208">
            <v>248</v>
          </cell>
          <cell r="I208">
            <v>14343.725871659999</v>
          </cell>
        </row>
        <row r="209">
          <cell r="B209">
            <v>249</v>
          </cell>
          <cell r="C209">
            <v>1589.0986478799998</v>
          </cell>
          <cell r="E209">
            <v>249</v>
          </cell>
          <cell r="F209">
            <v>3341.7911973999999</v>
          </cell>
          <cell r="H209">
            <v>249</v>
          </cell>
          <cell r="I209">
            <v>3341.7911973999999</v>
          </cell>
        </row>
        <row r="210">
          <cell r="B210">
            <v>250</v>
          </cell>
          <cell r="C210">
            <v>1966.0161465699996</v>
          </cell>
          <cell r="E210">
            <v>250</v>
          </cell>
          <cell r="F210">
            <v>4259.7787452799994</v>
          </cell>
          <cell r="H210">
            <v>250</v>
          </cell>
          <cell r="I210">
            <v>4259.7787452799994</v>
          </cell>
        </row>
        <row r="211">
          <cell r="B211">
            <v>251</v>
          </cell>
          <cell r="C211">
            <v>955.90827042000012</v>
          </cell>
          <cell r="E211">
            <v>251</v>
          </cell>
          <cell r="F211">
            <v>2070.1879580600003</v>
          </cell>
          <cell r="H211">
            <v>251</v>
          </cell>
          <cell r="I211">
            <v>2070.1879580600003</v>
          </cell>
        </row>
        <row r="212">
          <cell r="B212">
            <v>255</v>
          </cell>
          <cell r="C212">
            <v>1169.8728892700001</v>
          </cell>
          <cell r="E212">
            <v>255</v>
          </cell>
          <cell r="F212">
            <v>2547.9062616900001</v>
          </cell>
          <cell r="H212">
            <v>255</v>
          </cell>
          <cell r="I212">
            <v>2547.9062616900001</v>
          </cell>
        </row>
        <row r="213">
          <cell r="B213">
            <v>256</v>
          </cell>
          <cell r="C213">
            <v>1508.1991731800001</v>
          </cell>
          <cell r="E213">
            <v>256</v>
          </cell>
          <cell r="F213">
            <v>2937.1083587899984</v>
          </cell>
          <cell r="H213">
            <v>256</v>
          </cell>
          <cell r="I213">
            <v>2937.1083587899984</v>
          </cell>
        </row>
        <row r="214">
          <cell r="B214">
            <v>257</v>
          </cell>
          <cell r="C214">
            <v>7535.4767920199974</v>
          </cell>
          <cell r="E214">
            <v>257</v>
          </cell>
          <cell r="F214">
            <v>15558.314629449995</v>
          </cell>
          <cell r="H214">
            <v>257</v>
          </cell>
          <cell r="I214">
            <v>15558.314629449995</v>
          </cell>
        </row>
        <row r="215">
          <cell r="B215">
            <v>259</v>
          </cell>
          <cell r="C215">
            <v>6378.0385581900009</v>
          </cell>
          <cell r="E215">
            <v>259</v>
          </cell>
          <cell r="F215">
            <v>11948.471367169999</v>
          </cell>
          <cell r="H215">
            <v>259</v>
          </cell>
          <cell r="I215">
            <v>11948.471367169999</v>
          </cell>
        </row>
        <row r="216">
          <cell r="B216">
            <v>260</v>
          </cell>
          <cell r="C216">
            <v>13233.578087010004</v>
          </cell>
          <cell r="E216">
            <v>260</v>
          </cell>
          <cell r="F216">
            <v>28015.273437859989</v>
          </cell>
          <cell r="H216">
            <v>260</v>
          </cell>
          <cell r="I216">
            <v>28015.273437859989</v>
          </cell>
        </row>
        <row r="217">
          <cell r="B217">
            <v>261</v>
          </cell>
          <cell r="C217">
            <v>2640.3525614900004</v>
          </cell>
          <cell r="E217">
            <v>261</v>
          </cell>
          <cell r="F217">
            <v>5657.1436445399986</v>
          </cell>
          <cell r="H217">
            <v>261</v>
          </cell>
          <cell r="I217">
            <v>5657.1436445399986</v>
          </cell>
        </row>
        <row r="218">
          <cell r="B218">
            <v>262</v>
          </cell>
          <cell r="C218">
            <v>22032.456409190007</v>
          </cell>
          <cell r="E218">
            <v>262</v>
          </cell>
          <cell r="F218">
            <v>45362.485840910005</v>
          </cell>
          <cell r="H218">
            <v>262</v>
          </cell>
          <cell r="I218">
            <v>45362.485840910005</v>
          </cell>
        </row>
        <row r="219">
          <cell r="B219">
            <v>263</v>
          </cell>
          <cell r="C219">
            <v>7072.7385039100009</v>
          </cell>
          <cell r="E219">
            <v>263</v>
          </cell>
          <cell r="F219">
            <v>14868.732410180006</v>
          </cell>
          <cell r="H219">
            <v>263</v>
          </cell>
          <cell r="I219">
            <v>14868.732410180006</v>
          </cell>
        </row>
        <row r="220">
          <cell r="B220">
            <v>264</v>
          </cell>
          <cell r="C220">
            <v>2993.6335442199993</v>
          </cell>
          <cell r="E220">
            <v>264</v>
          </cell>
          <cell r="F220">
            <v>6170.9713213600007</v>
          </cell>
          <cell r="H220">
            <v>264</v>
          </cell>
          <cell r="I220">
            <v>6170.9713213600007</v>
          </cell>
        </row>
        <row r="221">
          <cell r="B221">
            <v>265</v>
          </cell>
          <cell r="C221">
            <v>4856.0703321299989</v>
          </cell>
          <cell r="E221">
            <v>265</v>
          </cell>
          <cell r="F221">
            <v>9944.0811116799996</v>
          </cell>
          <cell r="H221">
            <v>265</v>
          </cell>
          <cell r="I221">
            <v>9944.0811116799996</v>
          </cell>
        </row>
        <row r="222">
          <cell r="B222">
            <v>266</v>
          </cell>
          <cell r="C222">
            <v>1123.2807114700001</v>
          </cell>
          <cell r="E222">
            <v>266</v>
          </cell>
          <cell r="F222">
            <v>2739.5184558300002</v>
          </cell>
          <cell r="H222">
            <v>266</v>
          </cell>
          <cell r="I222">
            <v>2739.5184558300002</v>
          </cell>
        </row>
        <row r="223">
          <cell r="B223">
            <v>267</v>
          </cell>
          <cell r="C223">
            <v>15399.875321940001</v>
          </cell>
          <cell r="E223">
            <v>267</v>
          </cell>
          <cell r="F223">
            <v>33606.399284539984</v>
          </cell>
          <cell r="H223">
            <v>267</v>
          </cell>
          <cell r="I223">
            <v>33606.399284539984</v>
          </cell>
        </row>
        <row r="224">
          <cell r="B224">
            <v>268</v>
          </cell>
          <cell r="C224">
            <v>956.81202514999995</v>
          </cell>
          <cell r="E224">
            <v>268</v>
          </cell>
          <cell r="F224">
            <v>1919.5657689900002</v>
          </cell>
          <cell r="H224">
            <v>268</v>
          </cell>
          <cell r="I224">
            <v>1919.5657689900002</v>
          </cell>
        </row>
        <row r="225">
          <cell r="B225">
            <v>269</v>
          </cell>
          <cell r="C225">
            <v>1683.1002433399997</v>
          </cell>
          <cell r="E225">
            <v>269</v>
          </cell>
          <cell r="F225">
            <v>3691.6369315000002</v>
          </cell>
          <cell r="H225">
            <v>269</v>
          </cell>
          <cell r="I225">
            <v>3691.6369315000002</v>
          </cell>
        </row>
        <row r="226">
          <cell r="B226">
            <v>270</v>
          </cell>
          <cell r="C226">
            <v>1821.5862717700002</v>
          </cell>
          <cell r="E226">
            <v>270</v>
          </cell>
          <cell r="F226">
            <v>3874.2881412600004</v>
          </cell>
          <cell r="H226">
            <v>270</v>
          </cell>
          <cell r="I226">
            <v>3874.2881412600004</v>
          </cell>
        </row>
        <row r="227">
          <cell r="B227">
            <v>271</v>
          </cell>
          <cell r="C227">
            <v>5856.6911270599994</v>
          </cell>
          <cell r="E227">
            <v>271</v>
          </cell>
          <cell r="F227">
            <v>12304.513149750001</v>
          </cell>
          <cell r="H227">
            <v>271</v>
          </cell>
          <cell r="I227">
            <v>12304.513149750001</v>
          </cell>
        </row>
        <row r="228">
          <cell r="B228">
            <v>273</v>
          </cell>
          <cell r="C228">
            <v>9226.4227657900028</v>
          </cell>
          <cell r="E228">
            <v>273</v>
          </cell>
          <cell r="F228">
            <v>19382.004270769994</v>
          </cell>
          <cell r="H228">
            <v>273</v>
          </cell>
          <cell r="I228">
            <v>19382.004270769994</v>
          </cell>
        </row>
        <row r="229">
          <cell r="B229">
            <v>274</v>
          </cell>
          <cell r="C229">
            <v>7420.7814803100018</v>
          </cell>
          <cell r="E229">
            <v>274</v>
          </cell>
          <cell r="F229">
            <v>16230.434085380002</v>
          </cell>
          <cell r="H229">
            <v>274</v>
          </cell>
          <cell r="I229">
            <v>16230.434085380002</v>
          </cell>
        </row>
        <row r="230">
          <cell r="B230">
            <v>275</v>
          </cell>
          <cell r="C230">
            <v>1915.2446270800001</v>
          </cell>
          <cell r="E230">
            <v>275</v>
          </cell>
          <cell r="F230">
            <v>4067.2421911700008</v>
          </cell>
          <cell r="H230">
            <v>275</v>
          </cell>
          <cell r="I230">
            <v>4067.2421911700008</v>
          </cell>
        </row>
        <row r="231">
          <cell r="B231">
            <v>276</v>
          </cell>
          <cell r="C231">
            <v>3309.9594585399996</v>
          </cell>
          <cell r="E231">
            <v>276</v>
          </cell>
          <cell r="F231">
            <v>7142.5442119699983</v>
          </cell>
          <cell r="H231">
            <v>276</v>
          </cell>
          <cell r="I231">
            <v>7142.5442119699983</v>
          </cell>
        </row>
        <row r="232">
          <cell r="B232">
            <v>277</v>
          </cell>
          <cell r="C232">
            <v>3766.28082666</v>
          </cell>
          <cell r="E232">
            <v>277</v>
          </cell>
          <cell r="F232">
            <v>7934.1233669699996</v>
          </cell>
          <cell r="H232">
            <v>277</v>
          </cell>
          <cell r="I232">
            <v>7934.1233669699996</v>
          </cell>
        </row>
        <row r="233">
          <cell r="B233">
            <v>278</v>
          </cell>
          <cell r="C233">
            <v>13985.74045555</v>
          </cell>
          <cell r="E233">
            <v>278</v>
          </cell>
          <cell r="F233">
            <v>29545.04089041</v>
          </cell>
          <cell r="H233">
            <v>278</v>
          </cell>
          <cell r="I233">
            <v>29545.04089041</v>
          </cell>
        </row>
        <row r="234">
          <cell r="B234">
            <v>279</v>
          </cell>
          <cell r="C234">
            <v>4888.1020965799999</v>
          </cell>
          <cell r="E234">
            <v>279</v>
          </cell>
          <cell r="F234">
            <v>9674.1928061500021</v>
          </cell>
          <cell r="H234">
            <v>279</v>
          </cell>
          <cell r="I234">
            <v>9674.1928061500021</v>
          </cell>
        </row>
        <row r="235">
          <cell r="B235">
            <v>280</v>
          </cell>
          <cell r="C235">
            <v>5246.9191581699997</v>
          </cell>
          <cell r="E235">
            <v>280</v>
          </cell>
          <cell r="F235">
            <v>10702.37216454</v>
          </cell>
          <cell r="H235">
            <v>280</v>
          </cell>
          <cell r="I235">
            <v>10702.37216454</v>
          </cell>
        </row>
        <row r="236">
          <cell r="B236">
            <v>281</v>
          </cell>
          <cell r="C236">
            <v>7685.6764751299997</v>
          </cell>
          <cell r="E236">
            <v>281</v>
          </cell>
          <cell r="F236">
            <v>16438.843159819993</v>
          </cell>
          <cell r="H236">
            <v>281</v>
          </cell>
          <cell r="I236">
            <v>16438.843159819993</v>
          </cell>
        </row>
        <row r="237">
          <cell r="B237">
            <v>282</v>
          </cell>
          <cell r="C237">
            <v>2579.43000863</v>
          </cell>
          <cell r="E237">
            <v>282</v>
          </cell>
          <cell r="F237">
            <v>5211.6630169799992</v>
          </cell>
          <cell r="H237">
            <v>282</v>
          </cell>
          <cell r="I237">
            <v>5211.6630169799992</v>
          </cell>
        </row>
        <row r="238">
          <cell r="B238">
            <v>284</v>
          </cell>
          <cell r="C238">
            <v>3987.7821878699992</v>
          </cell>
          <cell r="E238">
            <v>284</v>
          </cell>
          <cell r="F238">
            <v>8146.7351781600028</v>
          </cell>
          <cell r="H238">
            <v>284</v>
          </cell>
          <cell r="I238">
            <v>8146.7351781600028</v>
          </cell>
        </row>
        <row r="239">
          <cell r="B239">
            <v>285</v>
          </cell>
          <cell r="C239">
            <v>4266.9118471100001</v>
          </cell>
          <cell r="E239">
            <v>285</v>
          </cell>
          <cell r="F239">
            <v>8712.2127463399975</v>
          </cell>
          <cell r="H239">
            <v>285</v>
          </cell>
          <cell r="I239">
            <v>8712.2127463399975</v>
          </cell>
        </row>
        <row r="240">
          <cell r="B240">
            <v>286</v>
          </cell>
          <cell r="C240">
            <v>2373.7786006000001</v>
          </cell>
          <cell r="E240">
            <v>286</v>
          </cell>
          <cell r="F240">
            <v>5030.3059359300005</v>
          </cell>
          <cell r="H240">
            <v>286</v>
          </cell>
          <cell r="I240">
            <v>5030.3059359300005</v>
          </cell>
        </row>
        <row r="241">
          <cell r="B241">
            <v>288</v>
          </cell>
          <cell r="C241">
            <v>9092.6496564499994</v>
          </cell>
          <cell r="E241">
            <v>288</v>
          </cell>
          <cell r="F241">
            <v>19879.016956360003</v>
          </cell>
          <cell r="H241">
            <v>288</v>
          </cell>
          <cell r="I241">
            <v>19879.016956360003</v>
          </cell>
        </row>
        <row r="242">
          <cell r="B242">
            <v>289</v>
          </cell>
          <cell r="C242">
            <v>3141.5645249299992</v>
          </cell>
          <cell r="E242">
            <v>289</v>
          </cell>
          <cell r="F242">
            <v>6593.6355005099995</v>
          </cell>
          <cell r="H242">
            <v>289</v>
          </cell>
          <cell r="I242">
            <v>6593.6355005099995</v>
          </cell>
        </row>
        <row r="243">
          <cell r="B243">
            <v>290</v>
          </cell>
          <cell r="C243">
            <v>18148.639571780004</v>
          </cell>
          <cell r="E243">
            <v>290</v>
          </cell>
          <cell r="F243">
            <v>37545.880391049992</v>
          </cell>
          <cell r="H243">
            <v>290</v>
          </cell>
          <cell r="I243">
            <v>37545.880391049992</v>
          </cell>
        </row>
        <row r="244">
          <cell r="B244">
            <v>291</v>
          </cell>
          <cell r="C244">
            <v>8304.2562640200013</v>
          </cell>
          <cell r="E244">
            <v>291</v>
          </cell>
          <cell r="F244">
            <v>17420.882683659998</v>
          </cell>
          <cell r="H244">
            <v>291</v>
          </cell>
          <cell r="I244">
            <v>17420.882683659998</v>
          </cell>
        </row>
        <row r="245">
          <cell r="B245">
            <v>293</v>
          </cell>
          <cell r="C245">
            <v>412.83825736999995</v>
          </cell>
          <cell r="E245">
            <v>293</v>
          </cell>
          <cell r="F245">
            <v>878.82088669999996</v>
          </cell>
          <cell r="H245">
            <v>293</v>
          </cell>
          <cell r="I245">
            <v>878.82088669999996</v>
          </cell>
        </row>
        <row r="246">
          <cell r="B246">
            <v>294</v>
          </cell>
          <cell r="C246">
            <v>17256.366237130002</v>
          </cell>
          <cell r="E246">
            <v>294</v>
          </cell>
          <cell r="F246">
            <v>35815.080555779998</v>
          </cell>
          <cell r="H246">
            <v>294</v>
          </cell>
          <cell r="I246">
            <v>35815.080555779998</v>
          </cell>
        </row>
        <row r="247">
          <cell r="B247">
            <v>295</v>
          </cell>
          <cell r="C247">
            <v>7096.3466847100008</v>
          </cell>
          <cell r="E247">
            <v>295</v>
          </cell>
          <cell r="F247">
            <v>14637.780290060002</v>
          </cell>
          <cell r="H247">
            <v>295</v>
          </cell>
          <cell r="I247">
            <v>14637.780290060002</v>
          </cell>
        </row>
        <row r="248">
          <cell r="B248">
            <v>296</v>
          </cell>
          <cell r="C248">
            <v>16400.85696049</v>
          </cell>
          <cell r="E248">
            <v>296</v>
          </cell>
          <cell r="F248">
            <v>34004.006842569986</v>
          </cell>
          <cell r="H248">
            <v>296</v>
          </cell>
          <cell r="I248">
            <v>34004.006842569986</v>
          </cell>
        </row>
        <row r="249">
          <cell r="B249">
            <v>297</v>
          </cell>
          <cell r="C249">
            <v>2170.3643238499999</v>
          </cell>
          <cell r="E249">
            <v>297</v>
          </cell>
          <cell r="F249">
            <v>4764.4656158299986</v>
          </cell>
          <cell r="H249">
            <v>297</v>
          </cell>
          <cell r="I249">
            <v>4764.4656158299986</v>
          </cell>
        </row>
        <row r="250">
          <cell r="B250">
            <v>300</v>
          </cell>
          <cell r="C250">
            <v>7504.3335512900003</v>
          </cell>
          <cell r="E250">
            <v>300</v>
          </cell>
          <cell r="F250">
            <v>15606.277085340003</v>
          </cell>
          <cell r="H250">
            <v>300</v>
          </cell>
          <cell r="I250">
            <v>15606.277085340003</v>
          </cell>
        </row>
        <row r="251">
          <cell r="B251">
            <v>301</v>
          </cell>
          <cell r="C251">
            <v>2451.8943804599994</v>
          </cell>
          <cell r="E251">
            <v>301</v>
          </cell>
          <cell r="F251">
            <v>5197.9508790500004</v>
          </cell>
          <cell r="H251">
            <v>301</v>
          </cell>
          <cell r="I251">
            <v>5197.9508790500004</v>
          </cell>
        </row>
        <row r="252">
          <cell r="B252">
            <v>302</v>
          </cell>
          <cell r="C252">
            <v>3016.646525560001</v>
          </cell>
          <cell r="E252">
            <v>302</v>
          </cell>
          <cell r="F252">
            <v>6449.4345456499987</v>
          </cell>
          <cell r="H252">
            <v>302</v>
          </cell>
          <cell r="I252">
            <v>6449.4345456499987</v>
          </cell>
        </row>
        <row r="253">
          <cell r="B253">
            <v>303</v>
          </cell>
          <cell r="C253">
            <v>1828.2375927400001</v>
          </cell>
          <cell r="E253">
            <v>303</v>
          </cell>
          <cell r="F253">
            <v>3905.1377007300007</v>
          </cell>
          <cell r="H253">
            <v>303</v>
          </cell>
          <cell r="I253">
            <v>3905.1377007300007</v>
          </cell>
        </row>
        <row r="254">
          <cell r="B254">
            <v>304</v>
          </cell>
          <cell r="C254">
            <v>1163.72066346</v>
          </cell>
          <cell r="E254">
            <v>304</v>
          </cell>
          <cell r="F254">
            <v>2418.5837645499996</v>
          </cell>
          <cell r="H254">
            <v>304</v>
          </cell>
          <cell r="I254">
            <v>2418.5837645499996</v>
          </cell>
        </row>
        <row r="255">
          <cell r="B255">
            <v>305</v>
          </cell>
          <cell r="C255">
            <v>4919.6203400099994</v>
          </cell>
          <cell r="E255">
            <v>305</v>
          </cell>
          <cell r="F255">
            <v>9785.5828449400033</v>
          </cell>
          <cell r="H255">
            <v>305</v>
          </cell>
          <cell r="I255">
            <v>9785.5828449400033</v>
          </cell>
        </row>
        <row r="256">
          <cell r="B256">
            <v>307</v>
          </cell>
          <cell r="C256">
            <v>1181.1868391099999</v>
          </cell>
          <cell r="E256">
            <v>307</v>
          </cell>
          <cell r="F256">
            <v>2548.4600206700006</v>
          </cell>
          <cell r="H256">
            <v>307</v>
          </cell>
          <cell r="I256">
            <v>2548.4600206700006</v>
          </cell>
        </row>
        <row r="257">
          <cell r="B257">
            <v>308</v>
          </cell>
          <cell r="C257">
            <v>8937.64188956</v>
          </cell>
          <cell r="E257">
            <v>308</v>
          </cell>
          <cell r="F257">
            <v>18847.980074160008</v>
          </cell>
          <cell r="H257">
            <v>308</v>
          </cell>
          <cell r="I257">
            <v>18847.980074160008</v>
          </cell>
        </row>
        <row r="258">
          <cell r="B258">
            <v>309</v>
          </cell>
          <cell r="C258">
            <v>2280.1854272800001</v>
          </cell>
          <cell r="E258">
            <v>309</v>
          </cell>
          <cell r="F258">
            <v>4695.5669759599987</v>
          </cell>
          <cell r="H258">
            <v>309</v>
          </cell>
          <cell r="I258">
            <v>4695.5669759599987</v>
          </cell>
        </row>
        <row r="259">
          <cell r="B259">
            <v>310</v>
          </cell>
          <cell r="C259">
            <v>1253.0345778800001</v>
          </cell>
          <cell r="E259">
            <v>310</v>
          </cell>
          <cell r="F259">
            <v>3007.7032765299982</v>
          </cell>
          <cell r="H259">
            <v>310</v>
          </cell>
          <cell r="I259">
            <v>3007.7032765299982</v>
          </cell>
        </row>
        <row r="260">
          <cell r="B260">
            <v>311</v>
          </cell>
          <cell r="C260">
            <v>3059.8245533600007</v>
          </cell>
          <cell r="E260">
            <v>311</v>
          </cell>
          <cell r="F260">
            <v>6209.3685025099994</v>
          </cell>
          <cell r="H260">
            <v>311</v>
          </cell>
          <cell r="I260">
            <v>6209.3685025099994</v>
          </cell>
        </row>
        <row r="261">
          <cell r="B261">
            <v>312</v>
          </cell>
          <cell r="C261">
            <v>3879.5297016400004</v>
          </cell>
          <cell r="E261">
            <v>312</v>
          </cell>
          <cell r="F261">
            <v>8392.9689061900008</v>
          </cell>
          <cell r="H261">
            <v>312</v>
          </cell>
          <cell r="I261">
            <v>8392.9689061900008</v>
          </cell>
        </row>
        <row r="262">
          <cell r="B262">
            <v>313</v>
          </cell>
          <cell r="C262">
            <v>1495.2850413799999</v>
          </cell>
          <cell r="E262">
            <v>313</v>
          </cell>
          <cell r="F262">
            <v>3053.9270586500002</v>
          </cell>
          <cell r="H262">
            <v>313</v>
          </cell>
          <cell r="I262">
            <v>3053.9270586500002</v>
          </cell>
        </row>
        <row r="263">
          <cell r="B263">
            <v>314</v>
          </cell>
          <cell r="C263">
            <v>385.3320347099999</v>
          </cell>
          <cell r="E263">
            <v>314</v>
          </cell>
          <cell r="F263">
            <v>824.05309082999986</v>
          </cell>
          <cell r="H263">
            <v>314</v>
          </cell>
          <cell r="I263">
            <v>824.05309082999986</v>
          </cell>
        </row>
        <row r="264">
          <cell r="B264">
            <v>315</v>
          </cell>
          <cell r="C264">
            <v>6149.0227163199997</v>
          </cell>
          <cell r="E264">
            <v>315</v>
          </cell>
          <cell r="F264">
            <v>12443.427080199999</v>
          </cell>
          <cell r="H264">
            <v>315</v>
          </cell>
          <cell r="I264">
            <v>12443.427080199999</v>
          </cell>
        </row>
        <row r="265">
          <cell r="B265">
            <v>318</v>
          </cell>
          <cell r="C265">
            <v>679.45152105000011</v>
          </cell>
          <cell r="E265">
            <v>318</v>
          </cell>
          <cell r="F265">
            <v>1561.1689456799998</v>
          </cell>
          <cell r="H265">
            <v>318</v>
          </cell>
          <cell r="I265">
            <v>1561.1689456799998</v>
          </cell>
        </row>
        <row r="266">
          <cell r="B266">
            <v>319</v>
          </cell>
          <cell r="C266">
            <v>1192.1964870500001</v>
          </cell>
          <cell r="E266">
            <v>319</v>
          </cell>
          <cell r="F266">
            <v>2482.6541140399995</v>
          </cell>
          <cell r="H266">
            <v>319</v>
          </cell>
          <cell r="I266">
            <v>2482.6541140399995</v>
          </cell>
        </row>
        <row r="267">
          <cell r="B267">
            <v>321</v>
          </cell>
          <cell r="C267">
            <v>607.74959261000004</v>
          </cell>
          <cell r="E267">
            <v>321</v>
          </cell>
          <cell r="F267">
            <v>1200.1168425300002</v>
          </cell>
          <cell r="H267">
            <v>321</v>
          </cell>
          <cell r="I267">
            <v>1200.1168425300002</v>
          </cell>
        </row>
        <row r="268">
          <cell r="B268">
            <v>322</v>
          </cell>
          <cell r="C268">
            <v>840.84323219999987</v>
          </cell>
          <cell r="E268">
            <v>322</v>
          </cell>
          <cell r="F268">
            <v>1765.3569984400001</v>
          </cell>
          <cell r="H268">
            <v>322</v>
          </cell>
          <cell r="I268">
            <v>1765.3569984400001</v>
          </cell>
        </row>
        <row r="269">
          <cell r="B269">
            <v>323</v>
          </cell>
          <cell r="C269">
            <v>4370.5103083900003</v>
          </cell>
          <cell r="E269">
            <v>323</v>
          </cell>
          <cell r="F269">
            <v>9306.399560959997</v>
          </cell>
          <cell r="H269">
            <v>323</v>
          </cell>
          <cell r="I269">
            <v>9306.399560959997</v>
          </cell>
        </row>
        <row r="270">
          <cell r="B270">
            <v>324</v>
          </cell>
          <cell r="C270">
            <v>3783.6233992800003</v>
          </cell>
          <cell r="E270">
            <v>324</v>
          </cell>
          <cell r="F270">
            <v>7817.109049650001</v>
          </cell>
          <cell r="H270">
            <v>324</v>
          </cell>
          <cell r="I270">
            <v>7817.109049650001</v>
          </cell>
        </row>
        <row r="271">
          <cell r="B271">
            <v>325</v>
          </cell>
          <cell r="C271">
            <v>646.26005049000003</v>
          </cell>
          <cell r="E271">
            <v>325</v>
          </cell>
          <cell r="F271">
            <v>1406.2342870700004</v>
          </cell>
          <cell r="H271">
            <v>325</v>
          </cell>
          <cell r="I271">
            <v>1406.2342870700004</v>
          </cell>
        </row>
        <row r="272">
          <cell r="B272">
            <v>326</v>
          </cell>
          <cell r="C272">
            <v>4204.9795324100005</v>
          </cell>
          <cell r="E272">
            <v>326</v>
          </cell>
          <cell r="F272">
            <v>8778.521241370001</v>
          </cell>
          <cell r="H272">
            <v>326</v>
          </cell>
          <cell r="I272">
            <v>8778.521241370001</v>
          </cell>
        </row>
        <row r="273">
          <cell r="B273">
            <v>327</v>
          </cell>
          <cell r="C273">
            <v>1950.4958311200005</v>
          </cell>
          <cell r="E273">
            <v>327</v>
          </cell>
          <cell r="F273">
            <v>4161.8314923099988</v>
          </cell>
          <cell r="H273">
            <v>327</v>
          </cell>
          <cell r="I273">
            <v>4161.8314923099988</v>
          </cell>
        </row>
        <row r="274">
          <cell r="B274">
            <v>328</v>
          </cell>
          <cell r="C274">
            <v>5419.197948619998</v>
          </cell>
          <cell r="E274">
            <v>328</v>
          </cell>
          <cell r="F274">
            <v>11545.771864880002</v>
          </cell>
          <cell r="H274">
            <v>328</v>
          </cell>
          <cell r="I274">
            <v>11545.771864880002</v>
          </cell>
        </row>
        <row r="275">
          <cell r="B275">
            <v>329</v>
          </cell>
          <cell r="C275">
            <v>706.88830099999973</v>
          </cell>
          <cell r="E275">
            <v>329</v>
          </cell>
          <cell r="F275">
            <v>1451.0550604399996</v>
          </cell>
          <cell r="H275">
            <v>329</v>
          </cell>
          <cell r="I275">
            <v>1451.0550604399996</v>
          </cell>
        </row>
        <row r="276">
          <cell r="B276">
            <v>331</v>
          </cell>
          <cell r="C276">
            <v>2123.2823194399994</v>
          </cell>
          <cell r="E276">
            <v>331</v>
          </cell>
          <cell r="F276">
            <v>4436.4865014200004</v>
          </cell>
          <cell r="H276">
            <v>331</v>
          </cell>
          <cell r="I276">
            <v>4436.4865014200004</v>
          </cell>
        </row>
        <row r="277">
          <cell r="B277">
            <v>332</v>
          </cell>
          <cell r="C277">
            <v>3258.3308694299994</v>
          </cell>
          <cell r="E277">
            <v>332</v>
          </cell>
          <cell r="F277">
            <v>6857.4220113500005</v>
          </cell>
          <cell r="H277">
            <v>332</v>
          </cell>
          <cell r="I277">
            <v>6857.4220113500005</v>
          </cell>
        </row>
        <row r="278">
          <cell r="B278">
            <v>334</v>
          </cell>
          <cell r="C278">
            <v>8214.7903139199989</v>
          </cell>
          <cell r="E278">
            <v>334</v>
          </cell>
          <cell r="F278">
            <v>15520.261286060004</v>
          </cell>
          <cell r="H278">
            <v>334</v>
          </cell>
          <cell r="I278">
            <v>15520.261286060004</v>
          </cell>
        </row>
        <row r="279">
          <cell r="B279">
            <v>336</v>
          </cell>
          <cell r="C279">
            <v>1628.2156043700002</v>
          </cell>
          <cell r="E279">
            <v>336</v>
          </cell>
          <cell r="F279">
            <v>3408.2490228500005</v>
          </cell>
          <cell r="H279">
            <v>336</v>
          </cell>
          <cell r="I279">
            <v>3408.2490228500005</v>
          </cell>
        </row>
        <row r="280">
          <cell r="B280">
            <v>337</v>
          </cell>
          <cell r="C280">
            <v>134.10291378999997</v>
          </cell>
          <cell r="E280">
            <v>337</v>
          </cell>
          <cell r="F280">
            <v>241.94423035999998</v>
          </cell>
          <cell r="H280">
            <v>337</v>
          </cell>
          <cell r="I280">
            <v>241.94423035999998</v>
          </cell>
        </row>
        <row r="281">
          <cell r="B281">
            <v>338</v>
          </cell>
          <cell r="C281">
            <v>2222.1535715899995</v>
          </cell>
          <cell r="E281">
            <v>338</v>
          </cell>
          <cell r="F281">
            <v>4559.6722110199989</v>
          </cell>
          <cell r="H281">
            <v>338</v>
          </cell>
          <cell r="I281">
            <v>4559.6722110199989</v>
          </cell>
        </row>
        <row r="282">
          <cell r="B282">
            <v>340</v>
          </cell>
          <cell r="C282">
            <v>3406.699616110001</v>
          </cell>
          <cell r="E282">
            <v>340</v>
          </cell>
          <cell r="F282">
            <v>7052.5641554700005</v>
          </cell>
          <cell r="H282">
            <v>340</v>
          </cell>
          <cell r="I282">
            <v>7052.5641554700005</v>
          </cell>
        </row>
        <row r="283">
          <cell r="B283">
            <v>341</v>
          </cell>
          <cell r="C283">
            <v>2772.0292416800003</v>
          </cell>
          <cell r="E283">
            <v>341</v>
          </cell>
          <cell r="F283">
            <v>5640.9405720499981</v>
          </cell>
          <cell r="H283">
            <v>341</v>
          </cell>
          <cell r="I283">
            <v>5640.9405720499981</v>
          </cell>
        </row>
        <row r="284">
          <cell r="B284">
            <v>343</v>
          </cell>
          <cell r="C284">
            <v>8311.8418748000004</v>
          </cell>
          <cell r="E284">
            <v>343</v>
          </cell>
          <cell r="F284">
            <v>17644.46083607</v>
          </cell>
          <cell r="H284">
            <v>343</v>
          </cell>
          <cell r="I284">
            <v>17644.46083607</v>
          </cell>
        </row>
        <row r="285">
          <cell r="B285">
            <v>344</v>
          </cell>
          <cell r="C285">
            <v>656.40818063999996</v>
          </cell>
          <cell r="E285">
            <v>344</v>
          </cell>
          <cell r="F285">
            <v>1377.8741859200015</v>
          </cell>
          <cell r="H285">
            <v>344</v>
          </cell>
          <cell r="I285">
            <v>1377.8741859200015</v>
          </cell>
        </row>
        <row r="286">
          <cell r="B286">
            <v>346</v>
          </cell>
          <cell r="C286">
            <v>2862.3886552499998</v>
          </cell>
          <cell r="E286">
            <v>346</v>
          </cell>
          <cell r="F286">
            <v>5997.3272713200013</v>
          </cell>
          <cell r="H286">
            <v>346</v>
          </cell>
          <cell r="I286">
            <v>5997.3272713200013</v>
          </cell>
        </row>
        <row r="287">
          <cell r="B287">
            <v>347</v>
          </cell>
          <cell r="C287">
            <v>616.22940294999967</v>
          </cell>
          <cell r="E287">
            <v>347</v>
          </cell>
          <cell r="F287">
            <v>1307.1547688500002</v>
          </cell>
          <cell r="H287">
            <v>347</v>
          </cell>
          <cell r="I287">
            <v>1307.1547688500002</v>
          </cell>
        </row>
        <row r="288">
          <cell r="B288">
            <v>348</v>
          </cell>
          <cell r="C288">
            <v>2777.6718034700002</v>
          </cell>
          <cell r="E288">
            <v>348</v>
          </cell>
          <cell r="F288">
            <v>5880.1605510500012</v>
          </cell>
          <cell r="H288">
            <v>348</v>
          </cell>
          <cell r="I288">
            <v>5880.1605510500012</v>
          </cell>
        </row>
        <row r="289">
          <cell r="B289">
            <v>349</v>
          </cell>
          <cell r="C289">
            <v>7579.881715239997</v>
          </cell>
          <cell r="E289">
            <v>349</v>
          </cell>
          <cell r="F289">
            <v>16157.794520819993</v>
          </cell>
          <cell r="H289">
            <v>349</v>
          </cell>
          <cell r="I289">
            <v>16157.794520819993</v>
          </cell>
        </row>
        <row r="290">
          <cell r="B290">
            <v>350</v>
          </cell>
          <cell r="C290">
            <v>11008.216078639998</v>
          </cell>
          <cell r="E290">
            <v>350</v>
          </cell>
          <cell r="F290">
            <v>24522.19891905001</v>
          </cell>
          <cell r="H290">
            <v>350</v>
          </cell>
          <cell r="I290">
            <v>24522.19891905001</v>
          </cell>
        </row>
        <row r="291">
          <cell r="B291">
            <v>351</v>
          </cell>
          <cell r="C291">
            <v>8436.1051305399997</v>
          </cell>
          <cell r="E291">
            <v>351</v>
          </cell>
          <cell r="F291">
            <v>17580.412366469998</v>
          </cell>
          <cell r="H291">
            <v>351</v>
          </cell>
          <cell r="I291">
            <v>17580.412366469998</v>
          </cell>
        </row>
        <row r="292">
          <cell r="B292">
            <v>353</v>
          </cell>
          <cell r="C292">
            <v>1915.6647008099999</v>
          </cell>
          <cell r="E292">
            <v>353</v>
          </cell>
          <cell r="F292">
            <v>3980.4861247900003</v>
          </cell>
          <cell r="H292">
            <v>353</v>
          </cell>
          <cell r="I292">
            <v>3980.4861247900003</v>
          </cell>
        </row>
        <row r="293">
          <cell r="B293">
            <v>354</v>
          </cell>
          <cell r="C293">
            <v>3025.8367773599998</v>
          </cell>
          <cell r="E293">
            <v>354</v>
          </cell>
          <cell r="F293">
            <v>6460.3909338599997</v>
          </cell>
          <cell r="H293">
            <v>354</v>
          </cell>
          <cell r="I293">
            <v>6460.3909338599997</v>
          </cell>
        </row>
        <row r="294">
          <cell r="B294">
            <v>355</v>
          </cell>
          <cell r="C294">
            <v>13384.282224299999</v>
          </cell>
          <cell r="E294">
            <v>355</v>
          </cell>
          <cell r="F294">
            <v>28175.793562570008</v>
          </cell>
          <cell r="H294">
            <v>355</v>
          </cell>
          <cell r="I294">
            <v>28175.793562570008</v>
          </cell>
        </row>
        <row r="295">
          <cell r="B295">
            <v>357</v>
          </cell>
          <cell r="C295">
            <v>11201.322284779997</v>
          </cell>
          <cell r="E295">
            <v>357</v>
          </cell>
          <cell r="F295">
            <v>22141.928865880007</v>
          </cell>
          <cell r="H295">
            <v>357</v>
          </cell>
          <cell r="I295">
            <v>22141.928865880007</v>
          </cell>
        </row>
        <row r="296">
          <cell r="B296">
            <v>358</v>
          </cell>
          <cell r="C296">
            <v>3332.6159485600001</v>
          </cell>
          <cell r="E296">
            <v>358</v>
          </cell>
          <cell r="F296">
            <v>7240.4818194200097</v>
          </cell>
          <cell r="H296">
            <v>358</v>
          </cell>
          <cell r="I296">
            <v>7240.4818194200097</v>
          </cell>
        </row>
        <row r="297">
          <cell r="B297">
            <v>359</v>
          </cell>
          <cell r="C297">
            <v>4060.6061696900001</v>
          </cell>
          <cell r="E297">
            <v>359</v>
          </cell>
          <cell r="F297">
            <v>7903.0984103700002</v>
          </cell>
          <cell r="H297">
            <v>359</v>
          </cell>
          <cell r="I297">
            <v>7903.0984103700002</v>
          </cell>
        </row>
        <row r="298">
          <cell r="B298">
            <v>361</v>
          </cell>
          <cell r="C298">
            <v>9004.8572402599984</v>
          </cell>
          <cell r="E298">
            <v>361</v>
          </cell>
          <cell r="F298">
            <v>18941.076805360004</v>
          </cell>
          <cell r="H298">
            <v>361</v>
          </cell>
          <cell r="I298">
            <v>18941.076805360004</v>
          </cell>
        </row>
        <row r="299">
          <cell r="B299">
            <v>363</v>
          </cell>
          <cell r="C299">
            <v>9726.9390175000026</v>
          </cell>
          <cell r="E299">
            <v>363</v>
          </cell>
          <cell r="F299">
            <v>20475.673807080002</v>
          </cell>
          <cell r="H299">
            <v>363</v>
          </cell>
          <cell r="I299">
            <v>20475.673807080002</v>
          </cell>
        </row>
        <row r="300">
          <cell r="B300">
            <v>365</v>
          </cell>
          <cell r="C300">
            <v>3475.2101807799995</v>
          </cell>
          <cell r="E300">
            <v>365</v>
          </cell>
          <cell r="F300">
            <v>7163.1979620699994</v>
          </cell>
          <cell r="H300">
            <v>365</v>
          </cell>
          <cell r="I300">
            <v>7163.1979620699994</v>
          </cell>
        </row>
        <row r="301">
          <cell r="B301">
            <v>366</v>
          </cell>
          <cell r="C301">
            <v>518.80553068000006</v>
          </cell>
          <cell r="E301">
            <v>366</v>
          </cell>
          <cell r="F301">
            <v>1045.8046076799997</v>
          </cell>
          <cell r="H301">
            <v>366</v>
          </cell>
          <cell r="I301">
            <v>1045.8046076799997</v>
          </cell>
        </row>
        <row r="302">
          <cell r="B302">
            <v>367</v>
          </cell>
          <cell r="C302">
            <v>4353.9228751000001</v>
          </cell>
          <cell r="E302">
            <v>367</v>
          </cell>
          <cell r="F302">
            <v>9505.2938669299983</v>
          </cell>
          <cell r="H302">
            <v>367</v>
          </cell>
          <cell r="I302">
            <v>9505.2938669299983</v>
          </cell>
        </row>
        <row r="303">
          <cell r="B303">
            <v>369</v>
          </cell>
          <cell r="C303">
            <v>13164.123795629999</v>
          </cell>
          <cell r="E303">
            <v>369</v>
          </cell>
          <cell r="F303">
            <v>27533.699712180009</v>
          </cell>
          <cell r="H303">
            <v>369</v>
          </cell>
          <cell r="I303">
            <v>27533.699712180009</v>
          </cell>
        </row>
        <row r="304">
          <cell r="B304">
            <v>372</v>
          </cell>
          <cell r="C304">
            <v>2968.0693395700005</v>
          </cell>
          <cell r="E304">
            <v>372</v>
          </cell>
          <cell r="F304">
            <v>5965.3966464100004</v>
          </cell>
          <cell r="H304">
            <v>372</v>
          </cell>
          <cell r="I304">
            <v>5965.3966464100004</v>
          </cell>
        </row>
        <row r="305">
          <cell r="B305">
            <v>373</v>
          </cell>
          <cell r="C305">
            <v>1712.5809084099999</v>
          </cell>
          <cell r="E305">
            <v>373</v>
          </cell>
          <cell r="F305">
            <v>3550.7279864400011</v>
          </cell>
          <cell r="H305">
            <v>373</v>
          </cell>
          <cell r="I305">
            <v>3550.7279864400011</v>
          </cell>
        </row>
        <row r="306">
          <cell r="B306">
            <v>374</v>
          </cell>
          <cell r="C306">
            <v>1566.6902685499992</v>
          </cell>
          <cell r="E306">
            <v>374</v>
          </cell>
          <cell r="F306">
            <v>3106.8775026500002</v>
          </cell>
          <cell r="H306">
            <v>374</v>
          </cell>
          <cell r="I306">
            <v>3106.8775026500002</v>
          </cell>
        </row>
        <row r="307">
          <cell r="B307">
            <v>375</v>
          </cell>
          <cell r="C307">
            <v>1984.7712777600004</v>
          </cell>
          <cell r="E307">
            <v>375</v>
          </cell>
          <cell r="F307">
            <v>4335.8460446299996</v>
          </cell>
          <cell r="H307">
            <v>375</v>
          </cell>
          <cell r="I307">
            <v>4335.8460446299996</v>
          </cell>
        </row>
        <row r="308">
          <cell r="B308">
            <v>376</v>
          </cell>
          <cell r="C308">
            <v>1388.6786159799997</v>
          </cell>
          <cell r="E308">
            <v>376</v>
          </cell>
          <cell r="F308">
            <v>2757.1372116800007</v>
          </cell>
          <cell r="H308">
            <v>376</v>
          </cell>
          <cell r="I308">
            <v>2757.1372116800007</v>
          </cell>
        </row>
        <row r="309">
          <cell r="B309">
            <v>378</v>
          </cell>
          <cell r="C309">
            <v>9097.5411086899985</v>
          </cell>
          <cell r="E309">
            <v>378</v>
          </cell>
          <cell r="F309">
            <v>19889.569971400015</v>
          </cell>
          <cell r="H309">
            <v>378</v>
          </cell>
          <cell r="I309">
            <v>19889.569971400015</v>
          </cell>
        </row>
        <row r="310">
          <cell r="B310">
            <v>379</v>
          </cell>
          <cell r="C310">
            <v>1833.8673810799999</v>
          </cell>
          <cell r="E310">
            <v>379</v>
          </cell>
          <cell r="F310">
            <v>3996.4643421599999</v>
          </cell>
          <cell r="H310">
            <v>379</v>
          </cell>
          <cell r="I310">
            <v>3996.4643421599999</v>
          </cell>
        </row>
        <row r="311">
          <cell r="B311">
            <v>381</v>
          </cell>
          <cell r="C311">
            <v>2836.6246294900002</v>
          </cell>
          <cell r="E311">
            <v>381</v>
          </cell>
          <cell r="F311">
            <v>5755.6900582400012</v>
          </cell>
          <cell r="H311">
            <v>381</v>
          </cell>
          <cell r="I311">
            <v>5755.6900582400012</v>
          </cell>
        </row>
        <row r="312">
          <cell r="B312">
            <v>382</v>
          </cell>
          <cell r="C312">
            <v>1634.53269705</v>
          </cell>
          <cell r="E312">
            <v>382</v>
          </cell>
          <cell r="F312">
            <v>3521.7054691399994</v>
          </cell>
          <cell r="H312">
            <v>382</v>
          </cell>
          <cell r="I312">
            <v>3521.7054691399994</v>
          </cell>
        </row>
        <row r="313">
          <cell r="B313">
            <v>383</v>
          </cell>
          <cell r="C313">
            <v>910.20640393000019</v>
          </cell>
          <cell r="E313">
            <v>383</v>
          </cell>
          <cell r="F313">
            <v>2026.9139559899993</v>
          </cell>
          <cell r="H313">
            <v>383</v>
          </cell>
          <cell r="I313">
            <v>2026.9139559899993</v>
          </cell>
        </row>
        <row r="314">
          <cell r="B314">
            <v>384</v>
          </cell>
          <cell r="C314">
            <v>1661.38069561</v>
          </cell>
          <cell r="E314">
            <v>384</v>
          </cell>
          <cell r="F314">
            <v>3630.2163038400013</v>
          </cell>
          <cell r="H314">
            <v>384</v>
          </cell>
          <cell r="I314">
            <v>3630.2163038400013</v>
          </cell>
        </row>
        <row r="315">
          <cell r="B315">
            <v>385</v>
          </cell>
          <cell r="C315">
            <v>3365.09879103</v>
          </cell>
          <cell r="E315">
            <v>385</v>
          </cell>
          <cell r="F315">
            <v>7085.1403547299997</v>
          </cell>
          <cell r="H315">
            <v>385</v>
          </cell>
          <cell r="I315">
            <v>7085.1403547299997</v>
          </cell>
        </row>
        <row r="316">
          <cell r="B316">
            <v>386</v>
          </cell>
          <cell r="C316">
            <v>14424.823619130004</v>
          </cell>
          <cell r="E316">
            <v>386</v>
          </cell>
          <cell r="F316">
            <v>31701.621507319993</v>
          </cell>
          <cell r="H316">
            <v>386</v>
          </cell>
          <cell r="I316">
            <v>31701.621507319993</v>
          </cell>
        </row>
        <row r="317">
          <cell r="B317">
            <v>387</v>
          </cell>
          <cell r="C317">
            <v>6181.81505251</v>
          </cell>
          <cell r="E317">
            <v>387</v>
          </cell>
          <cell r="F317">
            <v>11291.896118490002</v>
          </cell>
          <cell r="H317">
            <v>387</v>
          </cell>
          <cell r="I317">
            <v>11291.896118490002</v>
          </cell>
        </row>
        <row r="318">
          <cell r="B318">
            <v>388</v>
          </cell>
          <cell r="C318">
            <v>1699.8941173899996</v>
          </cell>
          <cell r="E318">
            <v>388</v>
          </cell>
          <cell r="F318">
            <v>3620.9172724500004</v>
          </cell>
          <cell r="H318">
            <v>388</v>
          </cell>
          <cell r="I318">
            <v>3620.9172724500004</v>
          </cell>
        </row>
        <row r="319">
          <cell r="B319">
            <v>392</v>
          </cell>
          <cell r="C319">
            <v>2104.4225971399997</v>
          </cell>
          <cell r="E319">
            <v>392</v>
          </cell>
          <cell r="F319">
            <v>4639.5181570999994</v>
          </cell>
          <cell r="H319">
            <v>392</v>
          </cell>
          <cell r="I319">
            <v>4639.5181570999994</v>
          </cell>
        </row>
        <row r="320">
          <cell r="B320">
            <v>393</v>
          </cell>
          <cell r="C320">
            <v>2655.55405767</v>
          </cell>
          <cell r="E320">
            <v>393</v>
          </cell>
          <cell r="F320">
            <v>5503.1632421800005</v>
          </cell>
          <cell r="H320">
            <v>393</v>
          </cell>
          <cell r="I320">
            <v>5503.1632421800005</v>
          </cell>
        </row>
        <row r="321">
          <cell r="B321">
            <v>394</v>
          </cell>
          <cell r="C321">
            <v>448.2669363899999</v>
          </cell>
          <cell r="E321">
            <v>394</v>
          </cell>
          <cell r="F321">
            <v>880.31517657999996</v>
          </cell>
          <cell r="H321">
            <v>394</v>
          </cell>
          <cell r="I321">
            <v>880.31517657999996</v>
          </cell>
        </row>
        <row r="322">
          <cell r="B322">
            <v>395</v>
          </cell>
          <cell r="C322">
            <v>3960.1106268899998</v>
          </cell>
          <cell r="E322">
            <v>395</v>
          </cell>
          <cell r="F322">
            <v>8295.3328127999994</v>
          </cell>
          <cell r="H322">
            <v>395</v>
          </cell>
          <cell r="I322">
            <v>8295.3328127999994</v>
          </cell>
        </row>
        <row r="323">
          <cell r="B323">
            <v>396</v>
          </cell>
          <cell r="C323">
            <v>14800.022596200002</v>
          </cell>
          <cell r="E323">
            <v>396</v>
          </cell>
          <cell r="F323">
            <v>31003.945586090005</v>
          </cell>
          <cell r="H323">
            <v>396</v>
          </cell>
          <cell r="I323">
            <v>31003.945586090005</v>
          </cell>
        </row>
        <row r="324">
          <cell r="B324">
            <v>397</v>
          </cell>
          <cell r="C324">
            <v>4043.9724968800006</v>
          </cell>
          <cell r="E324">
            <v>397</v>
          </cell>
          <cell r="F324">
            <v>8453.6191824099969</v>
          </cell>
          <cell r="H324">
            <v>397</v>
          </cell>
          <cell r="I324">
            <v>8453.6191824099969</v>
          </cell>
        </row>
        <row r="325">
          <cell r="B325">
            <v>398</v>
          </cell>
          <cell r="C325">
            <v>1352.4162269999999</v>
          </cell>
          <cell r="E325">
            <v>398</v>
          </cell>
          <cell r="F325">
            <v>2793.1253195000013</v>
          </cell>
          <cell r="H325">
            <v>398</v>
          </cell>
          <cell r="I325">
            <v>2793.1253195000013</v>
          </cell>
        </row>
        <row r="326">
          <cell r="B326">
            <v>400</v>
          </cell>
          <cell r="C326">
            <v>19477.396322369998</v>
          </cell>
          <cell r="E326">
            <v>400</v>
          </cell>
          <cell r="F326">
            <v>40619.653327450011</v>
          </cell>
          <cell r="H326">
            <v>400</v>
          </cell>
          <cell r="I326">
            <v>40619.653327450011</v>
          </cell>
        </row>
        <row r="327">
          <cell r="B327">
            <v>401</v>
          </cell>
          <cell r="C327">
            <v>6821.45034545</v>
          </cell>
          <cell r="E327">
            <v>401</v>
          </cell>
          <cell r="F327">
            <v>15003.734108740004</v>
          </cell>
          <cell r="H327">
            <v>401</v>
          </cell>
          <cell r="I327">
            <v>15003.734108740004</v>
          </cell>
        </row>
        <row r="328">
          <cell r="B328">
            <v>402</v>
          </cell>
          <cell r="C328">
            <v>4243.1972900700021</v>
          </cell>
          <cell r="E328">
            <v>402</v>
          </cell>
          <cell r="F328">
            <v>8660.6086311400031</v>
          </cell>
          <cell r="H328">
            <v>402</v>
          </cell>
          <cell r="I328">
            <v>8660.6086311400031</v>
          </cell>
        </row>
        <row r="329">
          <cell r="B329">
            <v>403</v>
          </cell>
          <cell r="C329">
            <v>19360.458055230003</v>
          </cell>
          <cell r="E329">
            <v>403</v>
          </cell>
          <cell r="F329">
            <v>40952.135089070012</v>
          </cell>
          <cell r="H329">
            <v>403</v>
          </cell>
          <cell r="I329">
            <v>40952.135089070012</v>
          </cell>
        </row>
        <row r="330">
          <cell r="B330">
            <v>404</v>
          </cell>
          <cell r="C330">
            <v>22833.388055520005</v>
          </cell>
          <cell r="E330">
            <v>404</v>
          </cell>
          <cell r="F330">
            <v>47421.41527710994</v>
          </cell>
          <cell r="H330">
            <v>404</v>
          </cell>
          <cell r="I330">
            <v>47421.41527710994</v>
          </cell>
        </row>
        <row r="331">
          <cell r="B331">
            <v>405</v>
          </cell>
          <cell r="C331">
            <v>9538.1674310399994</v>
          </cell>
          <cell r="E331">
            <v>405</v>
          </cell>
          <cell r="F331">
            <v>20177.283032970001</v>
          </cell>
          <cell r="H331">
            <v>405</v>
          </cell>
          <cell r="I331">
            <v>20177.283032970001</v>
          </cell>
        </row>
        <row r="332">
          <cell r="B332">
            <v>406</v>
          </cell>
          <cell r="C332">
            <v>11608.7114762</v>
          </cell>
          <cell r="E332">
            <v>406</v>
          </cell>
          <cell r="F332">
            <v>24849.799606059991</v>
          </cell>
          <cell r="H332">
            <v>406</v>
          </cell>
          <cell r="I332">
            <v>24849.799606059991</v>
          </cell>
        </row>
        <row r="333">
          <cell r="B333">
            <v>407</v>
          </cell>
          <cell r="C333">
            <v>4524.8507310499999</v>
          </cell>
          <cell r="E333">
            <v>407</v>
          </cell>
          <cell r="F333">
            <v>9562.0933143500024</v>
          </cell>
          <cell r="H333">
            <v>407</v>
          </cell>
          <cell r="I333">
            <v>9562.0933143500024</v>
          </cell>
        </row>
        <row r="334">
          <cell r="B334">
            <v>408</v>
          </cell>
          <cell r="C334">
            <v>4637.7061367799997</v>
          </cell>
          <cell r="E334">
            <v>408</v>
          </cell>
          <cell r="F334">
            <v>10118.513068769998</v>
          </cell>
          <cell r="H334">
            <v>408</v>
          </cell>
          <cell r="I334">
            <v>10118.513068769998</v>
          </cell>
        </row>
        <row r="335">
          <cell r="B335">
            <v>409</v>
          </cell>
          <cell r="C335">
            <v>1458.7979339399999</v>
          </cell>
          <cell r="E335">
            <v>409</v>
          </cell>
          <cell r="F335">
            <v>3032.8884846000005</v>
          </cell>
          <cell r="H335">
            <v>409</v>
          </cell>
          <cell r="I335">
            <v>3032.8884846000005</v>
          </cell>
        </row>
        <row r="336">
          <cell r="B336">
            <v>410</v>
          </cell>
          <cell r="C336">
            <v>2542.9008040599992</v>
          </cell>
          <cell r="E336">
            <v>410</v>
          </cell>
          <cell r="F336">
            <v>5097.7148622099994</v>
          </cell>
          <cell r="H336">
            <v>410</v>
          </cell>
          <cell r="I336">
            <v>5097.7148622099994</v>
          </cell>
        </row>
        <row r="337">
          <cell r="B337">
            <v>411</v>
          </cell>
          <cell r="C337">
            <v>8910.081386150001</v>
          </cell>
          <cell r="E337">
            <v>411</v>
          </cell>
          <cell r="F337">
            <v>18069.097536549998</v>
          </cell>
          <cell r="H337">
            <v>411</v>
          </cell>
          <cell r="I337">
            <v>18069.097536549998</v>
          </cell>
        </row>
        <row r="338">
          <cell r="B338">
            <v>412</v>
          </cell>
          <cell r="C338">
            <v>12597.968390820002</v>
          </cell>
          <cell r="E338">
            <v>412</v>
          </cell>
          <cell r="F338">
            <v>26492.962703040012</v>
          </cell>
          <cell r="H338">
            <v>412</v>
          </cell>
          <cell r="I338">
            <v>26492.962703040012</v>
          </cell>
        </row>
        <row r="339">
          <cell r="B339">
            <v>413</v>
          </cell>
          <cell r="C339">
            <v>13818.647905180002</v>
          </cell>
          <cell r="E339">
            <v>413</v>
          </cell>
          <cell r="F339">
            <v>29007.549702550004</v>
          </cell>
          <cell r="H339">
            <v>413</v>
          </cell>
          <cell r="I339">
            <v>29007.549702550004</v>
          </cell>
        </row>
        <row r="340">
          <cell r="B340">
            <v>414</v>
          </cell>
          <cell r="C340">
            <v>8302.1481779300011</v>
          </cell>
          <cell r="E340">
            <v>414</v>
          </cell>
          <cell r="F340">
            <v>16830.355295249996</v>
          </cell>
          <cell r="H340">
            <v>414</v>
          </cell>
          <cell r="I340">
            <v>16830.355295249996</v>
          </cell>
        </row>
        <row r="341">
          <cell r="B341">
            <v>415</v>
          </cell>
          <cell r="C341">
            <v>8200.5521103499996</v>
          </cell>
          <cell r="E341">
            <v>415</v>
          </cell>
          <cell r="F341">
            <v>17015.400113330001</v>
          </cell>
          <cell r="H341">
            <v>415</v>
          </cell>
          <cell r="I341">
            <v>17015.400113330001</v>
          </cell>
        </row>
        <row r="342">
          <cell r="B342">
            <v>416</v>
          </cell>
          <cell r="C342">
            <v>17687.67171264</v>
          </cell>
          <cell r="E342">
            <v>416</v>
          </cell>
          <cell r="F342">
            <v>37793.508098799997</v>
          </cell>
          <cell r="H342">
            <v>416</v>
          </cell>
          <cell r="I342">
            <v>37793.508098799997</v>
          </cell>
        </row>
        <row r="343">
          <cell r="B343">
            <v>417</v>
          </cell>
          <cell r="C343">
            <v>8373.2426923999992</v>
          </cell>
          <cell r="E343">
            <v>417</v>
          </cell>
          <cell r="F343">
            <v>17831.226777320004</v>
          </cell>
          <cell r="H343">
            <v>417</v>
          </cell>
          <cell r="I343">
            <v>17831.226777320004</v>
          </cell>
        </row>
        <row r="344">
          <cell r="B344">
            <v>418</v>
          </cell>
          <cell r="C344">
            <v>5714.0719990500002</v>
          </cell>
          <cell r="E344">
            <v>418</v>
          </cell>
          <cell r="F344">
            <v>12026.439489990005</v>
          </cell>
          <cell r="H344">
            <v>418</v>
          </cell>
          <cell r="I344">
            <v>12026.439489990005</v>
          </cell>
        </row>
        <row r="345">
          <cell r="B345">
            <v>419</v>
          </cell>
          <cell r="C345">
            <v>2649.1258903099992</v>
          </cell>
          <cell r="E345">
            <v>419</v>
          </cell>
          <cell r="F345">
            <v>6087.132185739998</v>
          </cell>
          <cell r="H345">
            <v>419</v>
          </cell>
          <cell r="I345">
            <v>6087.132185739998</v>
          </cell>
        </row>
        <row r="346">
          <cell r="B346">
            <v>422</v>
          </cell>
          <cell r="C346">
            <v>6570.4258137700017</v>
          </cell>
          <cell r="E346">
            <v>422</v>
          </cell>
          <cell r="F346">
            <v>13700.22869751</v>
          </cell>
          <cell r="H346">
            <v>422</v>
          </cell>
          <cell r="I346">
            <v>13700.22869751</v>
          </cell>
        </row>
        <row r="347">
          <cell r="B347">
            <v>423</v>
          </cell>
          <cell r="C347">
            <v>37292.690712709998</v>
          </cell>
          <cell r="E347">
            <v>423</v>
          </cell>
          <cell r="F347">
            <v>77938.340889779967</v>
          </cell>
          <cell r="H347">
            <v>423</v>
          </cell>
          <cell r="I347">
            <v>77938.340889779967</v>
          </cell>
        </row>
        <row r="348">
          <cell r="B348">
            <v>425</v>
          </cell>
          <cell r="C348">
            <v>9210.5727641300055</v>
          </cell>
          <cell r="E348">
            <v>425</v>
          </cell>
          <cell r="F348">
            <v>19231.317670469991</v>
          </cell>
          <cell r="H348">
            <v>425</v>
          </cell>
          <cell r="I348">
            <v>19231.317670469991</v>
          </cell>
        </row>
        <row r="349">
          <cell r="B349">
            <v>427</v>
          </cell>
          <cell r="C349">
            <v>9821.3131846699998</v>
          </cell>
          <cell r="E349">
            <v>427</v>
          </cell>
          <cell r="F349">
            <v>20019.611573619997</v>
          </cell>
          <cell r="H349">
            <v>427</v>
          </cell>
          <cell r="I349">
            <v>20019.611573619997</v>
          </cell>
        </row>
        <row r="350">
          <cell r="B350">
            <v>428</v>
          </cell>
          <cell r="C350">
            <v>5564.0885690700015</v>
          </cell>
          <cell r="E350">
            <v>428</v>
          </cell>
          <cell r="F350">
            <v>11451.497924099996</v>
          </cell>
          <cell r="H350">
            <v>428</v>
          </cell>
          <cell r="I350">
            <v>11451.497924099996</v>
          </cell>
        </row>
        <row r="351">
          <cell r="B351">
            <v>429</v>
          </cell>
          <cell r="C351">
            <v>3008.6586932499995</v>
          </cell>
          <cell r="E351">
            <v>429</v>
          </cell>
          <cell r="F351">
            <v>6825.2882344600002</v>
          </cell>
          <cell r="H351">
            <v>429</v>
          </cell>
          <cell r="I351">
            <v>6825.2882344600002</v>
          </cell>
        </row>
        <row r="352">
          <cell r="B352">
            <v>430</v>
          </cell>
          <cell r="C352">
            <v>4105.618935389999</v>
          </cell>
          <cell r="E352">
            <v>430</v>
          </cell>
          <cell r="F352">
            <v>8908.7506892599995</v>
          </cell>
          <cell r="H352">
            <v>430</v>
          </cell>
          <cell r="I352">
            <v>8908.7506892599995</v>
          </cell>
        </row>
        <row r="353">
          <cell r="B353">
            <v>431</v>
          </cell>
          <cell r="C353">
            <v>12827.177964390001</v>
          </cell>
          <cell r="E353">
            <v>431</v>
          </cell>
          <cell r="F353">
            <v>27325.503029140003</v>
          </cell>
          <cell r="H353">
            <v>431</v>
          </cell>
          <cell r="I353">
            <v>27325.503029140003</v>
          </cell>
        </row>
        <row r="354">
          <cell r="B354">
            <v>432</v>
          </cell>
          <cell r="C354">
            <v>7390.0354060199998</v>
          </cell>
          <cell r="E354">
            <v>432</v>
          </cell>
          <cell r="F354">
            <v>15681.843197719993</v>
          </cell>
          <cell r="H354">
            <v>432</v>
          </cell>
          <cell r="I354">
            <v>15681.843197719993</v>
          </cell>
        </row>
        <row r="355">
          <cell r="B355">
            <v>433</v>
          </cell>
          <cell r="C355">
            <v>2104.8691550800004</v>
          </cell>
          <cell r="E355">
            <v>433</v>
          </cell>
          <cell r="F355">
            <v>4969.3666362999993</v>
          </cell>
          <cell r="H355">
            <v>433</v>
          </cell>
          <cell r="I355">
            <v>4969.3666362999993</v>
          </cell>
        </row>
        <row r="356">
          <cell r="B356">
            <v>434</v>
          </cell>
          <cell r="C356">
            <v>13513.678215639997</v>
          </cell>
          <cell r="E356">
            <v>434</v>
          </cell>
          <cell r="F356">
            <v>28835.713556639996</v>
          </cell>
          <cell r="H356">
            <v>434</v>
          </cell>
          <cell r="I356">
            <v>28835.713556639996</v>
          </cell>
        </row>
        <row r="357">
          <cell r="B357">
            <v>435</v>
          </cell>
          <cell r="C357">
            <v>3521.4011111399996</v>
          </cell>
          <cell r="E357">
            <v>435</v>
          </cell>
          <cell r="F357">
            <v>7277.9157684399997</v>
          </cell>
          <cell r="H357">
            <v>435</v>
          </cell>
          <cell r="I357">
            <v>7277.9157684399997</v>
          </cell>
        </row>
        <row r="358">
          <cell r="B358">
            <v>436</v>
          </cell>
          <cell r="C358">
            <v>2370.5314613599999</v>
          </cell>
          <cell r="E358">
            <v>436</v>
          </cell>
          <cell r="F358">
            <v>4840.6094556599992</v>
          </cell>
          <cell r="H358">
            <v>436</v>
          </cell>
          <cell r="I358">
            <v>4840.6094556599992</v>
          </cell>
        </row>
        <row r="359">
          <cell r="B359">
            <v>438</v>
          </cell>
          <cell r="C359">
            <v>2063.7339844399994</v>
          </cell>
          <cell r="E359">
            <v>438</v>
          </cell>
          <cell r="F359">
            <v>4660.828287000003</v>
          </cell>
          <cell r="H359">
            <v>438</v>
          </cell>
          <cell r="I359">
            <v>4660.828287000003</v>
          </cell>
        </row>
        <row r="360">
          <cell r="B360">
            <v>439</v>
          </cell>
          <cell r="C360">
            <v>4369.7960582100004</v>
          </cell>
          <cell r="E360">
            <v>439</v>
          </cell>
          <cell r="F360">
            <v>9295.2226866700021</v>
          </cell>
          <cell r="H360">
            <v>439</v>
          </cell>
          <cell r="I360">
            <v>9295.2226866700021</v>
          </cell>
        </row>
        <row r="361">
          <cell r="B361">
            <v>440</v>
          </cell>
          <cell r="C361">
            <v>12103.594944439994</v>
          </cell>
          <cell r="E361">
            <v>440</v>
          </cell>
          <cell r="F361">
            <v>25882.170371150005</v>
          </cell>
          <cell r="H361">
            <v>440</v>
          </cell>
          <cell r="I361">
            <v>25882.170371150005</v>
          </cell>
        </row>
        <row r="362">
          <cell r="B362">
            <v>441</v>
          </cell>
          <cell r="C362">
            <v>6616.9026447100005</v>
          </cell>
          <cell r="E362">
            <v>441</v>
          </cell>
          <cell r="F362">
            <v>13585.719510349996</v>
          </cell>
          <cell r="H362">
            <v>441</v>
          </cell>
          <cell r="I362">
            <v>13585.719510349996</v>
          </cell>
        </row>
        <row r="363">
          <cell r="B363">
            <v>442</v>
          </cell>
          <cell r="C363">
            <v>14999.032295359997</v>
          </cell>
          <cell r="E363">
            <v>442</v>
          </cell>
          <cell r="F363">
            <v>31294.944776239994</v>
          </cell>
          <cell r="H363">
            <v>442</v>
          </cell>
          <cell r="I363">
            <v>31294.944776239994</v>
          </cell>
        </row>
        <row r="364">
          <cell r="B364">
            <v>444</v>
          </cell>
          <cell r="C364">
            <v>14173.275988290001</v>
          </cell>
          <cell r="E364">
            <v>444</v>
          </cell>
          <cell r="F364">
            <v>30355.579397109996</v>
          </cell>
          <cell r="H364">
            <v>444</v>
          </cell>
          <cell r="I364">
            <v>30355.579397109996</v>
          </cell>
        </row>
        <row r="365">
          <cell r="B365">
            <v>445</v>
          </cell>
          <cell r="C365">
            <v>7616.0253739099971</v>
          </cell>
          <cell r="E365">
            <v>445</v>
          </cell>
          <cell r="F365">
            <v>17165.287598890005</v>
          </cell>
          <cell r="H365">
            <v>445</v>
          </cell>
          <cell r="I365">
            <v>17165.287598890005</v>
          </cell>
        </row>
        <row r="366">
          <cell r="B366">
            <v>446</v>
          </cell>
          <cell r="C366">
            <v>16171.532283690001</v>
          </cell>
          <cell r="E366">
            <v>446</v>
          </cell>
          <cell r="F366">
            <v>34837.158397650004</v>
          </cell>
          <cell r="H366">
            <v>446</v>
          </cell>
          <cell r="I366">
            <v>34837.158397650004</v>
          </cell>
        </row>
        <row r="367">
          <cell r="B367">
            <v>447</v>
          </cell>
          <cell r="C367">
            <v>8654.7275230699997</v>
          </cell>
          <cell r="E367">
            <v>447</v>
          </cell>
          <cell r="F367">
            <v>18445.76952469</v>
          </cell>
          <cell r="H367">
            <v>447</v>
          </cell>
          <cell r="I367">
            <v>18445.76952469</v>
          </cell>
        </row>
        <row r="368">
          <cell r="B368">
            <v>448</v>
          </cell>
          <cell r="C368">
            <v>8617.4343070299983</v>
          </cell>
          <cell r="E368">
            <v>448</v>
          </cell>
          <cell r="F368">
            <v>18416.675801100009</v>
          </cell>
          <cell r="H368">
            <v>448</v>
          </cell>
          <cell r="I368">
            <v>18416.675801100009</v>
          </cell>
        </row>
        <row r="369">
          <cell r="B369">
            <v>449</v>
          </cell>
          <cell r="C369">
            <v>9237.7678895699992</v>
          </cell>
          <cell r="E369">
            <v>449</v>
          </cell>
          <cell r="F369">
            <v>19454.543521080006</v>
          </cell>
          <cell r="H369">
            <v>449</v>
          </cell>
          <cell r="I369">
            <v>19454.543521080006</v>
          </cell>
        </row>
        <row r="370">
          <cell r="B370">
            <v>450</v>
          </cell>
          <cell r="C370">
            <v>3490.9035132700001</v>
          </cell>
          <cell r="E370">
            <v>450</v>
          </cell>
          <cell r="F370">
            <v>7358.5969656400039</v>
          </cell>
          <cell r="H370">
            <v>450</v>
          </cell>
          <cell r="I370">
            <v>7358.5969656400039</v>
          </cell>
        </row>
        <row r="371">
          <cell r="B371">
            <v>451</v>
          </cell>
          <cell r="C371">
            <v>2379.05481766</v>
          </cell>
          <cell r="E371">
            <v>451</v>
          </cell>
          <cell r="F371">
            <v>5021.3826365999985</v>
          </cell>
          <cell r="H371">
            <v>451</v>
          </cell>
          <cell r="I371">
            <v>5021.3826365999985</v>
          </cell>
        </row>
        <row r="372">
          <cell r="B372">
            <v>453</v>
          </cell>
          <cell r="C372">
            <v>9551.2263146099995</v>
          </cell>
          <cell r="E372">
            <v>453</v>
          </cell>
          <cell r="F372">
            <v>19224.377957700017</v>
          </cell>
          <cell r="H372">
            <v>453</v>
          </cell>
          <cell r="I372">
            <v>19224.377957700017</v>
          </cell>
        </row>
        <row r="373">
          <cell r="B373">
            <v>454</v>
          </cell>
          <cell r="C373">
            <v>5580.5756029400009</v>
          </cell>
          <cell r="E373">
            <v>454</v>
          </cell>
          <cell r="F373">
            <v>11467.836059950001</v>
          </cell>
          <cell r="H373">
            <v>454</v>
          </cell>
          <cell r="I373">
            <v>11467.836059950001</v>
          </cell>
        </row>
        <row r="374">
          <cell r="B374">
            <v>455</v>
          </cell>
          <cell r="C374">
            <v>13028.737893270005</v>
          </cell>
          <cell r="E374">
            <v>455</v>
          </cell>
          <cell r="F374">
            <v>27170.556343720003</v>
          </cell>
          <cell r="H374">
            <v>455</v>
          </cell>
          <cell r="I374">
            <v>27170.556343720003</v>
          </cell>
        </row>
        <row r="375">
          <cell r="B375">
            <v>457</v>
          </cell>
          <cell r="C375">
            <v>13165.350482800002</v>
          </cell>
          <cell r="E375">
            <v>457</v>
          </cell>
          <cell r="F375">
            <v>27172.160682010002</v>
          </cell>
          <cell r="H375">
            <v>457</v>
          </cell>
          <cell r="I375">
            <v>27172.160682010002</v>
          </cell>
        </row>
        <row r="376">
          <cell r="B376">
            <v>458</v>
          </cell>
          <cell r="C376">
            <v>8429.4463253400027</v>
          </cell>
          <cell r="E376">
            <v>458</v>
          </cell>
          <cell r="F376">
            <v>17996.81637602999</v>
          </cell>
          <cell r="H376">
            <v>458</v>
          </cell>
          <cell r="I376">
            <v>17996.81637602999</v>
          </cell>
        </row>
        <row r="377">
          <cell r="B377">
            <v>459</v>
          </cell>
          <cell r="C377">
            <v>4352.5972910600003</v>
          </cell>
          <cell r="E377">
            <v>459</v>
          </cell>
          <cell r="F377">
            <v>9164.0017852199962</v>
          </cell>
          <cell r="H377">
            <v>459</v>
          </cell>
          <cell r="I377">
            <v>9164.0017852199962</v>
          </cell>
        </row>
        <row r="378">
          <cell r="B378">
            <v>460</v>
          </cell>
          <cell r="C378">
            <v>18076.650523929999</v>
          </cell>
          <cell r="E378">
            <v>460</v>
          </cell>
          <cell r="F378">
            <v>37528.622809299995</v>
          </cell>
          <cell r="H378">
            <v>460</v>
          </cell>
          <cell r="I378">
            <v>37528.622809299995</v>
          </cell>
        </row>
        <row r="379">
          <cell r="B379">
            <v>461</v>
          </cell>
          <cell r="C379">
            <v>4365.2459322500008</v>
          </cell>
          <cell r="E379">
            <v>461</v>
          </cell>
          <cell r="F379">
            <v>8964.4828766099981</v>
          </cell>
          <cell r="H379">
            <v>461</v>
          </cell>
          <cell r="I379">
            <v>8964.4828766099981</v>
          </cell>
        </row>
        <row r="380">
          <cell r="B380">
            <v>462</v>
          </cell>
          <cell r="C380">
            <v>15672.03889853</v>
          </cell>
          <cell r="E380">
            <v>462</v>
          </cell>
          <cell r="F380">
            <v>32973.882535910001</v>
          </cell>
          <cell r="H380">
            <v>462</v>
          </cell>
          <cell r="I380">
            <v>32973.882535910001</v>
          </cell>
        </row>
        <row r="381">
          <cell r="B381">
            <v>463</v>
          </cell>
          <cell r="C381">
            <v>15486.858224370006</v>
          </cell>
          <cell r="E381">
            <v>463</v>
          </cell>
          <cell r="F381">
            <v>33617.201441169986</v>
          </cell>
          <cell r="H381">
            <v>463</v>
          </cell>
          <cell r="I381">
            <v>33617.201441169986</v>
          </cell>
        </row>
        <row r="382">
          <cell r="B382">
            <v>464</v>
          </cell>
          <cell r="C382">
            <v>16236.144513040002</v>
          </cell>
          <cell r="E382">
            <v>464</v>
          </cell>
          <cell r="F382">
            <v>33308.835463520008</v>
          </cell>
          <cell r="H382">
            <v>464</v>
          </cell>
          <cell r="I382">
            <v>33308.835463520008</v>
          </cell>
        </row>
        <row r="383">
          <cell r="B383">
            <v>465</v>
          </cell>
          <cell r="C383">
            <v>4446.3290391700011</v>
          </cell>
          <cell r="E383">
            <v>465</v>
          </cell>
          <cell r="F383">
            <v>8713.0736183000008</v>
          </cell>
          <cell r="H383">
            <v>465</v>
          </cell>
          <cell r="I383">
            <v>8713.0736183000008</v>
          </cell>
        </row>
        <row r="384">
          <cell r="B384">
            <v>466</v>
          </cell>
          <cell r="C384">
            <v>19392.678321550004</v>
          </cell>
          <cell r="E384">
            <v>466</v>
          </cell>
          <cell r="F384">
            <v>40937.426780020003</v>
          </cell>
          <cell r="H384">
            <v>466</v>
          </cell>
          <cell r="I384">
            <v>40937.426780020003</v>
          </cell>
        </row>
        <row r="385">
          <cell r="B385">
            <v>467</v>
          </cell>
          <cell r="C385">
            <v>1961.4396024599998</v>
          </cell>
          <cell r="E385">
            <v>467</v>
          </cell>
          <cell r="F385">
            <v>4408.5901348900006</v>
          </cell>
          <cell r="H385">
            <v>467</v>
          </cell>
          <cell r="I385">
            <v>4408.5901348900006</v>
          </cell>
        </row>
        <row r="386">
          <cell r="B386">
            <v>468</v>
          </cell>
          <cell r="C386">
            <v>2811.0092421299996</v>
          </cell>
          <cell r="E386">
            <v>468</v>
          </cell>
          <cell r="F386">
            <v>6438.05727389</v>
          </cell>
          <cell r="H386">
            <v>468</v>
          </cell>
          <cell r="I386">
            <v>6438.05727389</v>
          </cell>
        </row>
        <row r="387">
          <cell r="B387">
            <v>469</v>
          </cell>
          <cell r="C387">
            <v>9807.200897460003</v>
          </cell>
          <cell r="E387">
            <v>469</v>
          </cell>
          <cell r="F387">
            <v>21040.088345659999</v>
          </cell>
          <cell r="H387">
            <v>469</v>
          </cell>
          <cell r="I387">
            <v>21040.088345659999</v>
          </cell>
        </row>
        <row r="388">
          <cell r="B388">
            <v>470</v>
          </cell>
          <cell r="C388">
            <v>7654.1680521000026</v>
          </cell>
          <cell r="E388">
            <v>470</v>
          </cell>
          <cell r="F388">
            <v>16196.576533759993</v>
          </cell>
          <cell r="H388">
            <v>470</v>
          </cell>
          <cell r="I388">
            <v>16196.576533759993</v>
          </cell>
        </row>
        <row r="389">
          <cell r="B389">
            <v>472</v>
          </cell>
          <cell r="C389">
            <v>12294.075589349999</v>
          </cell>
          <cell r="E389">
            <v>472</v>
          </cell>
          <cell r="F389">
            <v>26056.911756400001</v>
          </cell>
          <cell r="H389">
            <v>472</v>
          </cell>
          <cell r="I389">
            <v>26056.911756400001</v>
          </cell>
        </row>
        <row r="390">
          <cell r="B390">
            <v>473</v>
          </cell>
          <cell r="C390">
            <v>6212.5009004800004</v>
          </cell>
          <cell r="E390">
            <v>473</v>
          </cell>
          <cell r="F390">
            <v>12628.334722289999</v>
          </cell>
          <cell r="H390">
            <v>473</v>
          </cell>
          <cell r="I390">
            <v>12628.334722289999</v>
          </cell>
        </row>
        <row r="391">
          <cell r="B391">
            <v>475</v>
          </cell>
          <cell r="C391">
            <v>5517.57314451</v>
          </cell>
          <cell r="E391">
            <v>475</v>
          </cell>
          <cell r="F391">
            <v>11710.256138469998</v>
          </cell>
          <cell r="H391">
            <v>475</v>
          </cell>
          <cell r="I391">
            <v>11710.256138469998</v>
          </cell>
        </row>
        <row r="392">
          <cell r="B392">
            <v>476</v>
          </cell>
          <cell r="C392">
            <v>6020.3532761199986</v>
          </cell>
          <cell r="E392">
            <v>476</v>
          </cell>
          <cell r="F392">
            <v>13135.017930060005</v>
          </cell>
          <cell r="H392">
            <v>476</v>
          </cell>
          <cell r="I392">
            <v>13135.017930060005</v>
          </cell>
        </row>
        <row r="393">
          <cell r="B393">
            <v>477</v>
          </cell>
          <cell r="C393">
            <v>3384.9949223699996</v>
          </cell>
          <cell r="E393">
            <v>477</v>
          </cell>
          <cell r="F393">
            <v>10560.119462519993</v>
          </cell>
          <cell r="H393">
            <v>477</v>
          </cell>
          <cell r="I393">
            <v>10560.119462519993</v>
          </cell>
        </row>
        <row r="394">
          <cell r="B394">
            <v>478</v>
          </cell>
          <cell r="C394">
            <v>8512.6487490599993</v>
          </cell>
          <cell r="E394">
            <v>478</v>
          </cell>
          <cell r="F394">
            <v>16873.343704610004</v>
          </cell>
          <cell r="H394">
            <v>478</v>
          </cell>
          <cell r="I394">
            <v>16873.343704610004</v>
          </cell>
        </row>
        <row r="395">
          <cell r="B395">
            <v>480</v>
          </cell>
          <cell r="C395">
            <v>16612.536515920001</v>
          </cell>
          <cell r="E395">
            <v>480</v>
          </cell>
          <cell r="F395">
            <v>35105.006528560014</v>
          </cell>
          <cell r="H395">
            <v>480</v>
          </cell>
          <cell r="I395">
            <v>35105.006528560014</v>
          </cell>
        </row>
        <row r="396">
          <cell r="B396">
            <v>481</v>
          </cell>
          <cell r="C396">
            <v>5269.9138017300002</v>
          </cell>
          <cell r="E396">
            <v>481</v>
          </cell>
          <cell r="F396">
            <v>10861.11452479</v>
          </cell>
          <cell r="H396">
            <v>481</v>
          </cell>
          <cell r="I396">
            <v>10861.11452479</v>
          </cell>
        </row>
        <row r="397">
          <cell r="B397">
            <v>482</v>
          </cell>
          <cell r="C397">
            <v>2884.5668303299999</v>
          </cell>
          <cell r="E397">
            <v>482</v>
          </cell>
          <cell r="F397">
            <v>6317.9882092300013</v>
          </cell>
          <cell r="H397">
            <v>482</v>
          </cell>
          <cell r="I397">
            <v>6317.9882092300013</v>
          </cell>
        </row>
        <row r="398">
          <cell r="B398">
            <v>483</v>
          </cell>
          <cell r="C398">
            <v>8596.0401897899974</v>
          </cell>
          <cell r="E398">
            <v>483</v>
          </cell>
          <cell r="F398">
            <v>17997.963646890003</v>
          </cell>
          <cell r="H398">
            <v>483</v>
          </cell>
          <cell r="I398">
            <v>17997.963646890003</v>
          </cell>
        </row>
        <row r="399">
          <cell r="B399">
            <v>484</v>
          </cell>
          <cell r="C399">
            <v>181.03718115999999</v>
          </cell>
          <cell r="E399">
            <v>484</v>
          </cell>
          <cell r="F399">
            <v>362.62758855000016</v>
          </cell>
          <cell r="H399">
            <v>484</v>
          </cell>
          <cell r="I399">
            <v>362.62758855000016</v>
          </cell>
        </row>
        <row r="400">
          <cell r="B400">
            <v>486</v>
          </cell>
          <cell r="C400">
            <v>4545.0020695199992</v>
          </cell>
          <cell r="E400">
            <v>486</v>
          </cell>
          <cell r="F400">
            <v>9573.2908707199986</v>
          </cell>
          <cell r="H400">
            <v>486</v>
          </cell>
          <cell r="I400">
            <v>9573.2908707199986</v>
          </cell>
        </row>
        <row r="401">
          <cell r="B401">
            <v>487</v>
          </cell>
          <cell r="C401">
            <v>9533.7969729899978</v>
          </cell>
          <cell r="E401">
            <v>487</v>
          </cell>
          <cell r="F401">
            <v>20042.657029479997</v>
          </cell>
          <cell r="H401">
            <v>487</v>
          </cell>
          <cell r="I401">
            <v>20042.657029479997</v>
          </cell>
        </row>
        <row r="402">
          <cell r="B402">
            <v>488</v>
          </cell>
          <cell r="C402">
            <v>14017.958632229998</v>
          </cell>
          <cell r="E402">
            <v>488</v>
          </cell>
          <cell r="F402">
            <v>29646.646593020021</v>
          </cell>
          <cell r="H402">
            <v>488</v>
          </cell>
          <cell r="I402">
            <v>29646.646593020021</v>
          </cell>
        </row>
        <row r="403">
          <cell r="B403">
            <v>489</v>
          </cell>
          <cell r="C403">
            <v>30233.300991389991</v>
          </cell>
          <cell r="E403">
            <v>489</v>
          </cell>
          <cell r="F403">
            <v>66043.739697729994</v>
          </cell>
          <cell r="H403">
            <v>489</v>
          </cell>
          <cell r="I403">
            <v>66043.739697729994</v>
          </cell>
        </row>
        <row r="404">
          <cell r="B404">
            <v>490</v>
          </cell>
          <cell r="C404">
            <v>15770.502077359999</v>
          </cell>
          <cell r="E404">
            <v>490</v>
          </cell>
          <cell r="F404">
            <v>33285.581067590007</v>
          </cell>
          <cell r="H404">
            <v>490</v>
          </cell>
          <cell r="I404">
            <v>33285.581067590007</v>
          </cell>
        </row>
        <row r="405">
          <cell r="B405">
            <v>491</v>
          </cell>
          <cell r="C405">
            <v>972.60467920000008</v>
          </cell>
          <cell r="E405">
            <v>491</v>
          </cell>
          <cell r="F405">
            <v>2027.2709506000006</v>
          </cell>
          <cell r="H405">
            <v>491</v>
          </cell>
          <cell r="I405">
            <v>2027.2709506000006</v>
          </cell>
        </row>
        <row r="406">
          <cell r="B406">
            <v>492</v>
          </cell>
          <cell r="C406">
            <v>6055.7093655299996</v>
          </cell>
          <cell r="E406">
            <v>492</v>
          </cell>
          <cell r="F406">
            <v>12615.237646960002</v>
          </cell>
          <cell r="H406">
            <v>492</v>
          </cell>
          <cell r="I406">
            <v>12615.237646960002</v>
          </cell>
        </row>
        <row r="407">
          <cell r="B407">
            <v>493</v>
          </cell>
          <cell r="C407">
            <v>13393.304812509999</v>
          </cell>
          <cell r="E407">
            <v>493</v>
          </cell>
          <cell r="F407">
            <v>28719.324451150005</v>
          </cell>
          <cell r="H407">
            <v>493</v>
          </cell>
          <cell r="I407">
            <v>28719.324451150005</v>
          </cell>
        </row>
        <row r="408">
          <cell r="B408">
            <v>495</v>
          </cell>
          <cell r="C408">
            <v>1462.2073800800003</v>
          </cell>
          <cell r="E408">
            <v>495</v>
          </cell>
          <cell r="F408">
            <v>3142.9573282099991</v>
          </cell>
          <cell r="H408">
            <v>495</v>
          </cell>
          <cell r="I408">
            <v>3142.9573282099991</v>
          </cell>
        </row>
        <row r="409">
          <cell r="B409">
            <v>496</v>
          </cell>
          <cell r="C409">
            <v>1979.9431953700005</v>
          </cell>
          <cell r="E409">
            <v>496</v>
          </cell>
          <cell r="F409">
            <v>4558.6059930200008</v>
          </cell>
          <cell r="H409">
            <v>496</v>
          </cell>
          <cell r="I409">
            <v>4558.6059930200008</v>
          </cell>
        </row>
        <row r="410">
          <cell r="B410">
            <v>498</v>
          </cell>
          <cell r="C410">
            <v>8664.5046842400025</v>
          </cell>
          <cell r="E410">
            <v>498</v>
          </cell>
          <cell r="F410">
            <v>18799.945182549996</v>
          </cell>
          <cell r="H410">
            <v>498</v>
          </cell>
          <cell r="I410">
            <v>18799.945182549996</v>
          </cell>
        </row>
        <row r="411">
          <cell r="B411">
            <v>499</v>
          </cell>
          <cell r="C411">
            <v>3321.0673248400003</v>
          </cell>
          <cell r="E411">
            <v>499</v>
          </cell>
          <cell r="F411">
            <v>7012.1614686899993</v>
          </cell>
          <cell r="H411">
            <v>499</v>
          </cell>
          <cell r="I411">
            <v>7012.1614686899993</v>
          </cell>
        </row>
        <row r="412">
          <cell r="B412">
            <v>502</v>
          </cell>
          <cell r="C412">
            <v>17642.006800769999</v>
          </cell>
          <cell r="E412">
            <v>502</v>
          </cell>
          <cell r="F412">
            <v>36946.61225790999</v>
          </cell>
          <cell r="H412">
            <v>502</v>
          </cell>
          <cell r="I412">
            <v>36946.61225790999</v>
          </cell>
        </row>
        <row r="413">
          <cell r="B413">
            <v>503</v>
          </cell>
          <cell r="C413">
            <v>7721.8758306999998</v>
          </cell>
          <cell r="E413">
            <v>503</v>
          </cell>
          <cell r="F413">
            <v>16700.800107179999</v>
          </cell>
          <cell r="H413">
            <v>503</v>
          </cell>
          <cell r="I413">
            <v>16700.800107179999</v>
          </cell>
        </row>
        <row r="414">
          <cell r="B414">
            <v>504</v>
          </cell>
          <cell r="C414">
            <v>39368.729181920011</v>
          </cell>
          <cell r="E414">
            <v>504</v>
          </cell>
          <cell r="F414">
            <v>83222.093081309984</v>
          </cell>
          <cell r="H414">
            <v>504</v>
          </cell>
          <cell r="I414">
            <v>83222.093081309984</v>
          </cell>
        </row>
        <row r="415">
          <cell r="B415">
            <v>505</v>
          </cell>
          <cell r="C415">
            <v>6403.5041651100009</v>
          </cell>
          <cell r="E415">
            <v>505</v>
          </cell>
          <cell r="F415">
            <v>13444.451694809997</v>
          </cell>
          <cell r="H415">
            <v>505</v>
          </cell>
          <cell r="I415">
            <v>13444.451694809997</v>
          </cell>
        </row>
        <row r="416">
          <cell r="B416">
            <v>506</v>
          </cell>
          <cell r="C416">
            <v>12033.95627647</v>
          </cell>
          <cell r="E416">
            <v>506</v>
          </cell>
          <cell r="F416">
            <v>25656.154411260002</v>
          </cell>
          <cell r="H416">
            <v>506</v>
          </cell>
          <cell r="I416">
            <v>25656.154411260002</v>
          </cell>
        </row>
        <row r="417">
          <cell r="B417">
            <v>507</v>
          </cell>
          <cell r="C417">
            <v>3900.09025673</v>
          </cell>
          <cell r="E417">
            <v>507</v>
          </cell>
          <cell r="F417">
            <v>8219.7564301799976</v>
          </cell>
          <cell r="H417">
            <v>507</v>
          </cell>
          <cell r="I417">
            <v>8219.7564301799976</v>
          </cell>
        </row>
        <row r="418">
          <cell r="B418">
            <v>508</v>
          </cell>
          <cell r="C418">
            <v>3369.78786825</v>
          </cell>
          <cell r="E418">
            <v>508</v>
          </cell>
          <cell r="F418">
            <v>7049.2558020999986</v>
          </cell>
          <cell r="H418">
            <v>508</v>
          </cell>
          <cell r="I418">
            <v>7049.2558020999986</v>
          </cell>
        </row>
        <row r="419">
          <cell r="B419">
            <v>509</v>
          </cell>
          <cell r="C419">
            <v>4354.0824095299995</v>
          </cell>
          <cell r="E419">
            <v>509</v>
          </cell>
          <cell r="F419">
            <v>9562.294674560002</v>
          </cell>
          <cell r="H419">
            <v>509</v>
          </cell>
          <cell r="I419">
            <v>9562.294674560002</v>
          </cell>
        </row>
        <row r="420">
          <cell r="B420">
            <v>510</v>
          </cell>
          <cell r="C420">
            <v>8164.9224228500025</v>
          </cell>
          <cell r="E420">
            <v>510</v>
          </cell>
          <cell r="F420">
            <v>16877.97078113</v>
          </cell>
          <cell r="H420">
            <v>510</v>
          </cell>
          <cell r="I420">
            <v>16877.97078113</v>
          </cell>
        </row>
        <row r="421">
          <cell r="B421">
            <v>514</v>
          </cell>
          <cell r="C421">
            <v>647.63996682000004</v>
          </cell>
          <cell r="E421">
            <v>514</v>
          </cell>
          <cell r="F421">
            <v>1894.9801861599994</v>
          </cell>
          <cell r="H421">
            <v>514</v>
          </cell>
          <cell r="I421">
            <v>1894.9801861599994</v>
          </cell>
        </row>
        <row r="422">
          <cell r="B422">
            <v>516</v>
          </cell>
          <cell r="C422">
            <v>6544.2799381899995</v>
          </cell>
          <cell r="E422">
            <v>516</v>
          </cell>
          <cell r="F422">
            <v>14608.699946300005</v>
          </cell>
          <cell r="H422">
            <v>516</v>
          </cell>
          <cell r="I422">
            <v>14608.699946300005</v>
          </cell>
        </row>
        <row r="423">
          <cell r="B423">
            <v>517</v>
          </cell>
          <cell r="C423">
            <v>5385.9705709399996</v>
          </cell>
          <cell r="E423">
            <v>517</v>
          </cell>
          <cell r="F423">
            <v>11204.923556239999</v>
          </cell>
          <cell r="H423">
            <v>517</v>
          </cell>
          <cell r="I423">
            <v>11204.923556239999</v>
          </cell>
        </row>
        <row r="424">
          <cell r="B424">
            <v>518</v>
          </cell>
          <cell r="C424">
            <v>13690.536554900002</v>
          </cell>
          <cell r="E424">
            <v>518</v>
          </cell>
          <cell r="F424">
            <v>28302.89864896001</v>
          </cell>
          <cell r="H424">
            <v>518</v>
          </cell>
          <cell r="I424">
            <v>28302.89864896001</v>
          </cell>
        </row>
        <row r="425">
          <cell r="B425">
            <v>519</v>
          </cell>
          <cell r="C425">
            <v>15361.234113960001</v>
          </cell>
          <cell r="E425">
            <v>519</v>
          </cell>
          <cell r="F425">
            <v>31646.614332979996</v>
          </cell>
          <cell r="H425">
            <v>519</v>
          </cell>
          <cell r="I425">
            <v>31646.614332979996</v>
          </cell>
        </row>
        <row r="426">
          <cell r="B426">
            <v>522</v>
          </cell>
          <cell r="C426">
            <v>14675.98734618</v>
          </cell>
          <cell r="E426">
            <v>522</v>
          </cell>
          <cell r="F426">
            <v>30613.275892839996</v>
          </cell>
          <cell r="H426">
            <v>522</v>
          </cell>
          <cell r="I426">
            <v>30613.275892839996</v>
          </cell>
        </row>
        <row r="427">
          <cell r="B427">
            <v>523</v>
          </cell>
          <cell r="C427">
            <v>12711.954738979999</v>
          </cell>
          <cell r="E427">
            <v>523</v>
          </cell>
          <cell r="F427">
            <v>27335.601229420005</v>
          </cell>
          <cell r="H427">
            <v>523</v>
          </cell>
          <cell r="I427">
            <v>27335.601229420005</v>
          </cell>
        </row>
        <row r="428">
          <cell r="B428">
            <v>524</v>
          </cell>
          <cell r="C428">
            <v>3564.105963349999</v>
          </cell>
          <cell r="E428">
            <v>524</v>
          </cell>
          <cell r="F428">
            <v>7248.8733520900014</v>
          </cell>
          <cell r="H428">
            <v>524</v>
          </cell>
          <cell r="I428">
            <v>7248.8733520900014</v>
          </cell>
        </row>
        <row r="429">
          <cell r="B429">
            <v>525</v>
          </cell>
          <cell r="C429">
            <v>2666.8922334499998</v>
          </cell>
          <cell r="E429">
            <v>525</v>
          </cell>
          <cell r="F429">
            <v>5605.1331311700005</v>
          </cell>
          <cell r="H429">
            <v>525</v>
          </cell>
          <cell r="I429">
            <v>5605.1331311700005</v>
          </cell>
        </row>
        <row r="430">
          <cell r="B430">
            <v>526</v>
          </cell>
          <cell r="C430">
            <v>40342.499221569975</v>
          </cell>
          <cell r="E430">
            <v>526</v>
          </cell>
          <cell r="F430">
            <v>84510.627149770065</v>
          </cell>
          <cell r="H430">
            <v>526</v>
          </cell>
          <cell r="I430">
            <v>84510.627149770065</v>
          </cell>
        </row>
        <row r="431">
          <cell r="B431">
            <v>527</v>
          </cell>
          <cell r="C431">
            <v>6040.6797497000007</v>
          </cell>
          <cell r="E431">
            <v>527</v>
          </cell>
          <cell r="F431">
            <v>12523.618098889998</v>
          </cell>
          <cell r="H431">
            <v>527</v>
          </cell>
          <cell r="I431">
            <v>12523.618098889998</v>
          </cell>
        </row>
        <row r="432">
          <cell r="B432">
            <v>530</v>
          </cell>
          <cell r="C432">
            <v>3689.5831619999999</v>
          </cell>
          <cell r="E432">
            <v>530</v>
          </cell>
          <cell r="F432">
            <v>7704.9144753700011</v>
          </cell>
          <cell r="H432">
            <v>530</v>
          </cell>
          <cell r="I432">
            <v>7704.9144753700011</v>
          </cell>
        </row>
        <row r="433">
          <cell r="B433">
            <v>532</v>
          </cell>
          <cell r="C433">
            <v>7115.4071552800006</v>
          </cell>
          <cell r="E433">
            <v>532</v>
          </cell>
          <cell r="F433">
            <v>16221.947688419999</v>
          </cell>
          <cell r="H433">
            <v>532</v>
          </cell>
          <cell r="I433">
            <v>16221.947688419999</v>
          </cell>
        </row>
        <row r="434">
          <cell r="B434">
            <v>533</v>
          </cell>
          <cell r="C434">
            <v>6804.3509372200006</v>
          </cell>
          <cell r="E434">
            <v>533</v>
          </cell>
          <cell r="F434">
            <v>14286.448910219999</v>
          </cell>
          <cell r="H434">
            <v>533</v>
          </cell>
          <cell r="I434">
            <v>14286.448910219999</v>
          </cell>
        </row>
        <row r="435">
          <cell r="B435">
            <v>534</v>
          </cell>
          <cell r="C435">
            <v>13915.593812730003</v>
          </cell>
          <cell r="E435">
            <v>534</v>
          </cell>
          <cell r="F435">
            <v>29027.462959800021</v>
          </cell>
          <cell r="H435">
            <v>534</v>
          </cell>
          <cell r="I435">
            <v>29027.462959800021</v>
          </cell>
        </row>
        <row r="436">
          <cell r="B436">
            <v>535</v>
          </cell>
          <cell r="C436">
            <v>10322.089000290001</v>
          </cell>
          <cell r="E436">
            <v>535</v>
          </cell>
          <cell r="F436">
            <v>21681.998111970002</v>
          </cell>
          <cell r="H436">
            <v>535</v>
          </cell>
          <cell r="I436">
            <v>21681.998111970002</v>
          </cell>
        </row>
        <row r="437">
          <cell r="B437">
            <v>536</v>
          </cell>
          <cell r="C437">
            <v>12635.813587750001</v>
          </cell>
          <cell r="E437">
            <v>536</v>
          </cell>
          <cell r="F437">
            <v>26323.390349969992</v>
          </cell>
          <cell r="H437">
            <v>536</v>
          </cell>
          <cell r="I437">
            <v>26323.390349969992</v>
          </cell>
        </row>
        <row r="438">
          <cell r="B438">
            <v>537</v>
          </cell>
          <cell r="C438">
            <v>2979.6399627799992</v>
          </cell>
          <cell r="E438">
            <v>537</v>
          </cell>
          <cell r="F438">
            <v>7095.5021259700015</v>
          </cell>
          <cell r="H438">
            <v>537</v>
          </cell>
          <cell r="I438">
            <v>7095.5021259700015</v>
          </cell>
        </row>
        <row r="439">
          <cell r="B439">
            <v>538</v>
          </cell>
          <cell r="C439">
            <v>3882.6650922300005</v>
          </cell>
          <cell r="E439">
            <v>538</v>
          </cell>
          <cell r="F439">
            <v>8300.1523545800028</v>
          </cell>
          <cell r="H439">
            <v>538</v>
          </cell>
          <cell r="I439">
            <v>8300.1523545800028</v>
          </cell>
        </row>
        <row r="440">
          <cell r="B440">
            <v>539</v>
          </cell>
          <cell r="C440">
            <v>1307.4329644999996</v>
          </cell>
          <cell r="E440">
            <v>539</v>
          </cell>
          <cell r="F440">
            <v>2839.6742792200007</v>
          </cell>
          <cell r="H440">
            <v>539</v>
          </cell>
          <cell r="I440">
            <v>2839.6742792200007</v>
          </cell>
        </row>
        <row r="441">
          <cell r="B441">
            <v>541</v>
          </cell>
          <cell r="C441">
            <v>25268.293646130009</v>
          </cell>
          <cell r="E441">
            <v>541</v>
          </cell>
          <cell r="F441">
            <v>54981.243994979981</v>
          </cell>
          <cell r="H441">
            <v>541</v>
          </cell>
          <cell r="I441">
            <v>54981.243994979981</v>
          </cell>
        </row>
        <row r="442">
          <cell r="B442">
            <v>543</v>
          </cell>
          <cell r="C442">
            <v>9178.2720592100013</v>
          </cell>
          <cell r="E442">
            <v>543</v>
          </cell>
          <cell r="F442">
            <v>19112.219828869995</v>
          </cell>
          <cell r="H442">
            <v>543</v>
          </cell>
          <cell r="I442">
            <v>19112.219828869995</v>
          </cell>
        </row>
        <row r="443">
          <cell r="B443">
            <v>545</v>
          </cell>
          <cell r="C443">
            <v>25453.853067119999</v>
          </cell>
          <cell r="E443">
            <v>545</v>
          </cell>
          <cell r="F443">
            <v>53366.595707800006</v>
          </cell>
          <cell r="H443">
            <v>545</v>
          </cell>
          <cell r="I443">
            <v>53366.595707800006</v>
          </cell>
        </row>
        <row r="444">
          <cell r="B444">
            <v>546</v>
          </cell>
          <cell r="C444">
            <v>2848.0505742799996</v>
          </cell>
          <cell r="E444">
            <v>546</v>
          </cell>
          <cell r="F444">
            <v>6145.4158780799999</v>
          </cell>
          <cell r="H444">
            <v>546</v>
          </cell>
          <cell r="I444">
            <v>6145.4158780799999</v>
          </cell>
        </row>
        <row r="445">
          <cell r="B445">
            <v>547</v>
          </cell>
          <cell r="C445">
            <v>3813.1650144499999</v>
          </cell>
          <cell r="E445">
            <v>547</v>
          </cell>
          <cell r="F445">
            <v>7930.0329964799994</v>
          </cell>
          <cell r="H445">
            <v>547</v>
          </cell>
          <cell r="I445">
            <v>7930.0329964799994</v>
          </cell>
        </row>
        <row r="446">
          <cell r="B446">
            <v>548</v>
          </cell>
          <cell r="C446">
            <v>1018.0801142</v>
          </cell>
          <cell r="E446">
            <v>548</v>
          </cell>
          <cell r="F446">
            <v>2140.1165293199988</v>
          </cell>
          <cell r="H446">
            <v>548</v>
          </cell>
          <cell r="I446">
            <v>2140.1165293199988</v>
          </cell>
        </row>
        <row r="447">
          <cell r="B447">
            <v>549</v>
          </cell>
          <cell r="C447">
            <v>2161.85069294</v>
          </cell>
          <cell r="E447">
            <v>549</v>
          </cell>
          <cell r="F447">
            <v>4884.9988115200003</v>
          </cell>
          <cell r="H447">
            <v>549</v>
          </cell>
          <cell r="I447">
            <v>4884.9988115200003</v>
          </cell>
        </row>
        <row r="448">
          <cell r="B448">
            <v>550</v>
          </cell>
          <cell r="C448">
            <v>13068.94315565</v>
          </cell>
          <cell r="E448">
            <v>550</v>
          </cell>
          <cell r="F448">
            <v>27152.290998329994</v>
          </cell>
          <cell r="H448">
            <v>550</v>
          </cell>
          <cell r="I448">
            <v>27152.290998329994</v>
          </cell>
        </row>
        <row r="449">
          <cell r="B449">
            <v>551</v>
          </cell>
          <cell r="C449">
            <v>6700.7700097899988</v>
          </cell>
          <cell r="E449">
            <v>551</v>
          </cell>
          <cell r="F449">
            <v>14487.005730549994</v>
          </cell>
          <cell r="H449">
            <v>551</v>
          </cell>
          <cell r="I449">
            <v>14487.005730549994</v>
          </cell>
        </row>
        <row r="450">
          <cell r="B450">
            <v>552</v>
          </cell>
          <cell r="C450">
            <v>12656.729360789997</v>
          </cell>
          <cell r="E450">
            <v>552</v>
          </cell>
          <cell r="F450">
            <v>26346.626034010005</v>
          </cell>
          <cell r="H450">
            <v>552</v>
          </cell>
          <cell r="I450">
            <v>26346.626034010005</v>
          </cell>
        </row>
        <row r="451">
          <cell r="B451">
            <v>554</v>
          </cell>
          <cell r="C451">
            <v>11586.552337500007</v>
          </cell>
          <cell r="E451">
            <v>554</v>
          </cell>
          <cell r="F451">
            <v>23197.793318300006</v>
          </cell>
          <cell r="H451">
            <v>554</v>
          </cell>
          <cell r="I451">
            <v>23197.793318300006</v>
          </cell>
        </row>
        <row r="452">
          <cell r="B452">
            <v>556</v>
          </cell>
          <cell r="C452">
            <v>10166.226572490003</v>
          </cell>
          <cell r="E452">
            <v>556</v>
          </cell>
          <cell r="F452">
            <v>20907.220397270001</v>
          </cell>
          <cell r="H452">
            <v>556</v>
          </cell>
          <cell r="I452">
            <v>20907.220397270001</v>
          </cell>
        </row>
        <row r="453">
          <cell r="B453">
            <v>557</v>
          </cell>
          <cell r="C453">
            <v>11744.420310019999</v>
          </cell>
          <cell r="E453">
            <v>557</v>
          </cell>
          <cell r="F453">
            <v>25001.222829310002</v>
          </cell>
          <cell r="H453">
            <v>557</v>
          </cell>
          <cell r="I453">
            <v>25001.222829310002</v>
          </cell>
        </row>
        <row r="454">
          <cell r="B454">
            <v>558</v>
          </cell>
          <cell r="C454">
            <v>7143.4107118499987</v>
          </cell>
          <cell r="E454">
            <v>558</v>
          </cell>
          <cell r="F454">
            <v>15427.842039599998</v>
          </cell>
          <cell r="H454">
            <v>558</v>
          </cell>
          <cell r="I454">
            <v>15427.842039599998</v>
          </cell>
        </row>
        <row r="455">
          <cell r="B455">
            <v>559</v>
          </cell>
          <cell r="C455">
            <v>4029.1189690599995</v>
          </cell>
          <cell r="E455">
            <v>559</v>
          </cell>
          <cell r="F455">
            <v>8458.7138355999996</v>
          </cell>
          <cell r="H455">
            <v>559</v>
          </cell>
          <cell r="I455">
            <v>8458.7138355999996</v>
          </cell>
        </row>
        <row r="456">
          <cell r="B456">
            <v>560</v>
          </cell>
          <cell r="C456">
            <v>6561.0826261700004</v>
          </cell>
          <cell r="E456">
            <v>560</v>
          </cell>
          <cell r="F456">
            <v>13318.298092949999</v>
          </cell>
          <cell r="H456">
            <v>560</v>
          </cell>
          <cell r="I456">
            <v>13318.298092949999</v>
          </cell>
        </row>
        <row r="457">
          <cell r="B457">
            <v>561</v>
          </cell>
          <cell r="C457">
            <v>3028.2438582499999</v>
          </cell>
          <cell r="E457">
            <v>561</v>
          </cell>
          <cell r="F457">
            <v>6674.5909270700004</v>
          </cell>
          <cell r="H457">
            <v>561</v>
          </cell>
          <cell r="I457">
            <v>6674.5909270700004</v>
          </cell>
        </row>
        <row r="458">
          <cell r="B458">
            <v>562</v>
          </cell>
          <cell r="C458">
            <v>3381.6064896999997</v>
          </cell>
          <cell r="E458">
            <v>562</v>
          </cell>
          <cell r="F458">
            <v>6445.0731105799987</v>
          </cell>
          <cell r="H458">
            <v>562</v>
          </cell>
          <cell r="I458">
            <v>6445.0731105799987</v>
          </cell>
        </row>
        <row r="459">
          <cell r="B459">
            <v>563</v>
          </cell>
          <cell r="C459">
            <v>3260.9015207699999</v>
          </cell>
          <cell r="E459">
            <v>563</v>
          </cell>
          <cell r="F459">
            <v>6583.5782833900003</v>
          </cell>
          <cell r="H459">
            <v>563</v>
          </cell>
          <cell r="I459">
            <v>6583.5782833900003</v>
          </cell>
        </row>
        <row r="460">
          <cell r="B460">
            <v>565</v>
          </cell>
          <cell r="C460">
            <v>3976.1530405699991</v>
          </cell>
          <cell r="E460">
            <v>565</v>
          </cell>
          <cell r="F460">
            <v>8673.8974681500003</v>
          </cell>
          <cell r="H460">
            <v>565</v>
          </cell>
          <cell r="I460">
            <v>8673.8974681500003</v>
          </cell>
        </row>
        <row r="461">
          <cell r="B461">
            <v>566</v>
          </cell>
          <cell r="C461">
            <v>7815.7538136700014</v>
          </cell>
          <cell r="E461">
            <v>566</v>
          </cell>
          <cell r="F461">
            <v>16225.181265689997</v>
          </cell>
          <cell r="H461">
            <v>566</v>
          </cell>
          <cell r="I461">
            <v>16225.181265689997</v>
          </cell>
        </row>
        <row r="462">
          <cell r="B462">
            <v>567</v>
          </cell>
          <cell r="C462">
            <v>6118.5584430799991</v>
          </cell>
          <cell r="E462">
            <v>567</v>
          </cell>
          <cell r="F462">
            <v>12871.047136289995</v>
          </cell>
          <cell r="H462">
            <v>567</v>
          </cell>
          <cell r="I462">
            <v>12871.047136289995</v>
          </cell>
        </row>
        <row r="463">
          <cell r="B463">
            <v>568</v>
          </cell>
          <cell r="C463">
            <v>14029.849357099998</v>
          </cell>
          <cell r="E463">
            <v>568</v>
          </cell>
          <cell r="F463">
            <v>29564.945147059985</v>
          </cell>
          <cell r="H463">
            <v>568</v>
          </cell>
          <cell r="I463">
            <v>29564.945147059985</v>
          </cell>
        </row>
        <row r="464">
          <cell r="B464">
            <v>569</v>
          </cell>
          <cell r="C464">
            <v>1779.95104829</v>
          </cell>
          <cell r="E464">
            <v>569</v>
          </cell>
          <cell r="F464">
            <v>3587.044750210001</v>
          </cell>
          <cell r="H464">
            <v>569</v>
          </cell>
          <cell r="I464">
            <v>3587.044750210001</v>
          </cell>
        </row>
        <row r="465">
          <cell r="B465">
            <v>570</v>
          </cell>
          <cell r="C465">
            <v>6847.3168545299995</v>
          </cell>
          <cell r="E465">
            <v>570</v>
          </cell>
          <cell r="F465">
            <v>14624.323064859998</v>
          </cell>
          <cell r="H465">
            <v>570</v>
          </cell>
          <cell r="I465">
            <v>14624.323064859998</v>
          </cell>
        </row>
        <row r="466">
          <cell r="B466">
            <v>571</v>
          </cell>
          <cell r="C466">
            <v>853.10716433999994</v>
          </cell>
          <cell r="E466">
            <v>571</v>
          </cell>
          <cell r="F466">
            <v>1791.4959904899999</v>
          </cell>
          <cell r="H466">
            <v>571</v>
          </cell>
          <cell r="I466">
            <v>1791.4959904899999</v>
          </cell>
        </row>
        <row r="467">
          <cell r="B467">
            <v>575</v>
          </cell>
          <cell r="C467">
            <v>4465.8690736299995</v>
          </cell>
          <cell r="E467">
            <v>575</v>
          </cell>
          <cell r="F467">
            <v>9240.0454124599964</v>
          </cell>
          <cell r="H467">
            <v>575</v>
          </cell>
          <cell r="I467">
            <v>9240.0454124599964</v>
          </cell>
        </row>
        <row r="468">
          <cell r="B468">
            <v>577</v>
          </cell>
          <cell r="C468">
            <v>1248.5486405699994</v>
          </cell>
          <cell r="E468">
            <v>577</v>
          </cell>
          <cell r="F468">
            <v>2887.566968340001</v>
          </cell>
          <cell r="H468">
            <v>577</v>
          </cell>
          <cell r="I468">
            <v>2887.566968340001</v>
          </cell>
        </row>
        <row r="469">
          <cell r="B469">
            <v>579</v>
          </cell>
          <cell r="C469">
            <v>2396.75199548</v>
          </cell>
          <cell r="E469">
            <v>579</v>
          </cell>
          <cell r="F469">
            <v>5093.2282476699993</v>
          </cell>
          <cell r="H469">
            <v>579</v>
          </cell>
          <cell r="I469">
            <v>5093.2282476699993</v>
          </cell>
        </row>
        <row r="470">
          <cell r="B470">
            <v>581</v>
          </cell>
          <cell r="C470">
            <v>6744.8937514400004</v>
          </cell>
          <cell r="E470">
            <v>581</v>
          </cell>
          <cell r="F470">
            <v>13768.218288850005</v>
          </cell>
          <cell r="H470">
            <v>581</v>
          </cell>
          <cell r="I470">
            <v>13768.218288850005</v>
          </cell>
        </row>
        <row r="471">
          <cell r="B471">
            <v>582</v>
          </cell>
          <cell r="C471">
            <v>6647.6315385399994</v>
          </cell>
          <cell r="E471">
            <v>582</v>
          </cell>
          <cell r="F471">
            <v>14915.699342659997</v>
          </cell>
          <cell r="H471">
            <v>582</v>
          </cell>
          <cell r="I471">
            <v>14915.699342659997</v>
          </cell>
        </row>
        <row r="472">
          <cell r="B472">
            <v>583</v>
          </cell>
          <cell r="C472">
            <v>6627.2639790600024</v>
          </cell>
          <cell r="E472">
            <v>583</v>
          </cell>
          <cell r="F472">
            <v>13761.2553835</v>
          </cell>
          <cell r="H472">
            <v>583</v>
          </cell>
          <cell r="I472">
            <v>13761.2553835</v>
          </cell>
        </row>
        <row r="473">
          <cell r="B473">
            <v>585</v>
          </cell>
          <cell r="C473">
            <v>5475.2715856299992</v>
          </cell>
          <cell r="E473">
            <v>585</v>
          </cell>
          <cell r="F473">
            <v>11260.543625479999</v>
          </cell>
          <cell r="H473">
            <v>585</v>
          </cell>
          <cell r="I473">
            <v>11260.543625479999</v>
          </cell>
        </row>
        <row r="474">
          <cell r="B474">
            <v>586</v>
          </cell>
          <cell r="C474">
            <v>2504.2139003800003</v>
          </cell>
          <cell r="E474">
            <v>586</v>
          </cell>
          <cell r="F474">
            <v>5438.8309991899996</v>
          </cell>
          <cell r="H474">
            <v>586</v>
          </cell>
          <cell r="I474">
            <v>5438.8309991899996</v>
          </cell>
        </row>
        <row r="475">
          <cell r="B475">
            <v>587</v>
          </cell>
          <cell r="C475">
            <v>3512.8410370000001</v>
          </cell>
          <cell r="E475">
            <v>587</v>
          </cell>
          <cell r="F475">
            <v>7288.0624142700008</v>
          </cell>
          <cell r="H475">
            <v>587</v>
          </cell>
          <cell r="I475">
            <v>7288.0624142700008</v>
          </cell>
        </row>
        <row r="476">
          <cell r="B476">
            <v>588</v>
          </cell>
          <cell r="C476">
            <v>6939.993730950001</v>
          </cell>
          <cell r="E476">
            <v>588</v>
          </cell>
          <cell r="F476">
            <v>15148.356284570005</v>
          </cell>
          <cell r="H476">
            <v>588</v>
          </cell>
          <cell r="I476">
            <v>15148.356284570005</v>
          </cell>
        </row>
        <row r="477">
          <cell r="B477">
            <v>589</v>
          </cell>
          <cell r="C477">
            <v>4636.3888917300001</v>
          </cell>
          <cell r="E477">
            <v>589</v>
          </cell>
          <cell r="F477">
            <v>9835.1083869000031</v>
          </cell>
          <cell r="H477">
            <v>589</v>
          </cell>
          <cell r="I477">
            <v>9835.1083869000031</v>
          </cell>
        </row>
        <row r="478">
          <cell r="B478">
            <v>592</v>
          </cell>
          <cell r="C478">
            <v>9342.7304441900014</v>
          </cell>
          <cell r="E478">
            <v>592</v>
          </cell>
          <cell r="F478">
            <v>19498.333676849998</v>
          </cell>
          <cell r="H478">
            <v>592</v>
          </cell>
          <cell r="I478">
            <v>19498.333676849998</v>
          </cell>
        </row>
        <row r="479">
          <cell r="B479">
            <v>593</v>
          </cell>
          <cell r="C479">
            <v>7921.861328680001</v>
          </cell>
          <cell r="E479">
            <v>593</v>
          </cell>
          <cell r="F479">
            <v>16574.396052070002</v>
          </cell>
          <cell r="H479">
            <v>593</v>
          </cell>
          <cell r="I479">
            <v>16574.396052070002</v>
          </cell>
        </row>
        <row r="480">
          <cell r="B480">
            <v>594</v>
          </cell>
          <cell r="C480">
            <v>16791.279522589997</v>
          </cell>
          <cell r="E480">
            <v>594</v>
          </cell>
          <cell r="F480">
            <v>36363.637718359998</v>
          </cell>
          <cell r="H480">
            <v>594</v>
          </cell>
          <cell r="I480">
            <v>36363.637718359998</v>
          </cell>
        </row>
        <row r="481">
          <cell r="B481">
            <v>595</v>
          </cell>
          <cell r="C481">
            <v>2314.9864251700001</v>
          </cell>
          <cell r="E481">
            <v>595</v>
          </cell>
          <cell r="F481">
            <v>4937.87126524</v>
          </cell>
          <cell r="H481">
            <v>595</v>
          </cell>
          <cell r="I481">
            <v>4937.87126524</v>
          </cell>
        </row>
        <row r="482">
          <cell r="B482">
            <v>596</v>
          </cell>
          <cell r="C482">
            <v>15175.860084600003</v>
          </cell>
          <cell r="E482">
            <v>596</v>
          </cell>
          <cell r="F482">
            <v>34020.582915970001</v>
          </cell>
          <cell r="H482">
            <v>596</v>
          </cell>
          <cell r="I482">
            <v>34020.582915970001</v>
          </cell>
        </row>
        <row r="483">
          <cell r="B483">
            <v>599</v>
          </cell>
          <cell r="C483">
            <v>30168.119480449997</v>
          </cell>
          <cell r="E483">
            <v>599</v>
          </cell>
          <cell r="F483">
            <v>70354.189685609992</v>
          </cell>
          <cell r="H483">
            <v>599</v>
          </cell>
          <cell r="I483">
            <v>70354.189685609992</v>
          </cell>
        </row>
        <row r="484">
          <cell r="B484">
            <v>601</v>
          </cell>
          <cell r="C484">
            <v>10290.640243280001</v>
          </cell>
          <cell r="E484">
            <v>601</v>
          </cell>
          <cell r="F484">
            <v>21482.563175040003</v>
          </cell>
          <cell r="H484">
            <v>601</v>
          </cell>
          <cell r="I484">
            <v>21482.563175040003</v>
          </cell>
        </row>
        <row r="485">
          <cell r="B485">
            <v>602</v>
          </cell>
          <cell r="C485">
            <v>68851.802058390036</v>
          </cell>
          <cell r="E485">
            <v>602</v>
          </cell>
          <cell r="F485">
            <v>173538.85921886988</v>
          </cell>
          <cell r="H485">
            <v>602</v>
          </cell>
          <cell r="I485">
            <v>173538.85921886988</v>
          </cell>
        </row>
        <row r="486">
          <cell r="B486">
            <v>604</v>
          </cell>
          <cell r="C486">
            <v>11325.277175530004</v>
          </cell>
          <cell r="E486">
            <v>604</v>
          </cell>
          <cell r="F486">
            <v>23716.3967945</v>
          </cell>
          <cell r="H486">
            <v>604</v>
          </cell>
          <cell r="I486">
            <v>23716.3967945</v>
          </cell>
        </row>
        <row r="487">
          <cell r="B487">
            <v>605</v>
          </cell>
          <cell r="C487">
            <v>3062.4482451399999</v>
          </cell>
          <cell r="E487">
            <v>605</v>
          </cell>
          <cell r="F487">
            <v>6043.0725466000013</v>
          </cell>
          <cell r="H487">
            <v>605</v>
          </cell>
          <cell r="I487">
            <v>6043.0725466000013</v>
          </cell>
        </row>
        <row r="488">
          <cell r="B488">
            <v>606</v>
          </cell>
          <cell r="C488">
            <v>44224.669932410012</v>
          </cell>
          <cell r="E488">
            <v>606</v>
          </cell>
          <cell r="F488">
            <v>105562.56981936</v>
          </cell>
          <cell r="H488">
            <v>606</v>
          </cell>
          <cell r="I488">
            <v>105562.56981936</v>
          </cell>
        </row>
        <row r="489">
          <cell r="B489">
            <v>607</v>
          </cell>
          <cell r="C489">
            <v>12049.528894499996</v>
          </cell>
          <cell r="E489">
            <v>607</v>
          </cell>
          <cell r="F489">
            <v>24957.630461669993</v>
          </cell>
          <cell r="H489">
            <v>607</v>
          </cell>
          <cell r="I489">
            <v>24957.630461669993</v>
          </cell>
        </row>
        <row r="490">
          <cell r="B490">
            <v>609</v>
          </cell>
          <cell r="C490">
            <v>10055.841530129999</v>
          </cell>
          <cell r="E490">
            <v>609</v>
          </cell>
          <cell r="F490">
            <v>21479.854240039997</v>
          </cell>
          <cell r="H490">
            <v>609</v>
          </cell>
          <cell r="I490">
            <v>21479.854240039997</v>
          </cell>
        </row>
        <row r="491">
          <cell r="B491">
            <v>611</v>
          </cell>
          <cell r="C491">
            <v>7698.4930514599973</v>
          </cell>
          <cell r="E491">
            <v>611</v>
          </cell>
          <cell r="F491">
            <v>16810.496053960003</v>
          </cell>
          <cell r="H491">
            <v>611</v>
          </cell>
          <cell r="I491">
            <v>16810.496053960003</v>
          </cell>
        </row>
        <row r="492">
          <cell r="B492">
            <v>612</v>
          </cell>
          <cell r="C492">
            <v>5322.0439231400014</v>
          </cell>
          <cell r="E492">
            <v>612</v>
          </cell>
          <cell r="F492">
            <v>11304.631600610001</v>
          </cell>
          <cell r="H492">
            <v>612</v>
          </cell>
          <cell r="I492">
            <v>11304.631600610001</v>
          </cell>
        </row>
        <row r="493">
          <cell r="B493">
            <v>613</v>
          </cell>
          <cell r="C493">
            <v>2164.26813193</v>
          </cell>
          <cell r="E493">
            <v>613</v>
          </cell>
          <cell r="F493">
            <v>4606.6664394999998</v>
          </cell>
          <cell r="H493">
            <v>613</v>
          </cell>
          <cell r="I493">
            <v>4606.6664394999998</v>
          </cell>
        </row>
        <row r="494">
          <cell r="B494">
            <v>614</v>
          </cell>
          <cell r="C494">
            <v>13084.46715257</v>
          </cell>
          <cell r="E494">
            <v>614</v>
          </cell>
          <cell r="F494">
            <v>27281.092431110006</v>
          </cell>
          <cell r="H494">
            <v>614</v>
          </cell>
          <cell r="I494">
            <v>27281.092431110006</v>
          </cell>
        </row>
        <row r="495">
          <cell r="B495">
            <v>616</v>
          </cell>
          <cell r="C495">
            <v>9779.0349965599999</v>
          </cell>
          <cell r="E495">
            <v>616</v>
          </cell>
          <cell r="F495">
            <v>20857.367689420007</v>
          </cell>
          <cell r="H495">
            <v>616</v>
          </cell>
          <cell r="I495">
            <v>20857.367689420007</v>
          </cell>
        </row>
        <row r="496">
          <cell r="B496">
            <v>617</v>
          </cell>
          <cell r="C496">
            <v>14342.629032190005</v>
          </cell>
          <cell r="E496">
            <v>617</v>
          </cell>
          <cell r="F496">
            <v>30215.30833981001</v>
          </cell>
          <cell r="H496">
            <v>617</v>
          </cell>
          <cell r="I496">
            <v>30215.30833981001</v>
          </cell>
        </row>
        <row r="497">
          <cell r="B497">
            <v>618</v>
          </cell>
          <cell r="C497">
            <v>20083.033840749998</v>
          </cell>
          <cell r="E497">
            <v>618</v>
          </cell>
          <cell r="F497">
            <v>41661.756665360001</v>
          </cell>
          <cell r="H497">
            <v>618</v>
          </cell>
          <cell r="I497">
            <v>41661.756665360001</v>
          </cell>
        </row>
        <row r="498">
          <cell r="B498">
            <v>619</v>
          </cell>
          <cell r="C498">
            <v>1400.54960396</v>
          </cell>
          <cell r="E498">
            <v>619</v>
          </cell>
          <cell r="F498">
            <v>2618.5834375100007</v>
          </cell>
          <cell r="H498">
            <v>619</v>
          </cell>
          <cell r="I498">
            <v>2618.5834375100007</v>
          </cell>
        </row>
        <row r="499">
          <cell r="B499">
            <v>620</v>
          </cell>
          <cell r="C499">
            <v>7253.4229687399984</v>
          </cell>
          <cell r="E499">
            <v>620</v>
          </cell>
          <cell r="F499">
            <v>15028.088234510004</v>
          </cell>
          <cell r="H499">
            <v>620</v>
          </cell>
          <cell r="I499">
            <v>15028.088234510004</v>
          </cell>
        </row>
        <row r="500">
          <cell r="B500">
            <v>621</v>
          </cell>
          <cell r="C500">
            <v>12270.061310029994</v>
          </cell>
          <cell r="E500">
            <v>621</v>
          </cell>
          <cell r="F500">
            <v>26253.027128020007</v>
          </cell>
          <cell r="H500">
            <v>621</v>
          </cell>
          <cell r="I500">
            <v>26253.027128020007</v>
          </cell>
        </row>
        <row r="501">
          <cell r="B501">
            <v>622</v>
          </cell>
          <cell r="C501">
            <v>9091.1502653000007</v>
          </cell>
          <cell r="E501">
            <v>622</v>
          </cell>
          <cell r="F501">
            <v>19014.642969689998</v>
          </cell>
          <cell r="H501">
            <v>622</v>
          </cell>
          <cell r="I501">
            <v>19014.642969689998</v>
          </cell>
        </row>
        <row r="502">
          <cell r="B502">
            <v>623</v>
          </cell>
          <cell r="C502">
            <v>1757.67741555</v>
          </cell>
          <cell r="E502">
            <v>623</v>
          </cell>
          <cell r="F502">
            <v>3733.7036004199995</v>
          </cell>
          <cell r="H502">
            <v>623</v>
          </cell>
          <cell r="I502">
            <v>3733.7036004199995</v>
          </cell>
        </row>
        <row r="503">
          <cell r="B503">
            <v>624</v>
          </cell>
          <cell r="C503">
            <v>407.01996319</v>
          </cell>
          <cell r="E503">
            <v>624</v>
          </cell>
          <cell r="F503">
            <v>1186.1122238800001</v>
          </cell>
          <cell r="H503">
            <v>624</v>
          </cell>
          <cell r="I503">
            <v>1186.1122238800001</v>
          </cell>
        </row>
        <row r="504">
          <cell r="B504">
            <v>625</v>
          </cell>
          <cell r="C504">
            <v>4260.0995609300007</v>
          </cell>
          <cell r="E504">
            <v>625</v>
          </cell>
          <cell r="F504">
            <v>8930.1032218800028</v>
          </cell>
          <cell r="H504">
            <v>625</v>
          </cell>
          <cell r="I504">
            <v>8930.1032218800028</v>
          </cell>
        </row>
        <row r="505">
          <cell r="B505">
            <v>626</v>
          </cell>
          <cell r="C505">
            <v>3399.8752455200001</v>
          </cell>
          <cell r="E505">
            <v>626</v>
          </cell>
          <cell r="F505">
            <v>7213.7614036999985</v>
          </cell>
          <cell r="H505">
            <v>626</v>
          </cell>
          <cell r="I505">
            <v>7213.7614036999985</v>
          </cell>
        </row>
        <row r="506">
          <cell r="B506">
            <v>627</v>
          </cell>
          <cell r="C506">
            <v>1877.0022627799997</v>
          </cell>
          <cell r="E506">
            <v>627</v>
          </cell>
          <cell r="F506">
            <v>3962.7898300499996</v>
          </cell>
          <cell r="H506">
            <v>627</v>
          </cell>
          <cell r="I506">
            <v>3962.7898300499996</v>
          </cell>
        </row>
        <row r="507">
          <cell r="B507">
            <v>631</v>
          </cell>
          <cell r="C507">
            <v>4885.5378359699989</v>
          </cell>
          <cell r="E507">
            <v>631</v>
          </cell>
          <cell r="F507">
            <v>10420.821849360003</v>
          </cell>
          <cell r="H507">
            <v>631</v>
          </cell>
          <cell r="I507">
            <v>10420.821849360003</v>
          </cell>
        </row>
        <row r="508">
          <cell r="B508">
            <v>632</v>
          </cell>
          <cell r="C508">
            <v>8740.4345223600012</v>
          </cell>
          <cell r="E508">
            <v>632</v>
          </cell>
          <cell r="F508">
            <v>18080.204013310002</v>
          </cell>
          <cell r="H508">
            <v>632</v>
          </cell>
          <cell r="I508">
            <v>18080.204013310002</v>
          </cell>
        </row>
        <row r="509">
          <cell r="B509">
            <v>634</v>
          </cell>
          <cell r="C509">
            <v>7226.5580954400011</v>
          </cell>
          <cell r="E509">
            <v>634</v>
          </cell>
          <cell r="F509">
            <v>15459.571703449999</v>
          </cell>
          <cell r="H509">
            <v>634</v>
          </cell>
          <cell r="I509">
            <v>15459.571703449999</v>
          </cell>
        </row>
        <row r="510">
          <cell r="B510">
            <v>636</v>
          </cell>
          <cell r="C510">
            <v>3976.3327641100004</v>
          </cell>
          <cell r="E510">
            <v>636</v>
          </cell>
          <cell r="F510">
            <v>8478.0149391400028</v>
          </cell>
          <cell r="H510">
            <v>636</v>
          </cell>
          <cell r="I510">
            <v>8478.0149391400028</v>
          </cell>
        </row>
        <row r="511">
          <cell r="B511">
            <v>637</v>
          </cell>
          <cell r="C511">
            <v>3300.7470395499995</v>
          </cell>
          <cell r="E511">
            <v>637</v>
          </cell>
          <cell r="F511">
            <v>6641.5030704100009</v>
          </cell>
          <cell r="H511">
            <v>637</v>
          </cell>
          <cell r="I511">
            <v>6641.5030704100009</v>
          </cell>
        </row>
        <row r="512">
          <cell r="B512">
            <v>640</v>
          </cell>
          <cell r="C512">
            <v>13000.793454269999</v>
          </cell>
          <cell r="E512">
            <v>640</v>
          </cell>
          <cell r="F512">
            <v>27491.621723280008</v>
          </cell>
          <cell r="H512">
            <v>640</v>
          </cell>
          <cell r="I512">
            <v>27491.621723280008</v>
          </cell>
        </row>
        <row r="513">
          <cell r="B513">
            <v>641</v>
          </cell>
          <cell r="C513">
            <v>3564.5727491099997</v>
          </cell>
          <cell r="E513">
            <v>641</v>
          </cell>
          <cell r="F513">
            <v>7560.270498580001</v>
          </cell>
          <cell r="H513">
            <v>641</v>
          </cell>
          <cell r="I513">
            <v>7560.270498580001</v>
          </cell>
        </row>
        <row r="514">
          <cell r="B514">
            <v>642</v>
          </cell>
          <cell r="C514">
            <v>2821.5815694400007</v>
          </cell>
          <cell r="E514">
            <v>642</v>
          </cell>
          <cell r="F514">
            <v>5752.9169237699989</v>
          </cell>
          <cell r="H514">
            <v>642</v>
          </cell>
          <cell r="I514">
            <v>5752.9169237699989</v>
          </cell>
        </row>
        <row r="515">
          <cell r="B515">
            <v>643</v>
          </cell>
          <cell r="C515">
            <v>739.20800415999997</v>
          </cell>
          <cell r="E515">
            <v>643</v>
          </cell>
          <cell r="F515">
            <v>1596.4771730400005</v>
          </cell>
          <cell r="H515">
            <v>643</v>
          </cell>
          <cell r="I515">
            <v>1596.4771730400005</v>
          </cell>
        </row>
        <row r="516">
          <cell r="B516">
            <v>644</v>
          </cell>
          <cell r="C516">
            <v>9270.0949072999992</v>
          </cell>
          <cell r="E516">
            <v>644</v>
          </cell>
          <cell r="F516">
            <v>19807.204687059999</v>
          </cell>
          <cell r="H516">
            <v>644</v>
          </cell>
          <cell r="I516">
            <v>19807.204687059999</v>
          </cell>
        </row>
        <row r="517">
          <cell r="B517">
            <v>645</v>
          </cell>
          <cell r="C517">
            <v>3617.3042374800002</v>
          </cell>
          <cell r="E517">
            <v>645</v>
          </cell>
          <cell r="F517">
            <v>7793.9853731199992</v>
          </cell>
          <cell r="H517">
            <v>645</v>
          </cell>
          <cell r="I517">
            <v>7793.9853731199992</v>
          </cell>
        </row>
        <row r="518">
          <cell r="B518">
            <v>646</v>
          </cell>
          <cell r="C518">
            <v>2319.0356375300003</v>
          </cell>
          <cell r="E518">
            <v>646</v>
          </cell>
          <cell r="F518">
            <v>4891.9096856999986</v>
          </cell>
          <cell r="H518">
            <v>646</v>
          </cell>
          <cell r="I518">
            <v>4891.9096856999986</v>
          </cell>
        </row>
        <row r="519">
          <cell r="B519">
            <v>647</v>
          </cell>
          <cell r="C519">
            <v>3584.5064685799998</v>
          </cell>
          <cell r="E519">
            <v>647</v>
          </cell>
          <cell r="F519">
            <v>7304.7367738599978</v>
          </cell>
          <cell r="H519">
            <v>647</v>
          </cell>
          <cell r="I519">
            <v>7304.7367738599978</v>
          </cell>
        </row>
        <row r="520">
          <cell r="B520">
            <v>648</v>
          </cell>
          <cell r="C520">
            <v>1792.6191952700005</v>
          </cell>
          <cell r="E520">
            <v>648</v>
          </cell>
          <cell r="F520">
            <v>3763.7153891999997</v>
          </cell>
          <cell r="H520">
            <v>648</v>
          </cell>
          <cell r="I520">
            <v>3763.7153891999997</v>
          </cell>
        </row>
        <row r="521">
          <cell r="B521">
            <v>649</v>
          </cell>
          <cell r="C521">
            <v>12309.347191579996</v>
          </cell>
          <cell r="E521">
            <v>649</v>
          </cell>
          <cell r="F521">
            <v>25799.735178079991</v>
          </cell>
          <cell r="H521">
            <v>649</v>
          </cell>
          <cell r="I521">
            <v>25799.735178079991</v>
          </cell>
        </row>
        <row r="522">
          <cell r="B522">
            <v>650</v>
          </cell>
          <cell r="C522">
            <v>2397.9554566100001</v>
          </cell>
          <cell r="E522">
            <v>650</v>
          </cell>
          <cell r="F522">
            <v>5073.5278147200006</v>
          </cell>
          <cell r="H522">
            <v>650</v>
          </cell>
          <cell r="I522">
            <v>5073.5278147200006</v>
          </cell>
        </row>
        <row r="523">
          <cell r="B523">
            <v>653</v>
          </cell>
          <cell r="C523">
            <v>4522.8436507299984</v>
          </cell>
          <cell r="E523">
            <v>653</v>
          </cell>
          <cell r="F523">
            <v>9942.5607354600033</v>
          </cell>
          <cell r="H523">
            <v>653</v>
          </cell>
          <cell r="I523">
            <v>9942.5607354600033</v>
          </cell>
        </row>
        <row r="524">
          <cell r="B524">
            <v>654</v>
          </cell>
          <cell r="C524">
            <v>2307.6950145800001</v>
          </cell>
          <cell r="E524">
            <v>654</v>
          </cell>
          <cell r="F524">
            <v>4799.4808526299985</v>
          </cell>
          <cell r="H524">
            <v>654</v>
          </cell>
          <cell r="I524">
            <v>4799.4808526299985</v>
          </cell>
        </row>
        <row r="525">
          <cell r="B525">
            <v>655</v>
          </cell>
          <cell r="C525">
            <v>505.72582688000006</v>
          </cell>
          <cell r="E525">
            <v>655</v>
          </cell>
          <cell r="F525">
            <v>1119.97037174</v>
          </cell>
          <cell r="H525">
            <v>655</v>
          </cell>
          <cell r="I525">
            <v>1119.97037174</v>
          </cell>
        </row>
        <row r="526">
          <cell r="B526">
            <v>656</v>
          </cell>
          <cell r="C526">
            <v>3587.989247949999</v>
          </cell>
          <cell r="E526">
            <v>656</v>
          </cell>
          <cell r="F526">
            <v>7459.7481958899971</v>
          </cell>
          <cell r="H526">
            <v>656</v>
          </cell>
          <cell r="I526">
            <v>7459.7481958899971</v>
          </cell>
        </row>
        <row r="527">
          <cell r="B527">
            <v>657</v>
          </cell>
          <cell r="C527">
            <v>5404.8576213300012</v>
          </cell>
          <cell r="E527">
            <v>657</v>
          </cell>
          <cell r="F527">
            <v>11308.921621289999</v>
          </cell>
          <cell r="H527">
            <v>657</v>
          </cell>
          <cell r="I527">
            <v>11308.921621289999</v>
          </cell>
        </row>
        <row r="528">
          <cell r="B528">
            <v>658</v>
          </cell>
          <cell r="C528">
            <v>24423.378461810014</v>
          </cell>
          <cell r="E528">
            <v>658</v>
          </cell>
          <cell r="F528">
            <v>52010.187418849979</v>
          </cell>
          <cell r="H528">
            <v>658</v>
          </cell>
          <cell r="I528">
            <v>52010.187418849979</v>
          </cell>
        </row>
        <row r="529">
          <cell r="B529">
            <v>659</v>
          </cell>
          <cell r="C529">
            <v>1756.1239609300001</v>
          </cell>
          <cell r="E529">
            <v>659</v>
          </cell>
          <cell r="F529">
            <v>3675.3494038100002</v>
          </cell>
          <cell r="H529">
            <v>659</v>
          </cell>
          <cell r="I529">
            <v>3675.3494038100002</v>
          </cell>
        </row>
        <row r="530">
          <cell r="B530">
            <v>660</v>
          </cell>
          <cell r="C530">
            <v>6000.2359802899991</v>
          </cell>
          <cell r="E530">
            <v>660</v>
          </cell>
          <cell r="F530">
            <v>12468.446221999999</v>
          </cell>
          <cell r="H530">
            <v>660</v>
          </cell>
          <cell r="I530">
            <v>12468.446221999999</v>
          </cell>
        </row>
        <row r="531">
          <cell r="B531">
            <v>662</v>
          </cell>
          <cell r="C531">
            <v>21164.207640189998</v>
          </cell>
          <cell r="E531">
            <v>662</v>
          </cell>
          <cell r="F531">
            <v>44311.790848429984</v>
          </cell>
          <cell r="H531">
            <v>662</v>
          </cell>
          <cell r="I531">
            <v>44311.790848429984</v>
          </cell>
        </row>
        <row r="532">
          <cell r="B532">
            <v>663</v>
          </cell>
          <cell r="C532">
            <v>10814.489688709997</v>
          </cell>
          <cell r="E532">
            <v>663</v>
          </cell>
          <cell r="F532">
            <v>22913.594698119996</v>
          </cell>
          <cell r="H532">
            <v>663</v>
          </cell>
          <cell r="I532">
            <v>22913.594698119996</v>
          </cell>
        </row>
        <row r="533">
          <cell r="B533">
            <v>664</v>
          </cell>
          <cell r="C533">
            <v>5214.2100159799984</v>
          </cell>
          <cell r="E533">
            <v>664</v>
          </cell>
          <cell r="F533">
            <v>11111.639125650001</v>
          </cell>
          <cell r="H533">
            <v>664</v>
          </cell>
          <cell r="I533">
            <v>11111.639125650001</v>
          </cell>
        </row>
        <row r="534">
          <cell r="B534">
            <v>665</v>
          </cell>
          <cell r="C534">
            <v>760.46212766999997</v>
          </cell>
          <cell r="E534">
            <v>665</v>
          </cell>
          <cell r="F534">
            <v>1540.7106459600004</v>
          </cell>
          <cell r="H534">
            <v>665</v>
          </cell>
          <cell r="I534">
            <v>1540.7106459600004</v>
          </cell>
        </row>
        <row r="535">
          <cell r="B535">
            <v>666</v>
          </cell>
          <cell r="C535">
            <v>2991.2260999299997</v>
          </cell>
          <cell r="E535">
            <v>666</v>
          </cell>
          <cell r="F535">
            <v>6224.5989687600004</v>
          </cell>
          <cell r="H535">
            <v>666</v>
          </cell>
          <cell r="I535">
            <v>6224.5989687600004</v>
          </cell>
        </row>
        <row r="536">
          <cell r="B536">
            <v>667</v>
          </cell>
          <cell r="C536">
            <v>1182.0250753599996</v>
          </cell>
          <cell r="E536">
            <v>667</v>
          </cell>
          <cell r="F536">
            <v>2474.6349624199997</v>
          </cell>
          <cell r="H536">
            <v>667</v>
          </cell>
          <cell r="I536">
            <v>2474.6349624199997</v>
          </cell>
        </row>
        <row r="537">
          <cell r="B537">
            <v>668</v>
          </cell>
          <cell r="C537">
            <v>3799.9364570399998</v>
          </cell>
          <cell r="E537">
            <v>668</v>
          </cell>
          <cell r="F537">
            <v>8056.1618552600012</v>
          </cell>
          <cell r="H537">
            <v>668</v>
          </cell>
          <cell r="I537">
            <v>8056.1618552600012</v>
          </cell>
        </row>
        <row r="538">
          <cell r="B538">
            <v>669</v>
          </cell>
          <cell r="C538">
            <v>4050.4124245000003</v>
          </cell>
          <cell r="E538">
            <v>669</v>
          </cell>
          <cell r="F538">
            <v>8117.5425341699984</v>
          </cell>
          <cell r="H538">
            <v>669</v>
          </cell>
          <cell r="I538">
            <v>8117.5425341699984</v>
          </cell>
        </row>
        <row r="539">
          <cell r="B539">
            <v>670</v>
          </cell>
          <cell r="C539">
            <v>4989.5670148699983</v>
          </cell>
          <cell r="E539">
            <v>670</v>
          </cell>
          <cell r="F539">
            <v>10359.193707260001</v>
          </cell>
          <cell r="H539">
            <v>670</v>
          </cell>
          <cell r="I539">
            <v>10359.193707260001</v>
          </cell>
        </row>
        <row r="540">
          <cell r="B540">
            <v>671</v>
          </cell>
          <cell r="C540">
            <v>1525.90609694</v>
          </cell>
          <cell r="E540">
            <v>671</v>
          </cell>
          <cell r="F540">
            <v>3547.536407829999</v>
          </cell>
          <cell r="H540">
            <v>671</v>
          </cell>
          <cell r="I540">
            <v>3547.536407829999</v>
          </cell>
        </row>
        <row r="541">
          <cell r="B541">
            <v>672</v>
          </cell>
          <cell r="C541">
            <v>4789.3542502199989</v>
          </cell>
          <cell r="E541">
            <v>672</v>
          </cell>
          <cell r="F541">
            <v>10175.322998499998</v>
          </cell>
          <cell r="H541">
            <v>672</v>
          </cell>
          <cell r="I541">
            <v>10175.322998499998</v>
          </cell>
        </row>
        <row r="542">
          <cell r="B542">
            <v>673</v>
          </cell>
          <cell r="C542">
            <v>1208.3499159399998</v>
          </cell>
          <cell r="E542">
            <v>673</v>
          </cell>
          <cell r="F542">
            <v>2411.5227427700006</v>
          </cell>
          <cell r="H542">
            <v>673</v>
          </cell>
          <cell r="I542">
            <v>2411.5227427700006</v>
          </cell>
        </row>
        <row r="543">
          <cell r="B543">
            <v>674</v>
          </cell>
          <cell r="C543">
            <v>2050.9942636400001</v>
          </cell>
          <cell r="E543">
            <v>674</v>
          </cell>
          <cell r="F543">
            <v>4396.5797040700008</v>
          </cell>
          <cell r="H543">
            <v>674</v>
          </cell>
          <cell r="I543">
            <v>4396.5797040700008</v>
          </cell>
        </row>
        <row r="544">
          <cell r="B544">
            <v>675</v>
          </cell>
          <cell r="C544">
            <v>16988.534547800005</v>
          </cell>
          <cell r="E544">
            <v>675</v>
          </cell>
          <cell r="F544">
            <v>35854.926746449979</v>
          </cell>
          <cell r="H544">
            <v>675</v>
          </cell>
          <cell r="I544">
            <v>35854.926746449979</v>
          </cell>
        </row>
        <row r="545">
          <cell r="B545">
            <v>676</v>
          </cell>
          <cell r="C545">
            <v>3468.5285121999991</v>
          </cell>
          <cell r="E545">
            <v>676</v>
          </cell>
          <cell r="F545">
            <v>7387.3791713100018</v>
          </cell>
          <cell r="H545">
            <v>676</v>
          </cell>
          <cell r="I545">
            <v>7387.3791713100018</v>
          </cell>
        </row>
        <row r="546">
          <cell r="B546">
            <v>677</v>
          </cell>
          <cell r="C546">
            <v>6390.6156348199984</v>
          </cell>
          <cell r="E546">
            <v>677</v>
          </cell>
          <cell r="F546">
            <v>12973.886400689998</v>
          </cell>
          <cell r="H546">
            <v>677</v>
          </cell>
          <cell r="I546">
            <v>12973.886400689998</v>
          </cell>
        </row>
        <row r="547">
          <cell r="B547">
            <v>678</v>
          </cell>
          <cell r="C547">
            <v>4240.2218189900004</v>
          </cell>
          <cell r="E547">
            <v>678</v>
          </cell>
          <cell r="F547">
            <v>8967.6939417300018</v>
          </cell>
          <cell r="H547">
            <v>678</v>
          </cell>
          <cell r="I547">
            <v>8967.6939417300018</v>
          </cell>
        </row>
        <row r="548">
          <cell r="B548">
            <v>680</v>
          </cell>
          <cell r="C548">
            <v>2110.7793491099992</v>
          </cell>
          <cell r="E548">
            <v>680</v>
          </cell>
          <cell r="F548">
            <v>4281.8401934899994</v>
          </cell>
          <cell r="H548">
            <v>680</v>
          </cell>
          <cell r="I548">
            <v>4281.8401934899994</v>
          </cell>
        </row>
        <row r="549">
          <cell r="B549">
            <v>682</v>
          </cell>
          <cell r="C549">
            <v>14800.036998989999</v>
          </cell>
          <cell r="E549">
            <v>682</v>
          </cell>
          <cell r="F549">
            <v>30796.727729270002</v>
          </cell>
          <cell r="H549">
            <v>682</v>
          </cell>
          <cell r="I549">
            <v>30796.727729270002</v>
          </cell>
        </row>
        <row r="550">
          <cell r="B550">
            <v>684</v>
          </cell>
          <cell r="C550">
            <v>1666.09513268</v>
          </cell>
          <cell r="E550">
            <v>684</v>
          </cell>
          <cell r="F550">
            <v>3529.838700660001</v>
          </cell>
          <cell r="H550">
            <v>684</v>
          </cell>
          <cell r="I550">
            <v>3529.838700660001</v>
          </cell>
        </row>
        <row r="551">
          <cell r="B551">
            <v>686</v>
          </cell>
          <cell r="C551">
            <v>5353.0415464999987</v>
          </cell>
          <cell r="E551">
            <v>686</v>
          </cell>
          <cell r="F551">
            <v>11124.819958900005</v>
          </cell>
          <cell r="H551">
            <v>686</v>
          </cell>
          <cell r="I551">
            <v>11124.819958900005</v>
          </cell>
        </row>
        <row r="552">
          <cell r="B552">
            <v>687</v>
          </cell>
          <cell r="C552">
            <v>2936.1426765600004</v>
          </cell>
          <cell r="E552">
            <v>687</v>
          </cell>
          <cell r="F552">
            <v>6146.5836078599987</v>
          </cell>
          <cell r="H552">
            <v>687</v>
          </cell>
          <cell r="I552">
            <v>6146.5836078599987</v>
          </cell>
        </row>
        <row r="553">
          <cell r="B553">
            <v>688</v>
          </cell>
          <cell r="C553">
            <v>1721.95943597</v>
          </cell>
          <cell r="E553">
            <v>688</v>
          </cell>
          <cell r="F553">
            <v>3615.8571218000002</v>
          </cell>
          <cell r="H553">
            <v>688</v>
          </cell>
          <cell r="I553">
            <v>3615.8571218000002</v>
          </cell>
        </row>
        <row r="554">
          <cell r="B554">
            <v>689</v>
          </cell>
          <cell r="C554">
            <v>2552.8807619099994</v>
          </cell>
          <cell r="E554">
            <v>689</v>
          </cell>
          <cell r="F554">
            <v>5102.7714009500005</v>
          </cell>
          <cell r="H554">
            <v>689</v>
          </cell>
          <cell r="I554">
            <v>5102.7714009500005</v>
          </cell>
        </row>
        <row r="555">
          <cell r="B555">
            <v>690</v>
          </cell>
          <cell r="C555">
            <v>4412.4964288299989</v>
          </cell>
          <cell r="E555">
            <v>690</v>
          </cell>
          <cell r="F555">
            <v>9008.9028540799973</v>
          </cell>
          <cell r="H555">
            <v>690</v>
          </cell>
          <cell r="I555">
            <v>9008.9028540799973</v>
          </cell>
        </row>
        <row r="556">
          <cell r="B556">
            <v>691</v>
          </cell>
          <cell r="C556">
            <v>1405.3617055900002</v>
          </cell>
          <cell r="E556">
            <v>691</v>
          </cell>
          <cell r="F556">
            <v>2910.0348345299994</v>
          </cell>
          <cell r="H556">
            <v>691</v>
          </cell>
          <cell r="I556">
            <v>2910.0348345299994</v>
          </cell>
        </row>
        <row r="557">
          <cell r="B557">
            <v>692</v>
          </cell>
          <cell r="C557">
            <v>7381.8436633600004</v>
          </cell>
          <cell r="E557">
            <v>692</v>
          </cell>
          <cell r="F557">
            <v>15777.308410290008</v>
          </cell>
          <cell r="H557">
            <v>692</v>
          </cell>
          <cell r="I557">
            <v>15777.308410290008</v>
          </cell>
        </row>
        <row r="558">
          <cell r="B558">
            <v>693</v>
          </cell>
          <cell r="C558">
            <v>7595.5446508800023</v>
          </cell>
          <cell r="E558">
            <v>693</v>
          </cell>
          <cell r="F558">
            <v>14956.926323110005</v>
          </cell>
          <cell r="H558">
            <v>693</v>
          </cell>
          <cell r="I558">
            <v>14956.926323110005</v>
          </cell>
        </row>
        <row r="559">
          <cell r="B559">
            <v>694</v>
          </cell>
          <cell r="C559">
            <v>13326.437319280001</v>
          </cell>
          <cell r="E559">
            <v>694</v>
          </cell>
          <cell r="F559">
            <v>27613.546459870005</v>
          </cell>
          <cell r="H559">
            <v>694</v>
          </cell>
          <cell r="I559">
            <v>27613.546459870005</v>
          </cell>
        </row>
        <row r="560">
          <cell r="B560">
            <v>696</v>
          </cell>
          <cell r="C560">
            <v>7651.3433943900009</v>
          </cell>
          <cell r="E560">
            <v>696</v>
          </cell>
          <cell r="F560">
            <v>17010.619767370001</v>
          </cell>
          <cell r="H560">
            <v>696</v>
          </cell>
          <cell r="I560">
            <v>17010.619767370001</v>
          </cell>
        </row>
        <row r="561">
          <cell r="B561">
            <v>697</v>
          </cell>
          <cell r="C561">
            <v>3380.6680337400007</v>
          </cell>
          <cell r="E561">
            <v>697</v>
          </cell>
          <cell r="F561">
            <v>6980.5346146599995</v>
          </cell>
          <cell r="H561">
            <v>697</v>
          </cell>
          <cell r="I561">
            <v>6980.5346146599995</v>
          </cell>
        </row>
        <row r="562">
          <cell r="B562">
            <v>698</v>
          </cell>
          <cell r="C562">
            <v>5099.9455871800001</v>
          </cell>
          <cell r="E562">
            <v>698</v>
          </cell>
          <cell r="F562">
            <v>10493.238331330002</v>
          </cell>
          <cell r="H562">
            <v>698</v>
          </cell>
          <cell r="I562">
            <v>10493.238331330002</v>
          </cell>
        </row>
        <row r="563">
          <cell r="B563">
            <v>786</v>
          </cell>
          <cell r="C563">
            <v>21765.772372829993</v>
          </cell>
          <cell r="E563">
            <v>786</v>
          </cell>
          <cell r="F563">
            <v>46605.956195599996</v>
          </cell>
          <cell r="H563">
            <v>786</v>
          </cell>
          <cell r="I563">
            <v>46605.956195599996</v>
          </cell>
        </row>
        <row r="564">
          <cell r="B564">
            <v>801</v>
          </cell>
          <cell r="C564">
            <v>10365.045163030001</v>
          </cell>
          <cell r="E564">
            <v>801</v>
          </cell>
          <cell r="F564">
            <v>21700.710386140017</v>
          </cell>
          <cell r="H564">
            <v>801</v>
          </cell>
          <cell r="I564">
            <v>21700.710386140017</v>
          </cell>
        </row>
        <row r="565">
          <cell r="B565">
            <v>802</v>
          </cell>
          <cell r="C565">
            <v>3433.7599095599994</v>
          </cell>
          <cell r="E565">
            <v>802</v>
          </cell>
          <cell r="F565">
            <v>7095.9458145300014</v>
          </cell>
          <cell r="H565">
            <v>802</v>
          </cell>
          <cell r="I565">
            <v>7095.9458145300014</v>
          </cell>
        </row>
        <row r="566">
          <cell r="B566">
            <v>803</v>
          </cell>
          <cell r="C566">
            <v>9863.6434242800005</v>
          </cell>
          <cell r="E566">
            <v>803</v>
          </cell>
          <cell r="F566">
            <v>21568.968785969995</v>
          </cell>
          <cell r="H566">
            <v>803</v>
          </cell>
          <cell r="I566">
            <v>21568.968785969995</v>
          </cell>
        </row>
        <row r="567">
          <cell r="B567">
            <v>804</v>
          </cell>
          <cell r="C567">
            <v>6070.9784612800004</v>
          </cell>
          <cell r="E567">
            <v>804</v>
          </cell>
          <cell r="F567">
            <v>13321.913989649996</v>
          </cell>
          <cell r="H567">
            <v>804</v>
          </cell>
          <cell r="I567">
            <v>13321.913989649996</v>
          </cell>
        </row>
        <row r="568">
          <cell r="B568">
            <v>805</v>
          </cell>
          <cell r="C568">
            <v>1254.0485417299994</v>
          </cell>
          <cell r="E568">
            <v>805</v>
          </cell>
          <cell r="F568">
            <v>2576.0291013199994</v>
          </cell>
          <cell r="H568">
            <v>805</v>
          </cell>
          <cell r="I568">
            <v>2576.0291013199994</v>
          </cell>
        </row>
        <row r="569">
          <cell r="B569">
            <v>806</v>
          </cell>
          <cell r="C569">
            <v>4072.7671167500007</v>
          </cell>
          <cell r="E569">
            <v>806</v>
          </cell>
          <cell r="F569">
            <v>7866.8010669299993</v>
          </cell>
          <cell r="H569">
            <v>806</v>
          </cell>
          <cell r="I569">
            <v>7866.8010669299993</v>
          </cell>
        </row>
        <row r="570">
          <cell r="B570">
            <v>808</v>
          </cell>
          <cell r="C570">
            <v>1447.5098240400002</v>
          </cell>
          <cell r="E570">
            <v>808</v>
          </cell>
          <cell r="F570">
            <v>3142.9649101800005</v>
          </cell>
          <cell r="H570">
            <v>808</v>
          </cell>
          <cell r="I570">
            <v>3142.9649101800005</v>
          </cell>
        </row>
        <row r="571">
          <cell r="B571">
            <v>809</v>
          </cell>
          <cell r="C571">
            <v>4117.4132100800007</v>
          </cell>
          <cell r="E571">
            <v>809</v>
          </cell>
          <cell r="F571">
            <v>8703.1951582000002</v>
          </cell>
          <cell r="H571">
            <v>809</v>
          </cell>
          <cell r="I571">
            <v>8703.1951582000002</v>
          </cell>
        </row>
        <row r="572">
          <cell r="B572">
            <v>810</v>
          </cell>
          <cell r="C572">
            <v>3096.1515203499994</v>
          </cell>
          <cell r="E572">
            <v>810</v>
          </cell>
          <cell r="F572">
            <v>6698.6177844500025</v>
          </cell>
          <cell r="H572">
            <v>810</v>
          </cell>
          <cell r="I572">
            <v>6698.6177844500025</v>
          </cell>
        </row>
        <row r="573">
          <cell r="B573">
            <v>813</v>
          </cell>
          <cell r="C573">
            <v>10226.302972690002</v>
          </cell>
          <cell r="E573">
            <v>813</v>
          </cell>
          <cell r="F573">
            <v>21281.874436440001</v>
          </cell>
          <cell r="H573">
            <v>813</v>
          </cell>
          <cell r="I573">
            <v>21281.874436440001</v>
          </cell>
        </row>
        <row r="574">
          <cell r="B574">
            <v>814</v>
          </cell>
          <cell r="C574">
            <v>33407.947646420012</v>
          </cell>
          <cell r="E574">
            <v>814</v>
          </cell>
          <cell r="F574">
            <v>71489.081575329983</v>
          </cell>
          <cell r="H574">
            <v>814</v>
          </cell>
          <cell r="I574">
            <v>71489.081575329983</v>
          </cell>
        </row>
        <row r="575">
          <cell r="B575">
            <v>815</v>
          </cell>
          <cell r="C575">
            <v>3727.9562241199992</v>
          </cell>
          <cell r="E575">
            <v>815</v>
          </cell>
          <cell r="F575">
            <v>7969.3870432399999</v>
          </cell>
          <cell r="H575">
            <v>815</v>
          </cell>
          <cell r="I575">
            <v>7969.3870432399999</v>
          </cell>
        </row>
        <row r="576">
          <cell r="B576">
            <v>816</v>
          </cell>
          <cell r="C576">
            <v>1740.2634218999995</v>
          </cell>
          <cell r="E576">
            <v>816</v>
          </cell>
          <cell r="F576">
            <v>3715.0694572500006</v>
          </cell>
          <cell r="H576">
            <v>816</v>
          </cell>
          <cell r="I576">
            <v>3715.0694572500006</v>
          </cell>
        </row>
        <row r="577">
          <cell r="B577">
            <v>817</v>
          </cell>
          <cell r="C577">
            <v>1891.2989595200004</v>
          </cell>
          <cell r="E577">
            <v>817</v>
          </cell>
          <cell r="F577">
            <v>3951.4679464200012</v>
          </cell>
          <cell r="H577">
            <v>817</v>
          </cell>
          <cell r="I577">
            <v>3951.4679464200012</v>
          </cell>
        </row>
        <row r="578">
          <cell r="B578">
            <v>819</v>
          </cell>
          <cell r="C578">
            <v>1617.5469361200001</v>
          </cell>
          <cell r="E578">
            <v>819</v>
          </cell>
          <cell r="F578">
            <v>3400.1461745300007</v>
          </cell>
          <cell r="H578">
            <v>819</v>
          </cell>
          <cell r="I578">
            <v>3400.1461745300007</v>
          </cell>
        </row>
        <row r="579">
          <cell r="B579">
            <v>820</v>
          </cell>
          <cell r="C579">
            <v>554.81273268999996</v>
          </cell>
          <cell r="E579">
            <v>820</v>
          </cell>
          <cell r="F579">
            <v>1230.4313091900001</v>
          </cell>
          <cell r="H579">
            <v>820</v>
          </cell>
          <cell r="I579">
            <v>1230.4313091900001</v>
          </cell>
        </row>
        <row r="580">
          <cell r="B580">
            <v>822</v>
          </cell>
          <cell r="C580">
            <v>1260.21993677</v>
          </cell>
          <cell r="E580">
            <v>822</v>
          </cell>
          <cell r="F580">
            <v>2792.9509027399999</v>
          </cell>
          <cell r="H580">
            <v>822</v>
          </cell>
          <cell r="I580">
            <v>2792.9509027399999</v>
          </cell>
        </row>
        <row r="581">
          <cell r="B581">
            <v>823</v>
          </cell>
          <cell r="C581">
            <v>3521.4669042200012</v>
          </cell>
          <cell r="E581">
            <v>823</v>
          </cell>
          <cell r="F581">
            <v>7786.0741401800042</v>
          </cell>
          <cell r="H581">
            <v>823</v>
          </cell>
          <cell r="I581">
            <v>7786.0741401800042</v>
          </cell>
        </row>
        <row r="582">
          <cell r="B582">
            <v>824</v>
          </cell>
          <cell r="C582">
            <v>4738.914816200001</v>
          </cell>
          <cell r="E582">
            <v>824</v>
          </cell>
          <cell r="F582">
            <v>9833.279267619997</v>
          </cell>
          <cell r="H582">
            <v>824</v>
          </cell>
          <cell r="I582">
            <v>9833.279267619997</v>
          </cell>
        </row>
        <row r="583">
          <cell r="B583">
            <v>825</v>
          </cell>
          <cell r="C583">
            <v>8994.7406584799992</v>
          </cell>
          <cell r="E583">
            <v>825</v>
          </cell>
          <cell r="F583">
            <v>19086.054996610004</v>
          </cell>
          <cell r="H583">
            <v>825</v>
          </cell>
          <cell r="I583">
            <v>19086.054996610004</v>
          </cell>
        </row>
        <row r="584">
          <cell r="B584">
            <v>826</v>
          </cell>
          <cell r="C584">
            <v>6111.3981060299993</v>
          </cell>
          <cell r="E584">
            <v>826</v>
          </cell>
          <cell r="F584">
            <v>12452.549548200002</v>
          </cell>
          <cell r="H584">
            <v>826</v>
          </cell>
          <cell r="I584">
            <v>12452.549548200002</v>
          </cell>
        </row>
        <row r="585">
          <cell r="B585">
            <v>827</v>
          </cell>
          <cell r="C585">
            <v>7629.9244399999989</v>
          </cell>
          <cell r="E585">
            <v>827</v>
          </cell>
          <cell r="F585">
            <v>16118.078945260002</v>
          </cell>
          <cell r="H585">
            <v>827</v>
          </cell>
          <cell r="I585">
            <v>16118.078945260002</v>
          </cell>
        </row>
        <row r="586">
          <cell r="B586">
            <v>828</v>
          </cell>
          <cell r="C586">
            <v>3853.3411363100004</v>
          </cell>
          <cell r="E586">
            <v>828</v>
          </cell>
          <cell r="F586">
            <v>8102.8761614100003</v>
          </cell>
          <cell r="H586">
            <v>828</v>
          </cell>
          <cell r="I586">
            <v>8102.8761614100003</v>
          </cell>
        </row>
        <row r="587">
          <cell r="B587">
            <v>829</v>
          </cell>
          <cell r="C587">
            <v>3760.1850349400006</v>
          </cell>
          <cell r="E587">
            <v>829</v>
          </cell>
          <cell r="F587">
            <v>8561.0497470399987</v>
          </cell>
          <cell r="H587">
            <v>829</v>
          </cell>
          <cell r="I587">
            <v>8561.0497470399987</v>
          </cell>
        </row>
        <row r="588">
          <cell r="B588">
            <v>830</v>
          </cell>
          <cell r="C588">
            <v>10670.948741530001</v>
          </cell>
          <cell r="E588">
            <v>830</v>
          </cell>
          <cell r="F588">
            <v>22226.802440910003</v>
          </cell>
          <cell r="H588">
            <v>830</v>
          </cell>
          <cell r="I588">
            <v>22226.802440910003</v>
          </cell>
        </row>
        <row r="589">
          <cell r="B589">
            <v>832</v>
          </cell>
          <cell r="C589">
            <v>8103.7028910199988</v>
          </cell>
          <cell r="E589">
            <v>832</v>
          </cell>
          <cell r="F589">
            <v>16739.412266090003</v>
          </cell>
          <cell r="H589">
            <v>832</v>
          </cell>
          <cell r="I589">
            <v>16739.412266090003</v>
          </cell>
        </row>
        <row r="590">
          <cell r="B590">
            <v>833</v>
          </cell>
          <cell r="C590">
            <v>2372.6827871599999</v>
          </cell>
          <cell r="E590">
            <v>833</v>
          </cell>
          <cell r="F590">
            <v>4998.1000250900006</v>
          </cell>
          <cell r="H590">
            <v>833</v>
          </cell>
          <cell r="I590">
            <v>4998.1000250900006</v>
          </cell>
        </row>
        <row r="591">
          <cell r="B591">
            <v>834</v>
          </cell>
          <cell r="C591">
            <v>679.16931991000001</v>
          </cell>
          <cell r="E591">
            <v>834</v>
          </cell>
          <cell r="F591">
            <v>1568.0662806199991</v>
          </cell>
          <cell r="H591">
            <v>834</v>
          </cell>
          <cell r="I591">
            <v>1568.0662806199991</v>
          </cell>
        </row>
        <row r="592">
          <cell r="B592">
            <v>835</v>
          </cell>
          <cell r="C592">
            <v>5721.556738199999</v>
          </cell>
          <cell r="E592">
            <v>835</v>
          </cell>
          <cell r="F592">
            <v>10189.140011279995</v>
          </cell>
          <cell r="H592">
            <v>835</v>
          </cell>
          <cell r="I592">
            <v>10189.140011279995</v>
          </cell>
        </row>
        <row r="593">
          <cell r="B593">
            <v>836</v>
          </cell>
          <cell r="C593">
            <v>11569.88130408</v>
          </cell>
          <cell r="E593">
            <v>836</v>
          </cell>
          <cell r="F593">
            <v>24474.452201550008</v>
          </cell>
          <cell r="H593">
            <v>836</v>
          </cell>
          <cell r="I593">
            <v>24474.452201550008</v>
          </cell>
        </row>
        <row r="594">
          <cell r="B594">
            <v>837</v>
          </cell>
          <cell r="C594">
            <v>4034.5519499000011</v>
          </cell>
          <cell r="E594">
            <v>837</v>
          </cell>
          <cell r="F594">
            <v>8424.6134412099982</v>
          </cell>
          <cell r="H594">
            <v>837</v>
          </cell>
          <cell r="I594">
            <v>8424.6134412099982</v>
          </cell>
        </row>
        <row r="595">
          <cell r="B595">
            <v>838</v>
          </cell>
          <cell r="C595">
            <v>1690.6713546800001</v>
          </cell>
          <cell r="E595">
            <v>838</v>
          </cell>
          <cell r="F595">
            <v>3550.8220999699997</v>
          </cell>
          <cell r="H595">
            <v>838</v>
          </cell>
          <cell r="I595">
            <v>3550.8220999699997</v>
          </cell>
        </row>
        <row r="596">
          <cell r="B596">
            <v>840</v>
          </cell>
          <cell r="C596">
            <v>7139.8854882799997</v>
          </cell>
          <cell r="E596">
            <v>840</v>
          </cell>
          <cell r="F596">
            <v>12928.575477579996</v>
          </cell>
          <cell r="H596">
            <v>840</v>
          </cell>
          <cell r="I596">
            <v>12928.575477579996</v>
          </cell>
        </row>
        <row r="597">
          <cell r="B597">
            <v>841</v>
          </cell>
          <cell r="C597">
            <v>1068.9356141200003</v>
          </cell>
          <cell r="E597">
            <v>841</v>
          </cell>
          <cell r="F597">
            <v>2089.6156021900001</v>
          </cell>
          <cell r="H597">
            <v>841</v>
          </cell>
          <cell r="I597">
            <v>2089.6156021900001</v>
          </cell>
        </row>
        <row r="598">
          <cell r="B598">
            <v>842</v>
          </cell>
          <cell r="C598">
            <v>4798.8769603599994</v>
          </cell>
          <cell r="E598">
            <v>842</v>
          </cell>
          <cell r="F598">
            <v>9974.8918433399995</v>
          </cell>
          <cell r="H598">
            <v>842</v>
          </cell>
          <cell r="I598">
            <v>9974.8918433399995</v>
          </cell>
        </row>
        <row r="599">
          <cell r="B599">
            <v>843</v>
          </cell>
          <cell r="C599">
            <v>4424.3599373300003</v>
          </cell>
          <cell r="E599">
            <v>843</v>
          </cell>
          <cell r="F599">
            <v>9712.2749287699971</v>
          </cell>
          <cell r="H599">
            <v>843</v>
          </cell>
          <cell r="I599">
            <v>9712.2749287699971</v>
          </cell>
        </row>
        <row r="600">
          <cell r="B600">
            <v>844</v>
          </cell>
          <cell r="C600">
            <v>2399.3771732800001</v>
          </cell>
          <cell r="E600">
            <v>844</v>
          </cell>
          <cell r="F600">
            <v>5135.4238082899992</v>
          </cell>
          <cell r="H600">
            <v>844</v>
          </cell>
          <cell r="I600">
            <v>5135.4238082899992</v>
          </cell>
        </row>
        <row r="601">
          <cell r="B601">
            <v>845</v>
          </cell>
          <cell r="C601">
            <v>5705.7336976399993</v>
          </cell>
          <cell r="E601">
            <v>845</v>
          </cell>
          <cell r="F601">
            <v>10801.803292480001</v>
          </cell>
          <cell r="H601">
            <v>845</v>
          </cell>
          <cell r="I601">
            <v>10801.803292480001</v>
          </cell>
        </row>
        <row r="602">
          <cell r="B602">
            <v>846</v>
          </cell>
          <cell r="C602">
            <v>2948.2538227899995</v>
          </cell>
          <cell r="E602">
            <v>846</v>
          </cell>
          <cell r="F602">
            <v>6948.4860883499987</v>
          </cell>
          <cell r="H602">
            <v>846</v>
          </cell>
          <cell r="I602">
            <v>6948.4860883499987</v>
          </cell>
        </row>
        <row r="603">
          <cell r="B603">
            <v>847</v>
          </cell>
          <cell r="C603">
            <v>8195.7455135900018</v>
          </cell>
          <cell r="E603">
            <v>847</v>
          </cell>
          <cell r="F603">
            <v>16712.166741999994</v>
          </cell>
          <cell r="H603">
            <v>847</v>
          </cell>
          <cell r="I603">
            <v>16712.166741999994</v>
          </cell>
        </row>
        <row r="604">
          <cell r="B604">
            <v>848</v>
          </cell>
          <cell r="C604">
            <v>3645.7536442599999</v>
          </cell>
          <cell r="E604">
            <v>848</v>
          </cell>
          <cell r="F604">
            <v>7839.0913039899997</v>
          </cell>
          <cell r="H604">
            <v>848</v>
          </cell>
          <cell r="I604">
            <v>7839.0913039899997</v>
          </cell>
        </row>
        <row r="605">
          <cell r="B605">
            <v>849</v>
          </cell>
          <cell r="C605">
            <v>10871.656449389997</v>
          </cell>
          <cell r="E605">
            <v>849</v>
          </cell>
          <cell r="F605">
            <v>22877.433277159998</v>
          </cell>
          <cell r="H605">
            <v>849</v>
          </cell>
          <cell r="I605">
            <v>22877.433277159998</v>
          </cell>
        </row>
        <row r="606">
          <cell r="B606">
            <v>850</v>
          </cell>
          <cell r="C606">
            <v>1313.7440191499993</v>
          </cell>
          <cell r="E606">
            <v>850</v>
          </cell>
          <cell r="F606">
            <v>2762.4061986600013</v>
          </cell>
          <cell r="H606">
            <v>850</v>
          </cell>
          <cell r="I606">
            <v>2762.4061986600013</v>
          </cell>
        </row>
        <row r="607">
          <cell r="B607">
            <v>851</v>
          </cell>
          <cell r="C607">
            <v>6508.6731257699994</v>
          </cell>
          <cell r="E607">
            <v>851</v>
          </cell>
          <cell r="F607">
            <v>16903.561504720001</v>
          </cell>
          <cell r="H607">
            <v>851</v>
          </cell>
          <cell r="I607">
            <v>16903.561504720001</v>
          </cell>
        </row>
        <row r="608">
          <cell r="B608">
            <v>852</v>
          </cell>
          <cell r="C608">
            <v>4322.5676963799997</v>
          </cell>
          <cell r="E608">
            <v>852</v>
          </cell>
          <cell r="F608">
            <v>9105.6446232100006</v>
          </cell>
          <cell r="H608">
            <v>852</v>
          </cell>
          <cell r="I608">
            <v>9105.6446232100006</v>
          </cell>
        </row>
        <row r="609">
          <cell r="B609">
            <v>853</v>
          </cell>
          <cell r="C609">
            <v>5725.3623732399983</v>
          </cell>
          <cell r="E609">
            <v>853</v>
          </cell>
          <cell r="F609">
            <v>11981.284047379999</v>
          </cell>
          <cell r="H609">
            <v>853</v>
          </cell>
          <cell r="I609">
            <v>11981.284047379999</v>
          </cell>
        </row>
        <row r="610">
          <cell r="B610">
            <v>854</v>
          </cell>
          <cell r="C610">
            <v>5925.5735181099999</v>
          </cell>
          <cell r="E610">
            <v>854</v>
          </cell>
          <cell r="F610">
            <v>12144.677431009999</v>
          </cell>
          <cell r="H610">
            <v>854</v>
          </cell>
          <cell r="I610">
            <v>12144.677431009999</v>
          </cell>
        </row>
        <row r="611">
          <cell r="B611">
            <v>855</v>
          </cell>
          <cell r="C611">
            <v>1071.9143131799999</v>
          </cell>
          <cell r="E611">
            <v>855</v>
          </cell>
          <cell r="F611">
            <v>2181.2158286199992</v>
          </cell>
          <cell r="H611">
            <v>855</v>
          </cell>
          <cell r="I611">
            <v>2181.2158286199992</v>
          </cell>
        </row>
        <row r="612">
          <cell r="B612">
            <v>857</v>
          </cell>
          <cell r="C612">
            <v>23549.937045579998</v>
          </cell>
          <cell r="E612">
            <v>857</v>
          </cell>
          <cell r="F612">
            <v>50093.406919150038</v>
          </cell>
          <cell r="H612">
            <v>857</v>
          </cell>
          <cell r="I612">
            <v>50093.406919150038</v>
          </cell>
        </row>
        <row r="613">
          <cell r="B613">
            <v>859</v>
          </cell>
          <cell r="C613">
            <v>4188.3463904499995</v>
          </cell>
          <cell r="E613">
            <v>859</v>
          </cell>
          <cell r="F613">
            <v>8941.5891216599975</v>
          </cell>
          <cell r="H613">
            <v>859</v>
          </cell>
          <cell r="I613">
            <v>8941.5891216599975</v>
          </cell>
        </row>
        <row r="614">
          <cell r="B614">
            <v>860</v>
          </cell>
          <cell r="C614">
            <v>2215.8525991700003</v>
          </cell>
          <cell r="E614">
            <v>860</v>
          </cell>
          <cell r="F614">
            <v>4647.8395511699982</v>
          </cell>
          <cell r="H614">
            <v>860</v>
          </cell>
          <cell r="I614">
            <v>4647.8395511699982</v>
          </cell>
        </row>
        <row r="615">
          <cell r="B615">
            <v>861</v>
          </cell>
          <cell r="C615">
            <v>8584.1544235199999</v>
          </cell>
          <cell r="E615">
            <v>861</v>
          </cell>
          <cell r="F615">
            <v>17935.718472199995</v>
          </cell>
          <cell r="H615">
            <v>861</v>
          </cell>
          <cell r="I615">
            <v>17935.718472199995</v>
          </cell>
        </row>
        <row r="616">
          <cell r="B616">
            <v>862</v>
          </cell>
          <cell r="C616">
            <v>6441.3130381399997</v>
          </cell>
          <cell r="E616">
            <v>862</v>
          </cell>
          <cell r="F616">
            <v>14073.055125720002</v>
          </cell>
          <cell r="H616">
            <v>862</v>
          </cell>
          <cell r="I616">
            <v>14073.055125720002</v>
          </cell>
        </row>
        <row r="617">
          <cell r="B617">
            <v>863</v>
          </cell>
          <cell r="C617">
            <v>5485.7629581400015</v>
          </cell>
          <cell r="E617">
            <v>863</v>
          </cell>
          <cell r="F617">
            <v>11253.450606299997</v>
          </cell>
          <cell r="H617">
            <v>863</v>
          </cell>
          <cell r="I617">
            <v>11253.450606299997</v>
          </cell>
        </row>
        <row r="618">
          <cell r="B618">
            <v>864</v>
          </cell>
          <cell r="C618">
            <v>1917.48038028</v>
          </cell>
          <cell r="E618">
            <v>864</v>
          </cell>
          <cell r="F618">
            <v>4209.2172633399987</v>
          </cell>
          <cell r="H618">
            <v>864</v>
          </cell>
          <cell r="I618">
            <v>4209.2172633399987</v>
          </cell>
        </row>
        <row r="619">
          <cell r="B619">
            <v>865</v>
          </cell>
          <cell r="C619">
            <v>4770.6125443700003</v>
          </cell>
          <cell r="E619">
            <v>865</v>
          </cell>
          <cell r="F619">
            <v>10312.119997190001</v>
          </cell>
          <cell r="H619">
            <v>865</v>
          </cell>
          <cell r="I619">
            <v>10312.119997190001</v>
          </cell>
        </row>
        <row r="620">
          <cell r="B620">
            <v>867</v>
          </cell>
          <cell r="C620">
            <v>2448.2860480399995</v>
          </cell>
          <cell r="E620">
            <v>867</v>
          </cell>
          <cell r="F620">
            <v>5028.3009191599995</v>
          </cell>
          <cell r="H620">
            <v>867</v>
          </cell>
          <cell r="I620">
            <v>5028.3009191599995</v>
          </cell>
        </row>
        <row r="621">
          <cell r="B621">
            <v>868</v>
          </cell>
          <cell r="C621">
            <v>4757.3467638399998</v>
          </cell>
          <cell r="E621">
            <v>868</v>
          </cell>
          <cell r="F621">
            <v>10115.283175449998</v>
          </cell>
          <cell r="H621">
            <v>868</v>
          </cell>
          <cell r="I621">
            <v>10115.283175449998</v>
          </cell>
        </row>
        <row r="622">
          <cell r="B622">
            <v>869</v>
          </cell>
          <cell r="C622">
            <v>4527.8085033500001</v>
          </cell>
          <cell r="E622">
            <v>869</v>
          </cell>
          <cell r="F622">
            <v>9467.5345722399998</v>
          </cell>
          <cell r="H622">
            <v>869</v>
          </cell>
          <cell r="I622">
            <v>9467.5345722399998</v>
          </cell>
        </row>
        <row r="623">
          <cell r="B623">
            <v>870</v>
          </cell>
          <cell r="C623">
            <v>10997.924947860003</v>
          </cell>
          <cell r="E623">
            <v>870</v>
          </cell>
          <cell r="F623">
            <v>23152.690984039993</v>
          </cell>
          <cell r="H623">
            <v>870</v>
          </cell>
          <cell r="I623">
            <v>23152.690984039993</v>
          </cell>
        </row>
        <row r="624">
          <cell r="B624">
            <v>871</v>
          </cell>
          <cell r="C624">
            <v>1337.9817517999995</v>
          </cell>
          <cell r="E624">
            <v>871</v>
          </cell>
          <cell r="F624">
            <v>2847.9579179200005</v>
          </cell>
          <cell r="H624">
            <v>871</v>
          </cell>
          <cell r="I624">
            <v>2847.9579179200005</v>
          </cell>
        </row>
        <row r="625">
          <cell r="B625">
            <v>873</v>
          </cell>
          <cell r="C625">
            <v>17855.757076269998</v>
          </cell>
          <cell r="E625">
            <v>873</v>
          </cell>
          <cell r="F625">
            <v>39952.264906510005</v>
          </cell>
          <cell r="H625">
            <v>873</v>
          </cell>
          <cell r="I625">
            <v>39952.264906510005</v>
          </cell>
        </row>
        <row r="626">
          <cell r="B626">
            <v>875</v>
          </cell>
          <cell r="C626">
            <v>4105.6094993500001</v>
          </cell>
          <cell r="E626">
            <v>875</v>
          </cell>
          <cell r="F626">
            <v>8341.7284836500003</v>
          </cell>
          <cell r="H626">
            <v>875</v>
          </cell>
          <cell r="I626">
            <v>8341.7284836500003</v>
          </cell>
        </row>
        <row r="627">
          <cell r="B627">
            <v>877</v>
          </cell>
          <cell r="C627">
            <v>12245.689906070002</v>
          </cell>
          <cell r="E627">
            <v>877</v>
          </cell>
          <cell r="F627">
            <v>24713.270166419992</v>
          </cell>
          <cell r="H627">
            <v>877</v>
          </cell>
          <cell r="I627">
            <v>24713.270166419992</v>
          </cell>
        </row>
        <row r="628">
          <cell r="B628">
            <v>878</v>
          </cell>
          <cell r="C628">
            <v>15622.293532669999</v>
          </cell>
          <cell r="E628">
            <v>878</v>
          </cell>
          <cell r="F628">
            <v>32358.130375730005</v>
          </cell>
          <cell r="H628">
            <v>878</v>
          </cell>
          <cell r="I628">
            <v>32358.130375730005</v>
          </cell>
        </row>
        <row r="629">
          <cell r="B629">
            <v>879</v>
          </cell>
          <cell r="C629">
            <v>17526.988759520005</v>
          </cell>
          <cell r="E629">
            <v>879</v>
          </cell>
          <cell r="F629">
            <v>36997.413808270001</v>
          </cell>
          <cell r="H629">
            <v>879</v>
          </cell>
          <cell r="I629">
            <v>36997.413808270001</v>
          </cell>
        </row>
        <row r="630">
          <cell r="B630">
            <v>882</v>
          </cell>
          <cell r="C630">
            <v>2010.8460876900001</v>
          </cell>
          <cell r="E630">
            <v>882</v>
          </cell>
          <cell r="F630">
            <v>4455.4987491599995</v>
          </cell>
          <cell r="H630">
            <v>882</v>
          </cell>
          <cell r="I630">
            <v>4455.4987491599995</v>
          </cell>
        </row>
        <row r="631">
          <cell r="B631">
            <v>884</v>
          </cell>
          <cell r="C631">
            <v>2834.1561559599995</v>
          </cell>
          <cell r="E631">
            <v>884</v>
          </cell>
          <cell r="F631">
            <v>6453.3046114600011</v>
          </cell>
          <cell r="H631">
            <v>884</v>
          </cell>
          <cell r="I631">
            <v>6453.3046114600011</v>
          </cell>
        </row>
        <row r="632">
          <cell r="B632">
            <v>885</v>
          </cell>
          <cell r="C632">
            <v>5574.8791232399999</v>
          </cell>
          <cell r="E632">
            <v>885</v>
          </cell>
          <cell r="F632">
            <v>11734.358928050002</v>
          </cell>
          <cell r="H632">
            <v>885</v>
          </cell>
          <cell r="I632">
            <v>11734.358928050002</v>
          </cell>
        </row>
        <row r="633">
          <cell r="B633">
            <v>886</v>
          </cell>
          <cell r="C633">
            <v>4362.1324869700002</v>
          </cell>
          <cell r="E633">
            <v>886</v>
          </cell>
          <cell r="F633">
            <v>9202.0762910599988</v>
          </cell>
          <cell r="H633">
            <v>886</v>
          </cell>
          <cell r="I633">
            <v>9202.0762910599988</v>
          </cell>
        </row>
        <row r="634">
          <cell r="B634">
            <v>887</v>
          </cell>
          <cell r="C634">
            <v>1636.95486931</v>
          </cell>
          <cell r="E634">
            <v>887</v>
          </cell>
          <cell r="F634">
            <v>3540.917850459999</v>
          </cell>
          <cell r="H634">
            <v>887</v>
          </cell>
          <cell r="I634">
            <v>3540.917850459999</v>
          </cell>
        </row>
        <row r="635">
          <cell r="B635">
            <v>889</v>
          </cell>
          <cell r="C635">
            <v>6558.71880229</v>
          </cell>
          <cell r="E635">
            <v>889</v>
          </cell>
          <cell r="F635">
            <v>13690.37870037</v>
          </cell>
          <cell r="H635">
            <v>889</v>
          </cell>
          <cell r="I635">
            <v>13690.37870037</v>
          </cell>
        </row>
        <row r="636">
          <cell r="B636">
            <v>890</v>
          </cell>
          <cell r="C636">
            <v>4738.9288651999987</v>
          </cell>
          <cell r="E636">
            <v>890</v>
          </cell>
          <cell r="F636">
            <v>9931.3900387499962</v>
          </cell>
          <cell r="H636">
            <v>890</v>
          </cell>
          <cell r="I636">
            <v>9931.3900387499962</v>
          </cell>
        </row>
        <row r="637">
          <cell r="B637">
            <v>891</v>
          </cell>
          <cell r="C637">
            <v>5217.432997519998</v>
          </cell>
          <cell r="E637">
            <v>891</v>
          </cell>
          <cell r="F637">
            <v>11038.535025170002</v>
          </cell>
          <cell r="H637">
            <v>891</v>
          </cell>
          <cell r="I637">
            <v>11038.535025170002</v>
          </cell>
        </row>
        <row r="638">
          <cell r="B638">
            <v>893</v>
          </cell>
          <cell r="C638">
            <v>4371.5091636499992</v>
          </cell>
          <cell r="E638">
            <v>893</v>
          </cell>
          <cell r="F638">
            <v>9104.5796739799989</v>
          </cell>
          <cell r="H638">
            <v>893</v>
          </cell>
          <cell r="I638">
            <v>9104.5796739799989</v>
          </cell>
        </row>
        <row r="639">
          <cell r="B639">
            <v>894</v>
          </cell>
          <cell r="C639">
            <v>7995.939958259999</v>
          </cell>
          <cell r="E639">
            <v>894</v>
          </cell>
          <cell r="F639">
            <v>16282.019442390001</v>
          </cell>
          <cell r="H639">
            <v>894</v>
          </cell>
          <cell r="I639">
            <v>16282.019442390001</v>
          </cell>
        </row>
        <row r="640">
          <cell r="B640">
            <v>895</v>
          </cell>
          <cell r="C640">
            <v>4488.73888807</v>
          </cell>
          <cell r="E640">
            <v>895</v>
          </cell>
          <cell r="F640">
            <v>9498.0165528599973</v>
          </cell>
          <cell r="H640">
            <v>895</v>
          </cell>
          <cell r="I640">
            <v>9498.0165528599973</v>
          </cell>
        </row>
        <row r="641">
          <cell r="B641">
            <v>896</v>
          </cell>
          <cell r="C641">
            <v>27483.749457700007</v>
          </cell>
          <cell r="E641">
            <v>896</v>
          </cell>
          <cell r="F641">
            <v>53783.987764069978</v>
          </cell>
          <cell r="H641">
            <v>896</v>
          </cell>
          <cell r="I641">
            <v>53783.987764069978</v>
          </cell>
        </row>
        <row r="642">
          <cell r="B642">
            <v>897</v>
          </cell>
          <cell r="C642">
            <v>7677.7387111299986</v>
          </cell>
          <cell r="E642">
            <v>897</v>
          </cell>
          <cell r="F642">
            <v>15873.278336869997</v>
          </cell>
          <cell r="H642">
            <v>897</v>
          </cell>
          <cell r="I642">
            <v>15873.278336869997</v>
          </cell>
        </row>
        <row r="643">
          <cell r="B643">
            <v>898</v>
          </cell>
          <cell r="C643">
            <v>13336.518395710002</v>
          </cell>
          <cell r="E643">
            <v>898</v>
          </cell>
          <cell r="F643">
            <v>27408.056714549999</v>
          </cell>
          <cell r="H643">
            <v>898</v>
          </cell>
          <cell r="I643">
            <v>27408.056714549999</v>
          </cell>
        </row>
        <row r="644">
          <cell r="B644">
            <v>899</v>
          </cell>
          <cell r="C644">
            <v>4479.9216862100002</v>
          </cell>
          <cell r="E644">
            <v>899</v>
          </cell>
          <cell r="F644">
            <v>9657.4770694300005</v>
          </cell>
          <cell r="H644">
            <v>899</v>
          </cell>
          <cell r="I644">
            <v>9657.4770694300005</v>
          </cell>
        </row>
        <row r="645">
          <cell r="B645">
            <v>900</v>
          </cell>
          <cell r="C645">
            <v>11495.477300729997</v>
          </cell>
          <cell r="E645">
            <v>900</v>
          </cell>
          <cell r="F645">
            <v>24088.878794759996</v>
          </cell>
          <cell r="H645">
            <v>900</v>
          </cell>
          <cell r="I645">
            <v>24088.878794759996</v>
          </cell>
        </row>
        <row r="646">
          <cell r="B646">
            <v>902</v>
          </cell>
          <cell r="C646">
            <v>2640.2740440500002</v>
          </cell>
          <cell r="E646">
            <v>902</v>
          </cell>
          <cell r="F646">
            <v>5622.9010536900014</v>
          </cell>
          <cell r="H646">
            <v>902</v>
          </cell>
          <cell r="I646">
            <v>5622.9010536900014</v>
          </cell>
        </row>
        <row r="647">
          <cell r="B647">
            <v>903</v>
          </cell>
          <cell r="C647">
            <v>6271.8239565399981</v>
          </cell>
          <cell r="E647">
            <v>903</v>
          </cell>
          <cell r="F647">
            <v>13462.864750720004</v>
          </cell>
          <cell r="H647">
            <v>903</v>
          </cell>
          <cell r="I647">
            <v>13462.864750720004</v>
          </cell>
        </row>
        <row r="648">
          <cell r="B648">
            <v>904</v>
          </cell>
          <cell r="C648">
            <v>1833.7716958599997</v>
          </cell>
          <cell r="E648">
            <v>904</v>
          </cell>
          <cell r="F648">
            <v>3864.9218610100002</v>
          </cell>
          <cell r="H648">
            <v>904</v>
          </cell>
          <cell r="I648">
            <v>3864.9218610100002</v>
          </cell>
        </row>
        <row r="649">
          <cell r="B649">
            <v>905</v>
          </cell>
          <cell r="C649">
            <v>5988.1036953100011</v>
          </cell>
          <cell r="E649">
            <v>905</v>
          </cell>
          <cell r="F649">
            <v>11644.652479259999</v>
          </cell>
          <cell r="H649">
            <v>905</v>
          </cell>
          <cell r="I649">
            <v>11644.652479259999</v>
          </cell>
        </row>
        <row r="650">
          <cell r="B650">
            <v>906</v>
          </cell>
          <cell r="C650">
            <v>5452.4719239799979</v>
          </cell>
          <cell r="E650">
            <v>906</v>
          </cell>
          <cell r="F650">
            <v>11614.790964520012</v>
          </cell>
          <cell r="H650">
            <v>906</v>
          </cell>
          <cell r="I650">
            <v>11614.790964520012</v>
          </cell>
        </row>
        <row r="651">
          <cell r="B651">
            <v>907</v>
          </cell>
          <cell r="C651">
            <v>2655.0173493999996</v>
          </cell>
          <cell r="E651">
            <v>907</v>
          </cell>
          <cell r="F651">
            <v>5670.6455167699996</v>
          </cell>
          <cell r="H651">
            <v>907</v>
          </cell>
          <cell r="I651">
            <v>5670.6455167699996</v>
          </cell>
        </row>
        <row r="652">
          <cell r="B652">
            <v>908</v>
          </cell>
          <cell r="C652">
            <v>8653.7920741399994</v>
          </cell>
          <cell r="E652">
            <v>908</v>
          </cell>
          <cell r="F652">
            <v>17787.516352930001</v>
          </cell>
          <cell r="H652">
            <v>908</v>
          </cell>
          <cell r="I652">
            <v>17787.516352930001</v>
          </cell>
        </row>
        <row r="653">
          <cell r="B653">
            <v>909</v>
          </cell>
          <cell r="C653">
            <v>3648.8668878900003</v>
          </cell>
          <cell r="E653">
            <v>909</v>
          </cell>
          <cell r="F653">
            <v>7635.5616770100023</v>
          </cell>
          <cell r="H653">
            <v>909</v>
          </cell>
          <cell r="I653">
            <v>7635.5616770100023</v>
          </cell>
        </row>
        <row r="654">
          <cell r="B654">
            <v>910</v>
          </cell>
          <cell r="C654">
            <v>12940.101570689998</v>
          </cell>
          <cell r="E654">
            <v>910</v>
          </cell>
          <cell r="F654">
            <v>28318.501136230028</v>
          </cell>
          <cell r="H654">
            <v>910</v>
          </cell>
          <cell r="I654">
            <v>28318.501136230028</v>
          </cell>
        </row>
        <row r="655">
          <cell r="B655">
            <v>911</v>
          </cell>
          <cell r="C655">
            <v>5483.3844887999994</v>
          </cell>
          <cell r="E655">
            <v>911</v>
          </cell>
          <cell r="F655">
            <v>11536.953847040002</v>
          </cell>
          <cell r="H655">
            <v>911</v>
          </cell>
          <cell r="I655">
            <v>11536.953847040002</v>
          </cell>
        </row>
        <row r="656">
          <cell r="B656">
            <v>912</v>
          </cell>
          <cell r="C656">
            <v>6651.9327888400012</v>
          </cell>
          <cell r="E656">
            <v>912</v>
          </cell>
          <cell r="F656">
            <v>13641.303924150001</v>
          </cell>
          <cell r="H656">
            <v>912</v>
          </cell>
          <cell r="I656">
            <v>13641.303924150001</v>
          </cell>
        </row>
        <row r="657">
          <cell r="B657">
            <v>913</v>
          </cell>
          <cell r="C657">
            <v>16684.104277080001</v>
          </cell>
          <cell r="E657">
            <v>913</v>
          </cell>
          <cell r="F657">
            <v>35570.15818382999</v>
          </cell>
          <cell r="H657">
            <v>913</v>
          </cell>
          <cell r="I657">
            <v>35570.15818382999</v>
          </cell>
        </row>
        <row r="658">
          <cell r="B658">
            <v>914</v>
          </cell>
          <cell r="C658">
            <v>8148.8521373800031</v>
          </cell>
          <cell r="E658">
            <v>914</v>
          </cell>
          <cell r="F658">
            <v>16480.352321279996</v>
          </cell>
          <cell r="H658">
            <v>914</v>
          </cell>
          <cell r="I658">
            <v>16480.352321279996</v>
          </cell>
        </row>
        <row r="659">
          <cell r="B659">
            <v>915</v>
          </cell>
          <cell r="C659">
            <v>1005.4086231300001</v>
          </cell>
          <cell r="E659">
            <v>915</v>
          </cell>
          <cell r="F659">
            <v>2091.0761193400003</v>
          </cell>
          <cell r="H659">
            <v>915</v>
          </cell>
          <cell r="I659">
            <v>2091.0761193400003</v>
          </cell>
        </row>
        <row r="660">
          <cell r="B660">
            <v>916</v>
          </cell>
          <cell r="C660">
            <v>8125.0356122399999</v>
          </cell>
          <cell r="E660">
            <v>916</v>
          </cell>
          <cell r="F660">
            <v>20479.873688780015</v>
          </cell>
          <cell r="H660">
            <v>916</v>
          </cell>
          <cell r="I660">
            <v>20479.873688780015</v>
          </cell>
        </row>
        <row r="661">
          <cell r="B661">
            <v>917</v>
          </cell>
          <cell r="C661">
            <v>1568.4123663200003</v>
          </cell>
          <cell r="E661">
            <v>917</v>
          </cell>
          <cell r="F661">
            <v>3123.6422159599992</v>
          </cell>
          <cell r="H661">
            <v>917</v>
          </cell>
          <cell r="I661">
            <v>3123.6422159599992</v>
          </cell>
        </row>
        <row r="662">
          <cell r="B662">
            <v>919</v>
          </cell>
          <cell r="C662">
            <v>1720.3405779000004</v>
          </cell>
          <cell r="E662">
            <v>919</v>
          </cell>
          <cell r="F662">
            <v>3560.1750196000003</v>
          </cell>
          <cell r="H662">
            <v>919</v>
          </cell>
          <cell r="I662">
            <v>3560.1750196000003</v>
          </cell>
        </row>
        <row r="663">
          <cell r="B663">
            <v>920</v>
          </cell>
          <cell r="C663">
            <v>2670.9380583499992</v>
          </cell>
          <cell r="E663">
            <v>920</v>
          </cell>
          <cell r="F663">
            <v>5640.9227448800011</v>
          </cell>
          <cell r="H663">
            <v>920</v>
          </cell>
          <cell r="I663">
            <v>5640.9227448800011</v>
          </cell>
        </row>
        <row r="664">
          <cell r="B664">
            <v>921</v>
          </cell>
          <cell r="C664">
            <v>1575.90764541</v>
          </cell>
          <cell r="E664">
            <v>921</v>
          </cell>
          <cell r="F664">
            <v>2979.89040742</v>
          </cell>
          <cell r="H664">
            <v>921</v>
          </cell>
          <cell r="I664">
            <v>2979.89040742</v>
          </cell>
        </row>
        <row r="665">
          <cell r="B665">
            <v>923</v>
          </cell>
          <cell r="C665">
            <v>6348.7873480300004</v>
          </cell>
          <cell r="E665">
            <v>923</v>
          </cell>
          <cell r="F665">
            <v>13640.400124340002</v>
          </cell>
          <cell r="H665">
            <v>923</v>
          </cell>
          <cell r="I665">
            <v>13640.400124340002</v>
          </cell>
        </row>
        <row r="666">
          <cell r="B666">
            <v>924</v>
          </cell>
          <cell r="C666">
            <v>5229.8343433800001</v>
          </cell>
          <cell r="E666">
            <v>924</v>
          </cell>
          <cell r="F666">
            <v>11078.393771900002</v>
          </cell>
          <cell r="H666">
            <v>924</v>
          </cell>
          <cell r="I666">
            <v>11078.393771900002</v>
          </cell>
        </row>
        <row r="667">
          <cell r="B667">
            <v>925</v>
          </cell>
          <cell r="C667">
            <v>749.92953506999993</v>
          </cell>
          <cell r="E667">
            <v>925</v>
          </cell>
          <cell r="F667">
            <v>1625.5013407500005</v>
          </cell>
          <cell r="H667">
            <v>925</v>
          </cell>
          <cell r="I667">
            <v>1625.5013407500005</v>
          </cell>
        </row>
        <row r="668">
          <cell r="B668">
            <v>926</v>
          </cell>
          <cell r="C668">
            <v>19823.962437390011</v>
          </cell>
          <cell r="E668">
            <v>926</v>
          </cell>
          <cell r="F668">
            <v>42136.158931159989</v>
          </cell>
          <cell r="H668">
            <v>926</v>
          </cell>
          <cell r="I668">
            <v>42136.158931159989</v>
          </cell>
        </row>
        <row r="669">
          <cell r="B669">
            <v>928</v>
          </cell>
          <cell r="C669">
            <v>3238.8793650000011</v>
          </cell>
          <cell r="E669">
            <v>928</v>
          </cell>
          <cell r="F669">
            <v>6738.9952025699995</v>
          </cell>
          <cell r="H669">
            <v>928</v>
          </cell>
          <cell r="I669">
            <v>6738.9952025699995</v>
          </cell>
        </row>
        <row r="670">
          <cell r="B670">
            <v>929</v>
          </cell>
          <cell r="C670">
            <v>3223.70496336</v>
          </cell>
          <cell r="E670">
            <v>929</v>
          </cell>
          <cell r="F670">
            <v>7015.2425568900007</v>
          </cell>
          <cell r="H670">
            <v>929</v>
          </cell>
          <cell r="I670">
            <v>7015.2425568900007</v>
          </cell>
        </row>
        <row r="671">
          <cell r="B671">
            <v>930</v>
          </cell>
          <cell r="C671">
            <v>21127.730007870003</v>
          </cell>
          <cell r="E671">
            <v>930</v>
          </cell>
          <cell r="F671">
            <v>43274.847489989988</v>
          </cell>
          <cell r="H671">
            <v>930</v>
          </cell>
          <cell r="I671">
            <v>43274.847489989988</v>
          </cell>
        </row>
        <row r="672">
          <cell r="B672">
            <v>932</v>
          </cell>
          <cell r="C672">
            <v>25800.167789320003</v>
          </cell>
          <cell r="E672">
            <v>932</v>
          </cell>
          <cell r="F672">
            <v>55557.091240740032</v>
          </cell>
          <cell r="H672">
            <v>932</v>
          </cell>
          <cell r="I672">
            <v>55557.091240740032</v>
          </cell>
        </row>
        <row r="673">
          <cell r="B673">
            <v>933</v>
          </cell>
          <cell r="C673">
            <v>487.45568740999988</v>
          </cell>
          <cell r="E673">
            <v>933</v>
          </cell>
          <cell r="F673">
            <v>1054.5712425800004</v>
          </cell>
          <cell r="H673">
            <v>933</v>
          </cell>
          <cell r="I673">
            <v>1054.5712425800004</v>
          </cell>
        </row>
        <row r="674">
          <cell r="B674">
            <v>934</v>
          </cell>
          <cell r="C674">
            <v>1681.9648545800001</v>
          </cell>
          <cell r="E674">
            <v>934</v>
          </cell>
          <cell r="F674">
            <v>3555.3588100999987</v>
          </cell>
          <cell r="H674">
            <v>934</v>
          </cell>
          <cell r="I674">
            <v>3555.3588100999987</v>
          </cell>
        </row>
        <row r="675">
          <cell r="B675">
            <v>937</v>
          </cell>
          <cell r="C675">
            <v>10558.8372822</v>
          </cell>
          <cell r="E675">
            <v>937</v>
          </cell>
          <cell r="F675">
            <v>21209.080671380001</v>
          </cell>
          <cell r="H675">
            <v>937</v>
          </cell>
          <cell r="I675">
            <v>21209.080671380001</v>
          </cell>
        </row>
        <row r="676">
          <cell r="B676">
            <v>939</v>
          </cell>
          <cell r="C676">
            <v>10960.74059775</v>
          </cell>
          <cell r="E676">
            <v>939</v>
          </cell>
          <cell r="F676">
            <v>22944.561396869994</v>
          </cell>
          <cell r="H676">
            <v>939</v>
          </cell>
          <cell r="I676">
            <v>22944.561396869994</v>
          </cell>
        </row>
        <row r="677">
          <cell r="B677">
            <v>941</v>
          </cell>
          <cell r="C677">
            <v>14148.655082189995</v>
          </cell>
          <cell r="E677">
            <v>941</v>
          </cell>
          <cell r="F677">
            <v>30217.672769839995</v>
          </cell>
          <cell r="H677">
            <v>941</v>
          </cell>
          <cell r="I677">
            <v>30217.672769839995</v>
          </cell>
        </row>
        <row r="678">
          <cell r="B678">
            <v>942</v>
          </cell>
          <cell r="C678">
            <v>10418.376758960001</v>
          </cell>
          <cell r="E678">
            <v>942</v>
          </cell>
          <cell r="F678">
            <v>21018.866552229996</v>
          </cell>
          <cell r="H678">
            <v>942</v>
          </cell>
          <cell r="I678">
            <v>21018.866552229996</v>
          </cell>
        </row>
        <row r="679">
          <cell r="B679">
            <v>943</v>
          </cell>
          <cell r="C679">
            <v>1935.1366080099999</v>
          </cell>
          <cell r="E679">
            <v>943</v>
          </cell>
          <cell r="F679">
            <v>3965.0179745599985</v>
          </cell>
          <cell r="H679">
            <v>943</v>
          </cell>
          <cell r="I679">
            <v>3965.0179745599985</v>
          </cell>
        </row>
        <row r="680">
          <cell r="B680">
            <v>944</v>
          </cell>
          <cell r="C680">
            <v>1271.3899663100001</v>
          </cell>
          <cell r="E680">
            <v>944</v>
          </cell>
          <cell r="F680">
            <v>2400.2069783599995</v>
          </cell>
          <cell r="H680">
            <v>944</v>
          </cell>
          <cell r="I680">
            <v>2400.2069783599995</v>
          </cell>
        </row>
        <row r="681">
          <cell r="B681">
            <v>946</v>
          </cell>
          <cell r="C681">
            <v>1959.8765088200003</v>
          </cell>
          <cell r="E681">
            <v>946</v>
          </cell>
          <cell r="F681">
            <v>4181.5274205299993</v>
          </cell>
          <cell r="H681">
            <v>946</v>
          </cell>
          <cell r="I681">
            <v>4181.5274205299993</v>
          </cell>
        </row>
        <row r="682">
          <cell r="B682">
            <v>949</v>
          </cell>
          <cell r="C682">
            <v>2559.4548721400001</v>
          </cell>
          <cell r="E682">
            <v>949</v>
          </cell>
          <cell r="F682">
            <v>5604.9998965900013</v>
          </cell>
          <cell r="H682">
            <v>949</v>
          </cell>
          <cell r="I682">
            <v>5604.9998965900013</v>
          </cell>
        </row>
        <row r="683">
          <cell r="B683">
            <v>950</v>
          </cell>
          <cell r="C683">
            <v>8763.5312080100011</v>
          </cell>
          <cell r="E683">
            <v>950</v>
          </cell>
          <cell r="F683">
            <v>17919.05601194</v>
          </cell>
          <cell r="H683">
            <v>950</v>
          </cell>
          <cell r="I683">
            <v>17919.05601194</v>
          </cell>
        </row>
        <row r="684">
          <cell r="B684">
            <v>951</v>
          </cell>
          <cell r="C684">
            <v>2487.3802160000005</v>
          </cell>
          <cell r="E684">
            <v>951</v>
          </cell>
          <cell r="F684">
            <v>5479.1076358099981</v>
          </cell>
          <cell r="H684">
            <v>951</v>
          </cell>
          <cell r="I684">
            <v>5479.1076358099981</v>
          </cell>
        </row>
        <row r="685">
          <cell r="B685">
            <v>952</v>
          </cell>
          <cell r="C685">
            <v>17633.044460450001</v>
          </cell>
          <cell r="E685">
            <v>952</v>
          </cell>
          <cell r="F685">
            <v>36681.105994039986</v>
          </cell>
          <cell r="H685">
            <v>952</v>
          </cell>
          <cell r="I685">
            <v>36681.105994039986</v>
          </cell>
        </row>
        <row r="686">
          <cell r="B686">
            <v>954</v>
          </cell>
          <cell r="C686">
            <v>864.23911531999988</v>
          </cell>
          <cell r="E686">
            <v>954</v>
          </cell>
          <cell r="F686">
            <v>1682.4217973499997</v>
          </cell>
          <cell r="H686">
            <v>954</v>
          </cell>
          <cell r="I686">
            <v>1682.4217973499997</v>
          </cell>
        </row>
        <row r="687">
          <cell r="B687">
            <v>957</v>
          </cell>
          <cell r="C687">
            <v>7200.911757580001</v>
          </cell>
          <cell r="E687">
            <v>957</v>
          </cell>
          <cell r="F687">
            <v>14805.492977789992</v>
          </cell>
          <cell r="H687">
            <v>957</v>
          </cell>
          <cell r="I687">
            <v>14805.492977789992</v>
          </cell>
        </row>
        <row r="688">
          <cell r="B688">
            <v>958</v>
          </cell>
          <cell r="C688">
            <v>3080.3775418800001</v>
          </cell>
          <cell r="E688">
            <v>958</v>
          </cell>
          <cell r="F688">
            <v>6118.2203406699991</v>
          </cell>
          <cell r="H688">
            <v>958</v>
          </cell>
          <cell r="I688">
            <v>6118.2203406699991</v>
          </cell>
        </row>
        <row r="689">
          <cell r="B689">
            <v>960</v>
          </cell>
          <cell r="C689">
            <v>1698.6957929400003</v>
          </cell>
          <cell r="E689">
            <v>960</v>
          </cell>
          <cell r="F689">
            <v>3327.9429481999996</v>
          </cell>
          <cell r="H689">
            <v>960</v>
          </cell>
          <cell r="I689">
            <v>3327.9429481999996</v>
          </cell>
        </row>
        <row r="690">
          <cell r="B690">
            <v>961</v>
          </cell>
          <cell r="C690">
            <v>1090.2099997499997</v>
          </cell>
          <cell r="E690">
            <v>961</v>
          </cell>
          <cell r="F690">
            <v>2416.4528533700013</v>
          </cell>
          <cell r="H690">
            <v>961</v>
          </cell>
          <cell r="I690">
            <v>2416.4528533700013</v>
          </cell>
        </row>
        <row r="691">
          <cell r="B691">
            <v>962</v>
          </cell>
          <cell r="C691">
            <v>6496.4299419199997</v>
          </cell>
          <cell r="E691">
            <v>962</v>
          </cell>
          <cell r="F691">
            <v>13678.263972430002</v>
          </cell>
          <cell r="H691">
            <v>962</v>
          </cell>
          <cell r="I691">
            <v>13678.263972430002</v>
          </cell>
        </row>
        <row r="692">
          <cell r="B692">
            <v>963</v>
          </cell>
          <cell r="C692">
            <v>6045.7116069600015</v>
          </cell>
          <cell r="E692">
            <v>963</v>
          </cell>
          <cell r="F692">
            <v>12870.006740210001</v>
          </cell>
          <cell r="H692">
            <v>963</v>
          </cell>
          <cell r="I692">
            <v>12870.006740210001</v>
          </cell>
        </row>
        <row r="693">
          <cell r="B693">
            <v>964</v>
          </cell>
          <cell r="C693">
            <v>3160.4055882199996</v>
          </cell>
          <cell r="E693">
            <v>964</v>
          </cell>
          <cell r="F693">
            <v>6548.8880627799999</v>
          </cell>
          <cell r="H693">
            <v>964</v>
          </cell>
          <cell r="I693">
            <v>6548.8880627799999</v>
          </cell>
        </row>
        <row r="694">
          <cell r="B694">
            <v>965</v>
          </cell>
          <cell r="C694">
            <v>13775.180711120001</v>
          </cell>
          <cell r="E694">
            <v>965</v>
          </cell>
          <cell r="F694">
            <v>28036.937405200013</v>
          </cell>
          <cell r="H694">
            <v>965</v>
          </cell>
          <cell r="I694">
            <v>28036.937405200013</v>
          </cell>
        </row>
        <row r="695">
          <cell r="B695">
            <v>967</v>
          </cell>
          <cell r="C695">
            <v>4482.4838198899988</v>
          </cell>
          <cell r="E695">
            <v>967</v>
          </cell>
          <cell r="F695">
            <v>9454.8320389499968</v>
          </cell>
          <cell r="H695">
            <v>967</v>
          </cell>
          <cell r="I695">
            <v>9454.8320389499968</v>
          </cell>
        </row>
        <row r="696">
          <cell r="B696">
            <v>969</v>
          </cell>
          <cell r="C696">
            <v>10591.156811899999</v>
          </cell>
          <cell r="E696">
            <v>969</v>
          </cell>
          <cell r="F696">
            <v>21683.709182069993</v>
          </cell>
          <cell r="H696">
            <v>969</v>
          </cell>
          <cell r="I696">
            <v>21683.709182069993</v>
          </cell>
        </row>
        <row r="697">
          <cell r="B697">
            <v>970</v>
          </cell>
          <cell r="C697">
            <v>2621.1229160300004</v>
          </cell>
          <cell r="E697">
            <v>970</v>
          </cell>
          <cell r="F697">
            <v>5982.2442442600013</v>
          </cell>
          <cell r="H697">
            <v>970</v>
          </cell>
          <cell r="I697">
            <v>5982.2442442600013</v>
          </cell>
        </row>
        <row r="698">
          <cell r="B698">
            <v>971</v>
          </cell>
          <cell r="C698">
            <v>7714.4818985899992</v>
          </cell>
          <cell r="E698">
            <v>971</v>
          </cell>
          <cell r="F698">
            <v>16101.290237019999</v>
          </cell>
          <cell r="H698">
            <v>971</v>
          </cell>
          <cell r="I698">
            <v>16101.290237019999</v>
          </cell>
        </row>
        <row r="699">
          <cell r="B699">
            <v>973</v>
          </cell>
          <cell r="C699">
            <v>4555.2230790499989</v>
          </cell>
          <cell r="E699">
            <v>973</v>
          </cell>
          <cell r="F699">
            <v>9898.6416074399986</v>
          </cell>
          <cell r="H699">
            <v>973</v>
          </cell>
          <cell r="I699">
            <v>9898.6416074399986</v>
          </cell>
        </row>
        <row r="700">
          <cell r="B700">
            <v>974</v>
          </cell>
          <cell r="C700">
            <v>5485.0961742299987</v>
          </cell>
          <cell r="E700">
            <v>974</v>
          </cell>
          <cell r="F700">
            <v>11543.853980360007</v>
          </cell>
          <cell r="H700">
            <v>974</v>
          </cell>
          <cell r="I700">
            <v>11543.853980360007</v>
          </cell>
        </row>
        <row r="701">
          <cell r="B701">
            <v>975</v>
          </cell>
          <cell r="C701">
            <v>5465.0305574100003</v>
          </cell>
          <cell r="E701">
            <v>975</v>
          </cell>
          <cell r="F701">
            <v>11114.446868209998</v>
          </cell>
          <cell r="H701">
            <v>975</v>
          </cell>
          <cell r="I701">
            <v>11114.446868209998</v>
          </cell>
        </row>
        <row r="702">
          <cell r="B702">
            <v>976</v>
          </cell>
          <cell r="C702">
            <v>12458.263663559996</v>
          </cell>
          <cell r="E702">
            <v>976</v>
          </cell>
          <cell r="F702">
            <v>27140.691086839986</v>
          </cell>
          <cell r="H702">
            <v>976</v>
          </cell>
          <cell r="I702">
            <v>27140.691086839986</v>
          </cell>
        </row>
        <row r="703">
          <cell r="B703">
            <v>977</v>
          </cell>
          <cell r="C703">
            <v>5254.1281827899993</v>
          </cell>
          <cell r="E703">
            <v>977</v>
          </cell>
          <cell r="F703">
            <v>11390.443697920005</v>
          </cell>
          <cell r="H703">
            <v>977</v>
          </cell>
          <cell r="I703">
            <v>11390.443697920005</v>
          </cell>
        </row>
        <row r="704">
          <cell r="B704">
            <v>978</v>
          </cell>
          <cell r="C704">
            <v>4603.6277488199994</v>
          </cell>
          <cell r="E704">
            <v>978</v>
          </cell>
          <cell r="F704">
            <v>9611.6829156600015</v>
          </cell>
          <cell r="H704">
            <v>978</v>
          </cell>
          <cell r="I704">
            <v>9611.6829156600015</v>
          </cell>
        </row>
        <row r="705">
          <cell r="B705">
            <v>979</v>
          </cell>
          <cell r="C705">
            <v>2250.2137362400003</v>
          </cell>
          <cell r="E705">
            <v>979</v>
          </cell>
          <cell r="F705">
            <v>4622.0509165999993</v>
          </cell>
          <cell r="H705">
            <v>979</v>
          </cell>
          <cell r="I705">
            <v>4622.0509165999993</v>
          </cell>
        </row>
        <row r="706">
          <cell r="B706">
            <v>980</v>
          </cell>
          <cell r="C706">
            <v>1676.5129106799995</v>
          </cell>
          <cell r="E706">
            <v>980</v>
          </cell>
          <cell r="F706">
            <v>3476.9396352100007</v>
          </cell>
          <cell r="H706">
            <v>980</v>
          </cell>
          <cell r="I706">
            <v>3476.9396352100007</v>
          </cell>
        </row>
        <row r="707">
          <cell r="B707">
            <v>982</v>
          </cell>
          <cell r="C707">
            <v>9888.9505511700008</v>
          </cell>
          <cell r="E707">
            <v>982</v>
          </cell>
          <cell r="F707">
            <v>21230.593267749995</v>
          </cell>
          <cell r="H707">
            <v>982</v>
          </cell>
          <cell r="I707">
            <v>21230.593267749995</v>
          </cell>
        </row>
        <row r="708">
          <cell r="B708">
            <v>984</v>
          </cell>
          <cell r="C708">
            <v>2840.8625409700007</v>
          </cell>
          <cell r="E708">
            <v>984</v>
          </cell>
          <cell r="F708">
            <v>6088.2053122399984</v>
          </cell>
          <cell r="H708">
            <v>984</v>
          </cell>
          <cell r="I708">
            <v>6088.2053122399984</v>
          </cell>
        </row>
        <row r="709">
          <cell r="B709">
            <v>985</v>
          </cell>
          <cell r="C709">
            <v>423.86685484000003</v>
          </cell>
          <cell r="E709">
            <v>985</v>
          </cell>
          <cell r="F709">
            <v>915.09030676999987</v>
          </cell>
          <cell r="H709">
            <v>985</v>
          </cell>
          <cell r="I709">
            <v>915.09030676999987</v>
          </cell>
        </row>
        <row r="710">
          <cell r="B710">
            <v>987</v>
          </cell>
          <cell r="C710">
            <v>3145.4230481800005</v>
          </cell>
          <cell r="E710">
            <v>987</v>
          </cell>
          <cell r="F710">
            <v>6506.7638291299982</v>
          </cell>
          <cell r="H710">
            <v>987</v>
          </cell>
          <cell r="I710">
            <v>6506.7638291299982</v>
          </cell>
        </row>
        <row r="711">
          <cell r="B711">
            <v>988</v>
          </cell>
          <cell r="C711">
            <v>4089.9210678799991</v>
          </cell>
          <cell r="E711">
            <v>988</v>
          </cell>
          <cell r="F711">
            <v>8424.9623953699993</v>
          </cell>
          <cell r="H711">
            <v>988</v>
          </cell>
          <cell r="I711">
            <v>8424.9623953699993</v>
          </cell>
        </row>
        <row r="712">
          <cell r="B712">
            <v>989</v>
          </cell>
          <cell r="C712">
            <v>1370.7069532999997</v>
          </cell>
          <cell r="E712">
            <v>989</v>
          </cell>
          <cell r="F712">
            <v>2849.6969943000004</v>
          </cell>
          <cell r="H712">
            <v>989</v>
          </cell>
          <cell r="I712">
            <v>2849.6969943000004</v>
          </cell>
        </row>
        <row r="713">
          <cell r="B713">
            <v>991</v>
          </cell>
          <cell r="C713">
            <v>9755.4908497500001</v>
          </cell>
          <cell r="E713">
            <v>991</v>
          </cell>
          <cell r="F713">
            <v>20062.001490330003</v>
          </cell>
          <cell r="H713">
            <v>991</v>
          </cell>
          <cell r="I713">
            <v>20062.001490330003</v>
          </cell>
        </row>
        <row r="714">
          <cell r="B714">
            <v>992</v>
          </cell>
          <cell r="C714">
            <v>4283.21054276</v>
          </cell>
          <cell r="E714">
            <v>992</v>
          </cell>
          <cell r="F714">
            <v>9212.4485077900008</v>
          </cell>
          <cell r="H714">
            <v>992</v>
          </cell>
          <cell r="I714">
            <v>9212.4485077900008</v>
          </cell>
        </row>
        <row r="715">
          <cell r="B715">
            <v>994</v>
          </cell>
          <cell r="C715">
            <v>13757.262656090001</v>
          </cell>
          <cell r="E715">
            <v>994</v>
          </cell>
          <cell r="F715">
            <v>28778.27105484001</v>
          </cell>
          <cell r="H715">
            <v>994</v>
          </cell>
          <cell r="I715">
            <v>28778.27105484001</v>
          </cell>
        </row>
        <row r="716">
          <cell r="B716">
            <v>996</v>
          </cell>
          <cell r="C716">
            <v>3484.7103960099998</v>
          </cell>
          <cell r="E716">
            <v>996</v>
          </cell>
          <cell r="F716">
            <v>7148.1947337400015</v>
          </cell>
          <cell r="H716">
            <v>996</v>
          </cell>
          <cell r="I716">
            <v>7148.1947337400015</v>
          </cell>
        </row>
        <row r="717">
          <cell r="B717">
            <v>997</v>
          </cell>
          <cell r="C717">
            <v>2998.1097439700002</v>
          </cell>
          <cell r="E717">
            <v>997</v>
          </cell>
          <cell r="F717">
            <v>6417.0018156399992</v>
          </cell>
          <cell r="H717">
            <v>997</v>
          </cell>
          <cell r="I717">
            <v>6417.0018156399992</v>
          </cell>
        </row>
        <row r="718">
          <cell r="B718">
            <v>1002</v>
          </cell>
          <cell r="C718">
            <v>5926.643759659999</v>
          </cell>
          <cell r="E718">
            <v>1002</v>
          </cell>
          <cell r="F718">
            <v>12393.606428060004</v>
          </cell>
          <cell r="H718">
            <v>1002</v>
          </cell>
          <cell r="I718">
            <v>12393.606428060004</v>
          </cell>
        </row>
        <row r="719">
          <cell r="B719">
            <v>1003</v>
          </cell>
          <cell r="C719">
            <v>4578.2180231500006</v>
          </cell>
          <cell r="E719">
            <v>1003</v>
          </cell>
          <cell r="F719">
            <v>9829.8844557499961</v>
          </cell>
          <cell r="H719">
            <v>1003</v>
          </cell>
          <cell r="I719">
            <v>9829.8844557499961</v>
          </cell>
        </row>
        <row r="720">
          <cell r="B720">
            <v>1004</v>
          </cell>
          <cell r="C720">
            <v>1204.4942234999999</v>
          </cell>
          <cell r="E720">
            <v>1004</v>
          </cell>
          <cell r="F720">
            <v>2178.761785650001</v>
          </cell>
          <cell r="H720">
            <v>1004</v>
          </cell>
          <cell r="I720">
            <v>2178.761785650001</v>
          </cell>
        </row>
        <row r="721">
          <cell r="B721">
            <v>1005</v>
          </cell>
          <cell r="C721">
            <v>5529.2716626900001</v>
          </cell>
          <cell r="E721">
            <v>1005</v>
          </cell>
          <cell r="F721">
            <v>11314.583241660002</v>
          </cell>
          <cell r="H721">
            <v>1005</v>
          </cell>
          <cell r="I721">
            <v>11314.583241660002</v>
          </cell>
        </row>
        <row r="722">
          <cell r="B722">
            <v>1006</v>
          </cell>
          <cell r="C722">
            <v>5860.0186962799999</v>
          </cell>
          <cell r="E722">
            <v>1006</v>
          </cell>
          <cell r="F722">
            <v>12307.279580320006</v>
          </cell>
          <cell r="H722">
            <v>1006</v>
          </cell>
          <cell r="I722">
            <v>12307.279580320006</v>
          </cell>
        </row>
        <row r="723">
          <cell r="B723">
            <v>1007</v>
          </cell>
          <cell r="C723">
            <v>13407.683853130002</v>
          </cell>
          <cell r="E723">
            <v>1007</v>
          </cell>
          <cell r="F723">
            <v>28542.165382089996</v>
          </cell>
          <cell r="H723">
            <v>1007</v>
          </cell>
          <cell r="I723">
            <v>28542.165382089996</v>
          </cell>
        </row>
        <row r="724">
          <cell r="B724">
            <v>1009</v>
          </cell>
          <cell r="C724">
            <v>1110.5698447999994</v>
          </cell>
          <cell r="E724">
            <v>1009</v>
          </cell>
          <cell r="F724">
            <v>2220.6178667400013</v>
          </cell>
          <cell r="H724">
            <v>1009</v>
          </cell>
          <cell r="I724">
            <v>2220.6178667400013</v>
          </cell>
        </row>
        <row r="725">
          <cell r="B725">
            <v>1010</v>
          </cell>
          <cell r="C725">
            <v>1540.2499315900002</v>
          </cell>
          <cell r="E725">
            <v>1010</v>
          </cell>
          <cell r="F725">
            <v>3167.6549495599997</v>
          </cell>
          <cell r="H725">
            <v>1010</v>
          </cell>
          <cell r="I725">
            <v>3167.6549495599997</v>
          </cell>
        </row>
        <row r="726">
          <cell r="B726">
            <v>1011</v>
          </cell>
          <cell r="C726">
            <v>15483.725501370003</v>
          </cell>
          <cell r="E726">
            <v>1011</v>
          </cell>
          <cell r="F726">
            <v>33417.336337680012</v>
          </cell>
          <cell r="H726">
            <v>1011</v>
          </cell>
          <cell r="I726">
            <v>33417.336337680012</v>
          </cell>
        </row>
        <row r="727">
          <cell r="B727">
            <v>1015</v>
          </cell>
          <cell r="C727">
            <v>13024.270146890001</v>
          </cell>
          <cell r="E727">
            <v>1015</v>
          </cell>
          <cell r="F727">
            <v>26803.844980849997</v>
          </cell>
          <cell r="H727">
            <v>1015</v>
          </cell>
          <cell r="I727">
            <v>26803.844980849997</v>
          </cell>
        </row>
        <row r="728">
          <cell r="B728">
            <v>1016</v>
          </cell>
          <cell r="C728">
            <v>3954.5229333400002</v>
          </cell>
          <cell r="E728">
            <v>1016</v>
          </cell>
          <cell r="F728">
            <v>8548.3126017500017</v>
          </cell>
          <cell r="H728">
            <v>1016</v>
          </cell>
          <cell r="I728">
            <v>8548.3126017500017</v>
          </cell>
        </row>
        <row r="729">
          <cell r="B729">
            <v>1017</v>
          </cell>
          <cell r="C729">
            <v>5113.5437111800011</v>
          </cell>
          <cell r="E729">
            <v>1017</v>
          </cell>
          <cell r="F729">
            <v>10885.528597750001</v>
          </cell>
          <cell r="H729">
            <v>1017</v>
          </cell>
          <cell r="I729">
            <v>10885.528597750001</v>
          </cell>
        </row>
        <row r="730">
          <cell r="B730">
            <v>1018</v>
          </cell>
          <cell r="C730">
            <v>13032.19569891</v>
          </cell>
          <cell r="E730">
            <v>1018</v>
          </cell>
          <cell r="F730">
            <v>24933.463765380009</v>
          </cell>
          <cell r="H730">
            <v>1018</v>
          </cell>
          <cell r="I730">
            <v>24933.463765380009</v>
          </cell>
        </row>
        <row r="731">
          <cell r="B731">
            <v>1019</v>
          </cell>
          <cell r="C731">
            <v>25690.610221949988</v>
          </cell>
          <cell r="E731">
            <v>1019</v>
          </cell>
          <cell r="F731">
            <v>58057.514525650011</v>
          </cell>
          <cell r="H731">
            <v>1019</v>
          </cell>
          <cell r="I731">
            <v>58057.514525650011</v>
          </cell>
        </row>
        <row r="732">
          <cell r="B732">
            <v>1021</v>
          </cell>
          <cell r="C732">
            <v>6477.2173456499986</v>
          </cell>
          <cell r="E732">
            <v>1021</v>
          </cell>
          <cell r="F732">
            <v>14704.280523270003</v>
          </cell>
          <cell r="H732">
            <v>1021</v>
          </cell>
          <cell r="I732">
            <v>14704.280523270003</v>
          </cell>
        </row>
        <row r="733">
          <cell r="B733">
            <v>1023</v>
          </cell>
          <cell r="C733">
            <v>6874.2900882399999</v>
          </cell>
          <cell r="E733">
            <v>1023</v>
          </cell>
          <cell r="F733">
            <v>14419.811898170003</v>
          </cell>
          <cell r="H733">
            <v>1023</v>
          </cell>
          <cell r="I733">
            <v>14419.811898170003</v>
          </cell>
        </row>
        <row r="734">
          <cell r="B734">
            <v>1025</v>
          </cell>
          <cell r="C734">
            <v>24198.08074714</v>
          </cell>
          <cell r="E734">
            <v>1025</v>
          </cell>
          <cell r="F734">
            <v>50390.057972570037</v>
          </cell>
          <cell r="H734">
            <v>1025</v>
          </cell>
          <cell r="I734">
            <v>50390.057972570037</v>
          </cell>
        </row>
        <row r="735">
          <cell r="B735">
            <v>1028</v>
          </cell>
          <cell r="C735">
            <v>353.68888053000006</v>
          </cell>
          <cell r="E735">
            <v>1028</v>
          </cell>
          <cell r="F735">
            <v>851.05465431999983</v>
          </cell>
          <cell r="H735">
            <v>1028</v>
          </cell>
          <cell r="I735">
            <v>851.05465431999983</v>
          </cell>
        </row>
        <row r="736">
          <cell r="B736">
            <v>1030</v>
          </cell>
          <cell r="C736">
            <v>1848.3601369400003</v>
          </cell>
          <cell r="E736">
            <v>1030</v>
          </cell>
          <cell r="F736">
            <v>3510.9350240900003</v>
          </cell>
          <cell r="H736">
            <v>1030</v>
          </cell>
          <cell r="I736">
            <v>3510.9350240900003</v>
          </cell>
        </row>
        <row r="737">
          <cell r="B737">
            <v>1032</v>
          </cell>
          <cell r="C737">
            <v>3265.4662715099998</v>
          </cell>
          <cell r="E737">
            <v>1032</v>
          </cell>
          <cell r="F737">
            <v>6906.009855979999</v>
          </cell>
          <cell r="H737">
            <v>1032</v>
          </cell>
          <cell r="I737">
            <v>6906.009855979999</v>
          </cell>
        </row>
        <row r="738">
          <cell r="B738">
            <v>1033</v>
          </cell>
          <cell r="C738">
            <v>3749.7858275500007</v>
          </cell>
          <cell r="E738">
            <v>1033</v>
          </cell>
          <cell r="F738">
            <v>7501.4400889400004</v>
          </cell>
          <cell r="H738">
            <v>1033</v>
          </cell>
          <cell r="I738">
            <v>7501.4400889400004</v>
          </cell>
        </row>
        <row r="739">
          <cell r="B739">
            <v>1035</v>
          </cell>
          <cell r="C739">
            <v>4443.6499678199998</v>
          </cell>
          <cell r="E739">
            <v>1035</v>
          </cell>
          <cell r="F739">
            <v>9874.0570138999992</v>
          </cell>
          <cell r="H739">
            <v>1035</v>
          </cell>
          <cell r="I739">
            <v>9874.0570138999992</v>
          </cell>
        </row>
        <row r="740">
          <cell r="B740">
            <v>1036</v>
          </cell>
          <cell r="C740">
            <v>1701.62104901</v>
          </cell>
          <cell r="E740">
            <v>1036</v>
          </cell>
          <cell r="F740">
            <v>3559.65590161</v>
          </cell>
          <cell r="H740">
            <v>1036</v>
          </cell>
          <cell r="I740">
            <v>3559.65590161</v>
          </cell>
        </row>
        <row r="741">
          <cell r="B741">
            <v>1037</v>
          </cell>
          <cell r="C741">
            <v>1838.5500538000001</v>
          </cell>
          <cell r="E741">
            <v>1037</v>
          </cell>
          <cell r="F741">
            <v>3681.3354048400001</v>
          </cell>
          <cell r="H741">
            <v>1037</v>
          </cell>
          <cell r="I741">
            <v>3681.3354048400001</v>
          </cell>
        </row>
        <row r="742">
          <cell r="B742">
            <v>1039</v>
          </cell>
          <cell r="C742">
            <v>5287.4773975100006</v>
          </cell>
          <cell r="E742">
            <v>1039</v>
          </cell>
          <cell r="F742">
            <v>10839.249690609999</v>
          </cell>
          <cell r="H742">
            <v>1039</v>
          </cell>
          <cell r="I742">
            <v>10839.249690609999</v>
          </cell>
        </row>
        <row r="743">
          <cell r="B743">
            <v>1040</v>
          </cell>
          <cell r="C743">
            <v>22258.889639449997</v>
          </cell>
          <cell r="E743">
            <v>1040</v>
          </cell>
          <cell r="F743">
            <v>48048.954339069998</v>
          </cell>
          <cell r="H743">
            <v>1040</v>
          </cell>
          <cell r="I743">
            <v>48048.954339069998</v>
          </cell>
        </row>
        <row r="744">
          <cell r="B744">
            <v>1041</v>
          </cell>
          <cell r="C744">
            <v>1662.5248797300001</v>
          </cell>
          <cell r="E744">
            <v>1041</v>
          </cell>
          <cell r="F744">
            <v>4264.9017902500009</v>
          </cell>
          <cell r="H744">
            <v>1041</v>
          </cell>
          <cell r="I744">
            <v>4264.9017902500009</v>
          </cell>
        </row>
        <row r="745">
          <cell r="B745">
            <v>1043</v>
          </cell>
          <cell r="C745">
            <v>6691.1959022999999</v>
          </cell>
          <cell r="E745">
            <v>1043</v>
          </cell>
          <cell r="F745">
            <v>13859.96552387</v>
          </cell>
          <cell r="H745">
            <v>1043</v>
          </cell>
          <cell r="I745">
            <v>13859.96552387</v>
          </cell>
        </row>
        <row r="746">
          <cell r="B746">
            <v>1045</v>
          </cell>
          <cell r="C746">
            <v>8813.2779218499982</v>
          </cell>
          <cell r="E746">
            <v>1045</v>
          </cell>
          <cell r="F746">
            <v>18260.617486470004</v>
          </cell>
          <cell r="H746">
            <v>1045</v>
          </cell>
          <cell r="I746">
            <v>18260.617486470004</v>
          </cell>
        </row>
        <row r="747">
          <cell r="B747">
            <v>1046</v>
          </cell>
          <cell r="C747">
            <v>5505.3960273200018</v>
          </cell>
          <cell r="E747">
            <v>1046</v>
          </cell>
          <cell r="F747">
            <v>11528.104391809997</v>
          </cell>
          <cell r="H747">
            <v>1046</v>
          </cell>
          <cell r="I747">
            <v>11528.104391809997</v>
          </cell>
        </row>
        <row r="748">
          <cell r="B748">
            <v>1047</v>
          </cell>
          <cell r="C748">
            <v>2667.7459916800003</v>
          </cell>
          <cell r="E748">
            <v>1047</v>
          </cell>
          <cell r="F748">
            <v>5591.9481703599995</v>
          </cell>
          <cell r="H748">
            <v>1047</v>
          </cell>
          <cell r="I748">
            <v>5591.9481703599995</v>
          </cell>
        </row>
        <row r="749">
          <cell r="B749">
            <v>1049</v>
          </cell>
          <cell r="C749">
            <v>9289.5545566099972</v>
          </cell>
          <cell r="E749">
            <v>1049</v>
          </cell>
          <cell r="F749">
            <v>19981.00344085</v>
          </cell>
          <cell r="H749">
            <v>1049</v>
          </cell>
          <cell r="I749">
            <v>19981.00344085</v>
          </cell>
        </row>
        <row r="750">
          <cell r="B750">
            <v>1050</v>
          </cell>
          <cell r="C750">
            <v>1646.2403876900003</v>
          </cell>
          <cell r="E750">
            <v>1050</v>
          </cell>
          <cell r="F750">
            <v>3607.0331408599991</v>
          </cell>
          <cell r="H750">
            <v>1050</v>
          </cell>
          <cell r="I750">
            <v>3607.0331408599991</v>
          </cell>
        </row>
        <row r="751">
          <cell r="B751">
            <v>1051</v>
          </cell>
          <cell r="C751">
            <v>2914.0201618000006</v>
          </cell>
          <cell r="E751">
            <v>1051</v>
          </cell>
          <cell r="F751">
            <v>6402.1229816699979</v>
          </cell>
          <cell r="H751">
            <v>1051</v>
          </cell>
          <cell r="I751">
            <v>6402.1229816699979</v>
          </cell>
        </row>
        <row r="752">
          <cell r="B752">
            <v>1053</v>
          </cell>
          <cell r="C752">
            <v>5313.6056086900007</v>
          </cell>
          <cell r="E752">
            <v>1053</v>
          </cell>
          <cell r="F752">
            <v>11058.271300210001</v>
          </cell>
          <cell r="H752">
            <v>1053</v>
          </cell>
          <cell r="I752">
            <v>11058.271300210001</v>
          </cell>
        </row>
        <row r="753">
          <cell r="B753">
            <v>1054</v>
          </cell>
          <cell r="C753">
            <v>11324.69933723</v>
          </cell>
          <cell r="E753">
            <v>1054</v>
          </cell>
          <cell r="F753">
            <v>24869.937524690002</v>
          </cell>
          <cell r="H753">
            <v>1054</v>
          </cell>
          <cell r="I753">
            <v>24869.937524690002</v>
          </cell>
        </row>
        <row r="754">
          <cell r="B754">
            <v>1056</v>
          </cell>
          <cell r="C754">
            <v>659.46315371999992</v>
          </cell>
          <cell r="E754">
            <v>1056</v>
          </cell>
          <cell r="F754">
            <v>1369.2491478400004</v>
          </cell>
          <cell r="H754">
            <v>1056</v>
          </cell>
          <cell r="I754">
            <v>1369.2491478400004</v>
          </cell>
        </row>
        <row r="755">
          <cell r="B755">
            <v>1060</v>
          </cell>
          <cell r="C755">
            <v>11659.79799728</v>
          </cell>
          <cell r="E755">
            <v>1060</v>
          </cell>
          <cell r="F755">
            <v>25664.352327680001</v>
          </cell>
          <cell r="H755">
            <v>1060</v>
          </cell>
          <cell r="I755">
            <v>25664.352327680001</v>
          </cell>
        </row>
        <row r="756">
          <cell r="B756">
            <v>1061</v>
          </cell>
          <cell r="C756">
            <v>10283.95953366</v>
          </cell>
          <cell r="E756">
            <v>1061</v>
          </cell>
          <cell r="F756">
            <v>21205.118244560002</v>
          </cell>
          <cell r="H756">
            <v>1061</v>
          </cell>
          <cell r="I756">
            <v>21205.118244560002</v>
          </cell>
        </row>
        <row r="757">
          <cell r="B757">
            <v>1062</v>
          </cell>
          <cell r="C757">
            <v>1877.8197897500002</v>
          </cell>
          <cell r="E757">
            <v>1062</v>
          </cell>
          <cell r="F757">
            <v>4020.1437873300001</v>
          </cell>
          <cell r="H757">
            <v>1062</v>
          </cell>
          <cell r="I757">
            <v>4020.1437873300001</v>
          </cell>
        </row>
        <row r="758">
          <cell r="B758">
            <v>1063</v>
          </cell>
          <cell r="C758">
            <v>4520.8876627500003</v>
          </cell>
          <cell r="E758">
            <v>1063</v>
          </cell>
          <cell r="F758">
            <v>9452.9313243599991</v>
          </cell>
          <cell r="H758">
            <v>1063</v>
          </cell>
          <cell r="I758">
            <v>9452.9313243599991</v>
          </cell>
        </row>
        <row r="759">
          <cell r="B759">
            <v>1064</v>
          </cell>
          <cell r="C759">
            <v>10126.114715810003</v>
          </cell>
          <cell r="E759">
            <v>1064</v>
          </cell>
          <cell r="F759">
            <v>21800.798383990004</v>
          </cell>
          <cell r="H759">
            <v>1064</v>
          </cell>
          <cell r="I759">
            <v>21800.798383990004</v>
          </cell>
        </row>
        <row r="760">
          <cell r="B760">
            <v>1066</v>
          </cell>
          <cell r="C760">
            <v>7899.0437198299996</v>
          </cell>
          <cell r="E760">
            <v>1066</v>
          </cell>
          <cell r="F760">
            <v>16603.479699929998</v>
          </cell>
          <cell r="H760">
            <v>1066</v>
          </cell>
          <cell r="I760">
            <v>16603.479699929998</v>
          </cell>
        </row>
        <row r="761">
          <cell r="B761">
            <v>1067</v>
          </cell>
          <cell r="C761">
            <v>5206.1485947700003</v>
          </cell>
          <cell r="E761">
            <v>1067</v>
          </cell>
          <cell r="F761">
            <v>10897.207390550004</v>
          </cell>
          <cell r="H761">
            <v>1067</v>
          </cell>
          <cell r="I761">
            <v>10897.207390550004</v>
          </cell>
        </row>
        <row r="762">
          <cell r="B762">
            <v>1068</v>
          </cell>
          <cell r="C762">
            <v>696.79030780999983</v>
          </cell>
          <cell r="E762">
            <v>1068</v>
          </cell>
          <cell r="F762">
            <v>1508.4344806299994</v>
          </cell>
          <cell r="H762">
            <v>1068</v>
          </cell>
          <cell r="I762">
            <v>1508.4344806299994</v>
          </cell>
        </row>
        <row r="763">
          <cell r="B763">
            <v>1071</v>
          </cell>
          <cell r="C763">
            <v>2926.8396174300001</v>
          </cell>
          <cell r="E763">
            <v>1071</v>
          </cell>
          <cell r="F763">
            <v>6433.6427699800006</v>
          </cell>
          <cell r="H763">
            <v>1071</v>
          </cell>
          <cell r="I763">
            <v>6433.6427699800006</v>
          </cell>
        </row>
        <row r="764">
          <cell r="B764">
            <v>1072</v>
          </cell>
          <cell r="C764">
            <v>6889.2749846100023</v>
          </cell>
          <cell r="E764">
            <v>1072</v>
          </cell>
          <cell r="F764">
            <v>14899.648485529997</v>
          </cell>
          <cell r="H764">
            <v>1072</v>
          </cell>
          <cell r="I764">
            <v>14899.648485529997</v>
          </cell>
        </row>
        <row r="765">
          <cell r="B765">
            <v>1075</v>
          </cell>
          <cell r="C765">
            <v>10057.374099900002</v>
          </cell>
          <cell r="E765">
            <v>1075</v>
          </cell>
          <cell r="F765">
            <v>21774.814830099989</v>
          </cell>
          <cell r="H765">
            <v>1075</v>
          </cell>
          <cell r="I765">
            <v>21774.814830099989</v>
          </cell>
        </row>
        <row r="766">
          <cell r="B766">
            <v>1076</v>
          </cell>
          <cell r="C766">
            <v>24329.840824029998</v>
          </cell>
          <cell r="E766">
            <v>1076</v>
          </cell>
          <cell r="F766">
            <v>49704.095993049996</v>
          </cell>
          <cell r="H766">
            <v>1076</v>
          </cell>
          <cell r="I766">
            <v>49704.095993049996</v>
          </cell>
        </row>
        <row r="767">
          <cell r="B767">
            <v>1078</v>
          </cell>
          <cell r="C767">
            <v>5356.9244999499988</v>
          </cell>
          <cell r="E767">
            <v>1078</v>
          </cell>
          <cell r="F767">
            <v>11296.615550089997</v>
          </cell>
          <cell r="H767">
            <v>1078</v>
          </cell>
          <cell r="I767">
            <v>11296.615550089997</v>
          </cell>
        </row>
        <row r="768">
          <cell r="B768">
            <v>1079</v>
          </cell>
          <cell r="C768">
            <v>2120.0308766299995</v>
          </cell>
          <cell r="E768">
            <v>1079</v>
          </cell>
          <cell r="F768">
            <v>4666.7304131899991</v>
          </cell>
          <cell r="H768">
            <v>1079</v>
          </cell>
          <cell r="I768">
            <v>4666.7304131899991</v>
          </cell>
        </row>
        <row r="769">
          <cell r="B769">
            <v>1080</v>
          </cell>
          <cell r="C769">
            <v>8056.2095935399993</v>
          </cell>
          <cell r="E769">
            <v>1080</v>
          </cell>
          <cell r="F769">
            <v>17335.273197409995</v>
          </cell>
          <cell r="H769">
            <v>1080</v>
          </cell>
          <cell r="I769">
            <v>17335.273197409995</v>
          </cell>
        </row>
        <row r="770">
          <cell r="B770">
            <v>1082</v>
          </cell>
          <cell r="C770">
            <v>4144.3844364500001</v>
          </cell>
          <cell r="E770">
            <v>1082</v>
          </cell>
          <cell r="F770">
            <v>9305.783862430002</v>
          </cell>
          <cell r="H770">
            <v>1082</v>
          </cell>
          <cell r="I770">
            <v>9305.783862430002</v>
          </cell>
        </row>
        <row r="771">
          <cell r="B771">
            <v>1084</v>
          </cell>
          <cell r="C771">
            <v>13032.340089679999</v>
          </cell>
          <cell r="E771">
            <v>1084</v>
          </cell>
          <cell r="F771">
            <v>27101.966943429998</v>
          </cell>
          <cell r="H771">
            <v>1084</v>
          </cell>
          <cell r="I771">
            <v>27101.966943429998</v>
          </cell>
        </row>
        <row r="772">
          <cell r="B772">
            <v>1085</v>
          </cell>
          <cell r="C772">
            <v>1314.8522349099999</v>
          </cell>
          <cell r="E772">
            <v>1085</v>
          </cell>
          <cell r="F772">
            <v>2731.2874007700007</v>
          </cell>
          <cell r="H772">
            <v>1085</v>
          </cell>
          <cell r="I772">
            <v>2731.2874007700007</v>
          </cell>
        </row>
        <row r="773">
          <cell r="B773">
            <v>1088</v>
          </cell>
          <cell r="C773">
            <v>11824.205370250002</v>
          </cell>
          <cell r="E773">
            <v>1088</v>
          </cell>
          <cell r="F773">
            <v>24714.620232750003</v>
          </cell>
          <cell r="H773">
            <v>1088</v>
          </cell>
          <cell r="I773">
            <v>24714.620232750003</v>
          </cell>
        </row>
        <row r="774">
          <cell r="B774">
            <v>1089</v>
          </cell>
          <cell r="C774">
            <v>7230.8759245699994</v>
          </cell>
          <cell r="E774">
            <v>1089</v>
          </cell>
          <cell r="F774">
            <v>15254.488482659995</v>
          </cell>
          <cell r="H774">
            <v>1089</v>
          </cell>
          <cell r="I774">
            <v>15254.488482659995</v>
          </cell>
        </row>
        <row r="775">
          <cell r="B775">
            <v>1092</v>
          </cell>
          <cell r="C775">
            <v>5304.313285289998</v>
          </cell>
          <cell r="E775">
            <v>1092</v>
          </cell>
          <cell r="F775">
            <v>10982.651677480002</v>
          </cell>
          <cell r="H775">
            <v>1092</v>
          </cell>
          <cell r="I775">
            <v>10982.651677480002</v>
          </cell>
        </row>
        <row r="776">
          <cell r="B776">
            <v>1094</v>
          </cell>
          <cell r="C776">
            <v>3062.3729710100001</v>
          </cell>
          <cell r="E776">
            <v>1094</v>
          </cell>
          <cell r="F776">
            <v>6354.2490564400014</v>
          </cell>
          <cell r="H776">
            <v>1094</v>
          </cell>
          <cell r="I776">
            <v>6354.2490564400014</v>
          </cell>
        </row>
        <row r="777">
          <cell r="B777">
            <v>1095</v>
          </cell>
          <cell r="C777">
            <v>4887.4732886399997</v>
          </cell>
          <cell r="E777">
            <v>1095</v>
          </cell>
          <cell r="F777">
            <v>10351.758521509999</v>
          </cell>
          <cell r="H777">
            <v>1095</v>
          </cell>
          <cell r="I777">
            <v>10351.758521509999</v>
          </cell>
        </row>
        <row r="778">
          <cell r="B778">
            <v>1096</v>
          </cell>
          <cell r="C778">
            <v>308.02920634000003</v>
          </cell>
          <cell r="E778">
            <v>1096</v>
          </cell>
          <cell r="F778">
            <v>644.89691701000027</v>
          </cell>
          <cell r="H778">
            <v>1096</v>
          </cell>
          <cell r="I778">
            <v>644.89691701000027</v>
          </cell>
        </row>
        <row r="779">
          <cell r="B779">
            <v>1097</v>
          </cell>
          <cell r="C779">
            <v>8581.794555530003</v>
          </cell>
          <cell r="E779">
            <v>1097</v>
          </cell>
          <cell r="F779">
            <v>18532.075774719997</v>
          </cell>
          <cell r="H779">
            <v>1097</v>
          </cell>
          <cell r="I779">
            <v>18532.075774719997</v>
          </cell>
        </row>
        <row r="780">
          <cell r="B780">
            <v>1098</v>
          </cell>
          <cell r="C780">
            <v>3896.1901938399997</v>
          </cell>
          <cell r="E780">
            <v>1098</v>
          </cell>
          <cell r="F780">
            <v>7966.3379961099999</v>
          </cell>
          <cell r="H780">
            <v>1098</v>
          </cell>
          <cell r="I780">
            <v>7966.3379961099999</v>
          </cell>
        </row>
        <row r="781">
          <cell r="B781">
            <v>1099</v>
          </cell>
          <cell r="C781">
            <v>3386.3812323700004</v>
          </cell>
          <cell r="E781">
            <v>1099</v>
          </cell>
          <cell r="F781">
            <v>7858.846882169998</v>
          </cell>
          <cell r="H781">
            <v>1099</v>
          </cell>
          <cell r="I781">
            <v>7858.846882169998</v>
          </cell>
        </row>
        <row r="782">
          <cell r="B782">
            <v>1101</v>
          </cell>
          <cell r="C782">
            <v>6174.2993108500013</v>
          </cell>
          <cell r="E782">
            <v>1101</v>
          </cell>
          <cell r="F782">
            <v>13245.922978209997</v>
          </cell>
          <cell r="H782">
            <v>1101</v>
          </cell>
          <cell r="I782">
            <v>13245.922978209997</v>
          </cell>
        </row>
        <row r="783">
          <cell r="B783">
            <v>1102</v>
          </cell>
          <cell r="C783">
            <v>12797.545945289998</v>
          </cell>
          <cell r="E783">
            <v>1102</v>
          </cell>
          <cell r="F783">
            <v>26637.393252820009</v>
          </cell>
          <cell r="H783">
            <v>1102</v>
          </cell>
          <cell r="I783">
            <v>26637.393252820009</v>
          </cell>
        </row>
        <row r="784">
          <cell r="B784">
            <v>1103</v>
          </cell>
          <cell r="C784">
            <v>6001.3663931800002</v>
          </cell>
          <cell r="E784">
            <v>1103</v>
          </cell>
          <cell r="F784">
            <v>12740.131171140005</v>
          </cell>
          <cell r="H784">
            <v>1103</v>
          </cell>
          <cell r="I784">
            <v>12740.131171140005</v>
          </cell>
        </row>
        <row r="785">
          <cell r="B785">
            <v>1104</v>
          </cell>
          <cell r="C785">
            <v>11741.728151200001</v>
          </cell>
          <cell r="E785">
            <v>1104</v>
          </cell>
          <cell r="F785">
            <v>24458.29953765</v>
          </cell>
          <cell r="H785">
            <v>1104</v>
          </cell>
          <cell r="I785">
            <v>24458.29953765</v>
          </cell>
        </row>
        <row r="786">
          <cell r="B786">
            <v>1106</v>
          </cell>
          <cell r="C786">
            <v>6282.4690769800009</v>
          </cell>
          <cell r="E786">
            <v>1106</v>
          </cell>
          <cell r="F786">
            <v>13574.7580664</v>
          </cell>
          <cell r="H786">
            <v>1106</v>
          </cell>
          <cell r="I786">
            <v>13574.7580664</v>
          </cell>
        </row>
        <row r="787">
          <cell r="B787">
            <v>1107</v>
          </cell>
          <cell r="C787">
            <v>4913.9258853800002</v>
          </cell>
          <cell r="E787">
            <v>1107</v>
          </cell>
          <cell r="F787">
            <v>9936.9258033000006</v>
          </cell>
          <cell r="H787">
            <v>1107</v>
          </cell>
          <cell r="I787">
            <v>9936.9258033000006</v>
          </cell>
        </row>
        <row r="788">
          <cell r="B788">
            <v>1108</v>
          </cell>
          <cell r="C788">
            <v>3948.9371695799996</v>
          </cell>
          <cell r="E788">
            <v>1108</v>
          </cell>
          <cell r="F788">
            <v>8293.7869528399988</v>
          </cell>
          <cell r="H788">
            <v>1108</v>
          </cell>
          <cell r="I788">
            <v>8293.7869528399988</v>
          </cell>
        </row>
        <row r="789">
          <cell r="B789">
            <v>1109</v>
          </cell>
          <cell r="C789">
            <v>8162.2295092200002</v>
          </cell>
          <cell r="E789">
            <v>1109</v>
          </cell>
          <cell r="F789">
            <v>17317.46553569</v>
          </cell>
          <cell r="H789">
            <v>1109</v>
          </cell>
          <cell r="I789">
            <v>17317.46553569</v>
          </cell>
        </row>
        <row r="790">
          <cell r="B790">
            <v>1110</v>
          </cell>
          <cell r="C790">
            <v>19806.759658220002</v>
          </cell>
          <cell r="E790">
            <v>1110</v>
          </cell>
          <cell r="F790">
            <v>41405.82801075001</v>
          </cell>
          <cell r="H790">
            <v>1110</v>
          </cell>
          <cell r="I790">
            <v>41405.82801075001</v>
          </cell>
        </row>
        <row r="791">
          <cell r="B791">
            <v>1111</v>
          </cell>
          <cell r="C791">
            <v>1254.2595513399999</v>
          </cell>
          <cell r="E791">
            <v>1111</v>
          </cell>
          <cell r="F791">
            <v>2636.3800727399998</v>
          </cell>
          <cell r="H791">
            <v>1111</v>
          </cell>
          <cell r="I791">
            <v>2636.3800727399998</v>
          </cell>
        </row>
        <row r="792">
          <cell r="B792">
            <v>1113</v>
          </cell>
          <cell r="C792">
            <v>31037.111230099996</v>
          </cell>
          <cell r="E792">
            <v>1113</v>
          </cell>
          <cell r="F792">
            <v>66233.963598869974</v>
          </cell>
          <cell r="H792">
            <v>1113</v>
          </cell>
          <cell r="I792">
            <v>66233.963598869974</v>
          </cell>
        </row>
        <row r="793">
          <cell r="B793">
            <v>1114</v>
          </cell>
          <cell r="C793">
            <v>8906.7162702900005</v>
          </cell>
          <cell r="E793">
            <v>1114</v>
          </cell>
          <cell r="F793">
            <v>19003.36080405</v>
          </cell>
          <cell r="H793">
            <v>1114</v>
          </cell>
          <cell r="I793">
            <v>19003.36080405</v>
          </cell>
        </row>
        <row r="794">
          <cell r="B794">
            <v>1115</v>
          </cell>
          <cell r="C794">
            <v>14207.750308439998</v>
          </cell>
          <cell r="E794">
            <v>1115</v>
          </cell>
          <cell r="F794">
            <v>29308.401265259992</v>
          </cell>
          <cell r="H794">
            <v>1115</v>
          </cell>
          <cell r="I794">
            <v>29308.401265259992</v>
          </cell>
        </row>
        <row r="795">
          <cell r="B795">
            <v>1116</v>
          </cell>
          <cell r="C795">
            <v>12422.25919522</v>
          </cell>
          <cell r="E795">
            <v>1116</v>
          </cell>
          <cell r="F795">
            <v>26215.258367899998</v>
          </cell>
          <cell r="H795">
            <v>1116</v>
          </cell>
          <cell r="I795">
            <v>26215.258367899998</v>
          </cell>
        </row>
        <row r="796">
          <cell r="B796">
            <v>1117</v>
          </cell>
          <cell r="C796">
            <v>7929.7061834500009</v>
          </cell>
          <cell r="E796">
            <v>1117</v>
          </cell>
          <cell r="F796">
            <v>16789.786648339999</v>
          </cell>
          <cell r="H796">
            <v>1117</v>
          </cell>
          <cell r="I796">
            <v>16789.786648339999</v>
          </cell>
        </row>
        <row r="797">
          <cell r="B797">
            <v>1118</v>
          </cell>
          <cell r="C797">
            <v>14115.292657940001</v>
          </cell>
          <cell r="E797">
            <v>1118</v>
          </cell>
          <cell r="F797">
            <v>29648.610977609995</v>
          </cell>
          <cell r="H797">
            <v>1118</v>
          </cell>
          <cell r="I797">
            <v>29648.610977609995</v>
          </cell>
        </row>
        <row r="798">
          <cell r="B798">
            <v>1119</v>
          </cell>
          <cell r="C798">
            <v>10542.894493159998</v>
          </cell>
          <cell r="E798">
            <v>1119</v>
          </cell>
          <cell r="F798">
            <v>22315.628594339996</v>
          </cell>
          <cell r="H798">
            <v>1119</v>
          </cell>
          <cell r="I798">
            <v>22315.628594339996</v>
          </cell>
        </row>
        <row r="799">
          <cell r="B799">
            <v>1120</v>
          </cell>
          <cell r="C799">
            <v>8279.907445310002</v>
          </cell>
          <cell r="E799">
            <v>1120</v>
          </cell>
          <cell r="F799">
            <v>17396.218577659994</v>
          </cell>
          <cell r="H799">
            <v>1120</v>
          </cell>
          <cell r="I799">
            <v>17396.218577659994</v>
          </cell>
        </row>
        <row r="800">
          <cell r="B800">
            <v>1123</v>
          </cell>
          <cell r="C800">
            <v>5123.3120209399995</v>
          </cell>
          <cell r="E800">
            <v>1123</v>
          </cell>
          <cell r="F800">
            <v>10705.001957019998</v>
          </cell>
          <cell r="H800">
            <v>1123</v>
          </cell>
          <cell r="I800">
            <v>10705.001957019998</v>
          </cell>
        </row>
        <row r="801">
          <cell r="B801">
            <v>1124</v>
          </cell>
          <cell r="C801">
            <v>13244.675749569995</v>
          </cell>
          <cell r="E801">
            <v>1124</v>
          </cell>
          <cell r="F801">
            <v>27832.945478390011</v>
          </cell>
          <cell r="H801">
            <v>1124</v>
          </cell>
          <cell r="I801">
            <v>27832.945478390011</v>
          </cell>
        </row>
        <row r="802">
          <cell r="B802">
            <v>1125</v>
          </cell>
          <cell r="C802">
            <v>3723.5727380399999</v>
          </cell>
          <cell r="E802">
            <v>1125</v>
          </cell>
          <cell r="F802">
            <v>7459.4615035699999</v>
          </cell>
          <cell r="H802">
            <v>1125</v>
          </cell>
          <cell r="I802">
            <v>7459.4615035699999</v>
          </cell>
        </row>
        <row r="803">
          <cell r="B803">
            <v>1126</v>
          </cell>
          <cell r="C803">
            <v>3993.6623256899998</v>
          </cell>
          <cell r="E803">
            <v>1126</v>
          </cell>
          <cell r="F803">
            <v>8424.3805051799991</v>
          </cell>
          <cell r="H803">
            <v>1126</v>
          </cell>
          <cell r="I803">
            <v>8424.3805051799991</v>
          </cell>
        </row>
        <row r="804">
          <cell r="B804">
            <v>1127</v>
          </cell>
          <cell r="C804">
            <v>2740.1732947399992</v>
          </cell>
          <cell r="E804">
            <v>1127</v>
          </cell>
          <cell r="F804">
            <v>6081.7674011900026</v>
          </cell>
          <cell r="H804">
            <v>1127</v>
          </cell>
          <cell r="I804">
            <v>6081.7674011900026</v>
          </cell>
        </row>
        <row r="805">
          <cell r="B805">
            <v>1128</v>
          </cell>
          <cell r="C805">
            <v>2084.3128769099999</v>
          </cell>
          <cell r="E805">
            <v>1128</v>
          </cell>
          <cell r="F805">
            <v>4216.451442999999</v>
          </cell>
          <cell r="H805">
            <v>1128</v>
          </cell>
          <cell r="I805">
            <v>4216.451442999999</v>
          </cell>
        </row>
        <row r="806">
          <cell r="B806">
            <v>1129</v>
          </cell>
          <cell r="C806">
            <v>2036.1847062100001</v>
          </cell>
          <cell r="E806">
            <v>1129</v>
          </cell>
          <cell r="F806">
            <v>4172.1008183700014</v>
          </cell>
          <cell r="H806">
            <v>1129</v>
          </cell>
          <cell r="I806">
            <v>4172.1008183700014</v>
          </cell>
        </row>
        <row r="807">
          <cell r="B807">
            <v>1130</v>
          </cell>
          <cell r="C807">
            <v>8488.0727308799997</v>
          </cell>
          <cell r="E807">
            <v>1130</v>
          </cell>
          <cell r="F807">
            <v>16970.077636239999</v>
          </cell>
          <cell r="H807">
            <v>1130</v>
          </cell>
          <cell r="I807">
            <v>16970.077636239999</v>
          </cell>
        </row>
        <row r="808">
          <cell r="B808">
            <v>1131</v>
          </cell>
          <cell r="C808">
            <v>4769.1538285199995</v>
          </cell>
          <cell r="E808">
            <v>1131</v>
          </cell>
          <cell r="F808">
            <v>10111.635931839995</v>
          </cell>
          <cell r="H808">
            <v>1131</v>
          </cell>
          <cell r="I808">
            <v>10111.635931839995</v>
          </cell>
        </row>
        <row r="809">
          <cell r="B809">
            <v>1133</v>
          </cell>
          <cell r="C809">
            <v>1603.4214884600003</v>
          </cell>
          <cell r="E809">
            <v>1133</v>
          </cell>
          <cell r="F809">
            <v>3570.6463168999999</v>
          </cell>
          <cell r="H809">
            <v>1133</v>
          </cell>
          <cell r="I809">
            <v>3570.6463168999999</v>
          </cell>
        </row>
        <row r="810">
          <cell r="B810">
            <v>1134</v>
          </cell>
          <cell r="C810">
            <v>1242.0124979700004</v>
          </cell>
          <cell r="E810">
            <v>1134</v>
          </cell>
          <cell r="F810">
            <v>2560.3451486999993</v>
          </cell>
          <cell r="H810">
            <v>1134</v>
          </cell>
          <cell r="I810">
            <v>2560.3451486999993</v>
          </cell>
        </row>
        <row r="811">
          <cell r="B811">
            <v>1135</v>
          </cell>
          <cell r="C811">
            <v>703.9315115500001</v>
          </cell>
          <cell r="E811">
            <v>1135</v>
          </cell>
          <cell r="F811">
            <v>1381.0832052300002</v>
          </cell>
          <cell r="H811">
            <v>1135</v>
          </cell>
          <cell r="I811">
            <v>1381.0832052300002</v>
          </cell>
        </row>
        <row r="812">
          <cell r="B812">
            <v>1136</v>
          </cell>
          <cell r="C812">
            <v>15228.192459649999</v>
          </cell>
          <cell r="E812">
            <v>1136</v>
          </cell>
          <cell r="F812">
            <v>33929.260621280002</v>
          </cell>
          <cell r="H812">
            <v>1136</v>
          </cell>
          <cell r="I812">
            <v>33929.260621280002</v>
          </cell>
        </row>
        <row r="813">
          <cell r="B813">
            <v>1137</v>
          </cell>
          <cell r="C813">
            <v>1730.2478941000002</v>
          </cell>
          <cell r="E813">
            <v>1137</v>
          </cell>
          <cell r="F813">
            <v>3849.2090631700012</v>
          </cell>
          <cell r="H813">
            <v>1137</v>
          </cell>
          <cell r="I813">
            <v>3849.2090631700012</v>
          </cell>
        </row>
        <row r="814">
          <cell r="B814">
            <v>1139</v>
          </cell>
          <cell r="C814">
            <v>4951.4033630699987</v>
          </cell>
          <cell r="E814">
            <v>1139</v>
          </cell>
          <cell r="F814">
            <v>10504.83731975</v>
          </cell>
          <cell r="H814">
            <v>1139</v>
          </cell>
          <cell r="I814">
            <v>10504.83731975</v>
          </cell>
        </row>
        <row r="815">
          <cell r="B815">
            <v>1141</v>
          </cell>
          <cell r="C815">
            <v>7099.5040191299995</v>
          </cell>
          <cell r="E815">
            <v>1141</v>
          </cell>
          <cell r="F815">
            <v>15381.882815019999</v>
          </cell>
          <cell r="H815">
            <v>1141</v>
          </cell>
          <cell r="I815">
            <v>15381.882815019999</v>
          </cell>
        </row>
        <row r="816">
          <cell r="B816">
            <v>1143</v>
          </cell>
          <cell r="C816">
            <v>10523.542914950001</v>
          </cell>
          <cell r="E816">
            <v>1143</v>
          </cell>
          <cell r="F816">
            <v>22135.200174859994</v>
          </cell>
          <cell r="H816">
            <v>1143</v>
          </cell>
          <cell r="I816">
            <v>22135.200174859994</v>
          </cell>
        </row>
        <row r="817">
          <cell r="B817">
            <v>1144</v>
          </cell>
          <cell r="C817">
            <v>519.9701267800001</v>
          </cell>
          <cell r="E817">
            <v>1144</v>
          </cell>
          <cell r="F817">
            <v>993.9191433200001</v>
          </cell>
          <cell r="H817">
            <v>1144</v>
          </cell>
          <cell r="I817">
            <v>993.9191433200001</v>
          </cell>
        </row>
        <row r="818">
          <cell r="B818">
            <v>1145</v>
          </cell>
          <cell r="C818">
            <v>1242.84109296</v>
          </cell>
          <cell r="E818">
            <v>1145</v>
          </cell>
          <cell r="F818">
            <v>2617.7553507800003</v>
          </cell>
          <cell r="H818">
            <v>1145</v>
          </cell>
          <cell r="I818">
            <v>2617.7553507800003</v>
          </cell>
        </row>
        <row r="819">
          <cell r="B819">
            <v>1146</v>
          </cell>
          <cell r="C819">
            <v>2094.5261771099995</v>
          </cell>
          <cell r="E819">
            <v>1146</v>
          </cell>
          <cell r="F819">
            <v>4483.7510492999991</v>
          </cell>
          <cell r="H819">
            <v>1146</v>
          </cell>
          <cell r="I819">
            <v>4483.7510492999991</v>
          </cell>
        </row>
        <row r="820">
          <cell r="B820">
            <v>1147</v>
          </cell>
          <cell r="C820">
            <v>2176.5737141100003</v>
          </cell>
          <cell r="E820">
            <v>1147</v>
          </cell>
          <cell r="F820">
            <v>4492.2824561099997</v>
          </cell>
          <cell r="H820">
            <v>1147</v>
          </cell>
          <cell r="I820">
            <v>4492.2824561099997</v>
          </cell>
        </row>
        <row r="821">
          <cell r="B821">
            <v>1149</v>
          </cell>
          <cell r="C821">
            <v>6299.0019140200002</v>
          </cell>
          <cell r="E821">
            <v>1149</v>
          </cell>
          <cell r="F821">
            <v>13257.737212879998</v>
          </cell>
          <cell r="H821">
            <v>1149</v>
          </cell>
          <cell r="I821">
            <v>13257.737212879998</v>
          </cell>
        </row>
        <row r="822">
          <cell r="B822">
            <v>1150</v>
          </cell>
          <cell r="C822">
            <v>25613.754445470011</v>
          </cell>
          <cell r="E822">
            <v>1150</v>
          </cell>
          <cell r="F822">
            <v>55665.990242039996</v>
          </cell>
          <cell r="H822">
            <v>1150</v>
          </cell>
          <cell r="I822">
            <v>55665.990242039996</v>
          </cell>
        </row>
        <row r="823">
          <cell r="B823">
            <v>1151</v>
          </cell>
          <cell r="C823">
            <v>2606.9641161100003</v>
          </cell>
          <cell r="E823">
            <v>1151</v>
          </cell>
          <cell r="F823">
            <v>5766.8531015700009</v>
          </cell>
          <cell r="H823">
            <v>1151</v>
          </cell>
          <cell r="I823">
            <v>5766.8531015700009</v>
          </cell>
        </row>
        <row r="824">
          <cell r="B824">
            <v>1155</v>
          </cell>
          <cell r="C824">
            <v>35152.90560595999</v>
          </cell>
          <cell r="E824">
            <v>1155</v>
          </cell>
          <cell r="F824">
            <v>77788.918666160025</v>
          </cell>
          <cell r="H824">
            <v>1155</v>
          </cell>
          <cell r="I824">
            <v>77788.918666160025</v>
          </cell>
        </row>
        <row r="825">
          <cell r="B825">
            <v>1156</v>
          </cell>
          <cell r="C825">
            <v>3931.3197557599992</v>
          </cell>
          <cell r="E825">
            <v>1156</v>
          </cell>
          <cell r="F825">
            <v>10465.11524325</v>
          </cell>
          <cell r="H825">
            <v>1156</v>
          </cell>
          <cell r="I825">
            <v>10465.11524325</v>
          </cell>
        </row>
        <row r="826">
          <cell r="B826">
            <v>1158</v>
          </cell>
          <cell r="C826">
            <v>3336.8706740200005</v>
          </cell>
          <cell r="E826">
            <v>1158</v>
          </cell>
          <cell r="F826">
            <v>7056.1064245700027</v>
          </cell>
          <cell r="H826">
            <v>1158</v>
          </cell>
          <cell r="I826">
            <v>7056.1064245700027</v>
          </cell>
        </row>
        <row r="827">
          <cell r="B827">
            <v>1159</v>
          </cell>
          <cell r="C827">
            <v>10795.802827629999</v>
          </cell>
          <cell r="E827">
            <v>1159</v>
          </cell>
          <cell r="F827">
            <v>21921.69777694</v>
          </cell>
          <cell r="H827">
            <v>1159</v>
          </cell>
          <cell r="I827">
            <v>21921.69777694</v>
          </cell>
        </row>
        <row r="828">
          <cell r="B828">
            <v>1160</v>
          </cell>
          <cell r="C828">
            <v>4671.4761420699988</v>
          </cell>
          <cell r="E828">
            <v>1160</v>
          </cell>
          <cell r="F828">
            <v>9605.167453130005</v>
          </cell>
          <cell r="H828">
            <v>1160</v>
          </cell>
          <cell r="I828">
            <v>9605.167453130005</v>
          </cell>
        </row>
        <row r="829">
          <cell r="B829">
            <v>1161</v>
          </cell>
          <cell r="C829">
            <v>17835.27338147</v>
          </cell>
          <cell r="E829">
            <v>1161</v>
          </cell>
          <cell r="F829">
            <v>38722.080311960002</v>
          </cell>
          <cell r="H829">
            <v>1161</v>
          </cell>
          <cell r="I829">
            <v>38722.080311960002</v>
          </cell>
        </row>
        <row r="830">
          <cell r="B830">
            <v>1162</v>
          </cell>
          <cell r="C830">
            <v>3931.0199681600006</v>
          </cell>
          <cell r="E830">
            <v>1162</v>
          </cell>
          <cell r="F830">
            <v>8439.1063167599987</v>
          </cell>
          <cell r="H830">
            <v>1162</v>
          </cell>
          <cell r="I830">
            <v>8439.1063167599987</v>
          </cell>
        </row>
        <row r="831">
          <cell r="B831">
            <v>1165</v>
          </cell>
          <cell r="C831">
            <v>10213.787227899998</v>
          </cell>
          <cell r="E831">
            <v>1165</v>
          </cell>
          <cell r="F831">
            <v>23843.942240399992</v>
          </cell>
          <cell r="H831">
            <v>1165</v>
          </cell>
          <cell r="I831">
            <v>23843.942240399992</v>
          </cell>
        </row>
        <row r="832">
          <cell r="B832">
            <v>1166</v>
          </cell>
          <cell r="C832">
            <v>462.59268200000002</v>
          </cell>
          <cell r="E832">
            <v>1166</v>
          </cell>
          <cell r="F832">
            <v>998.93796721000047</v>
          </cell>
          <cell r="H832">
            <v>1166</v>
          </cell>
          <cell r="I832">
            <v>998.93796721000047</v>
          </cell>
        </row>
        <row r="833">
          <cell r="B833">
            <v>1167</v>
          </cell>
          <cell r="C833">
            <v>660.52559205</v>
          </cell>
          <cell r="E833">
            <v>1167</v>
          </cell>
          <cell r="F833">
            <v>1439.7948735099997</v>
          </cell>
          <cell r="H833">
            <v>1167</v>
          </cell>
          <cell r="I833">
            <v>1439.7948735099997</v>
          </cell>
        </row>
        <row r="834">
          <cell r="B834">
            <v>1168</v>
          </cell>
          <cell r="C834">
            <v>702.75454121999996</v>
          </cell>
          <cell r="E834">
            <v>1168</v>
          </cell>
          <cell r="F834">
            <v>1391.4457465099999</v>
          </cell>
          <cell r="H834">
            <v>1168</v>
          </cell>
          <cell r="I834">
            <v>1391.4457465099999</v>
          </cell>
        </row>
        <row r="835">
          <cell r="B835">
            <v>1169</v>
          </cell>
          <cell r="C835">
            <v>9100.9335498699966</v>
          </cell>
          <cell r="E835">
            <v>1169</v>
          </cell>
          <cell r="F835">
            <v>19347.751776739999</v>
          </cell>
          <cell r="H835">
            <v>1169</v>
          </cell>
          <cell r="I835">
            <v>19347.751776739999</v>
          </cell>
        </row>
        <row r="836">
          <cell r="B836">
            <v>1170</v>
          </cell>
          <cell r="C836">
            <v>8349.1659727800015</v>
          </cell>
          <cell r="E836">
            <v>1170</v>
          </cell>
          <cell r="F836">
            <v>17259.497909520003</v>
          </cell>
          <cell r="H836">
            <v>1170</v>
          </cell>
          <cell r="I836">
            <v>17259.497909520003</v>
          </cell>
        </row>
        <row r="837">
          <cell r="B837">
            <v>1171</v>
          </cell>
          <cell r="C837">
            <v>6357.5959066300011</v>
          </cell>
          <cell r="E837">
            <v>1171</v>
          </cell>
          <cell r="F837">
            <v>12953.763731059998</v>
          </cell>
          <cell r="H837">
            <v>1171</v>
          </cell>
          <cell r="I837">
            <v>12953.763731059998</v>
          </cell>
        </row>
        <row r="838">
          <cell r="B838">
            <v>1172</v>
          </cell>
          <cell r="C838">
            <v>8022.8219287899992</v>
          </cell>
          <cell r="E838">
            <v>1172</v>
          </cell>
          <cell r="F838">
            <v>16956.06036793</v>
          </cell>
          <cell r="H838">
            <v>1172</v>
          </cell>
          <cell r="I838">
            <v>16956.06036793</v>
          </cell>
        </row>
        <row r="839">
          <cell r="B839">
            <v>1173</v>
          </cell>
          <cell r="C839">
            <v>927.32469376999995</v>
          </cell>
          <cell r="E839">
            <v>1173</v>
          </cell>
          <cell r="F839">
            <v>2066.5596499999997</v>
          </cell>
          <cell r="H839">
            <v>1173</v>
          </cell>
          <cell r="I839">
            <v>2066.5596499999997</v>
          </cell>
        </row>
        <row r="840">
          <cell r="B840">
            <v>1175</v>
          </cell>
          <cell r="C840">
            <v>1715.47255767</v>
          </cell>
          <cell r="E840">
            <v>1175</v>
          </cell>
          <cell r="F840">
            <v>3585.7727768100008</v>
          </cell>
          <cell r="H840">
            <v>1175</v>
          </cell>
          <cell r="I840">
            <v>3585.7727768100008</v>
          </cell>
        </row>
        <row r="841">
          <cell r="B841">
            <v>1176</v>
          </cell>
          <cell r="C841">
            <v>283.57779274999996</v>
          </cell>
          <cell r="E841">
            <v>1176</v>
          </cell>
          <cell r="F841">
            <v>609.72925547999989</v>
          </cell>
          <cell r="H841">
            <v>1176</v>
          </cell>
          <cell r="I841">
            <v>609.72925547999989</v>
          </cell>
        </row>
        <row r="842">
          <cell r="B842">
            <v>1177</v>
          </cell>
          <cell r="C842">
            <v>7011.8064587000008</v>
          </cell>
          <cell r="E842">
            <v>1177</v>
          </cell>
          <cell r="F842">
            <v>14717.82485427</v>
          </cell>
          <cell r="H842">
            <v>1177</v>
          </cell>
          <cell r="I842">
            <v>14717.82485427</v>
          </cell>
        </row>
        <row r="843">
          <cell r="B843">
            <v>1178</v>
          </cell>
          <cell r="C843">
            <v>15344.337753709999</v>
          </cell>
          <cell r="E843">
            <v>1178</v>
          </cell>
          <cell r="F843">
            <v>32613.499731250005</v>
          </cell>
          <cell r="H843">
            <v>1178</v>
          </cell>
          <cell r="I843">
            <v>32613.499731250005</v>
          </cell>
        </row>
        <row r="844">
          <cell r="B844">
            <v>1180</v>
          </cell>
          <cell r="C844">
            <v>4486.8926488700008</v>
          </cell>
          <cell r="E844">
            <v>1180</v>
          </cell>
          <cell r="F844">
            <v>9543.357159430001</v>
          </cell>
          <cell r="H844">
            <v>1180</v>
          </cell>
          <cell r="I844">
            <v>9543.357159430001</v>
          </cell>
        </row>
        <row r="845">
          <cell r="B845">
            <v>1181</v>
          </cell>
          <cell r="C845">
            <v>9926.664612200002</v>
          </cell>
          <cell r="E845">
            <v>1181</v>
          </cell>
          <cell r="F845">
            <v>22167.086204010004</v>
          </cell>
          <cell r="H845">
            <v>1181</v>
          </cell>
          <cell r="I845">
            <v>22167.086204010004</v>
          </cell>
        </row>
        <row r="846">
          <cell r="B846">
            <v>1182</v>
          </cell>
          <cell r="C846">
            <v>7823.1436706800023</v>
          </cell>
          <cell r="E846">
            <v>1182</v>
          </cell>
          <cell r="F846">
            <v>15826.484147110001</v>
          </cell>
          <cell r="H846">
            <v>1182</v>
          </cell>
          <cell r="I846">
            <v>15826.484147110001</v>
          </cell>
        </row>
        <row r="847">
          <cell r="B847">
            <v>1183</v>
          </cell>
          <cell r="C847">
            <v>1196.8718789500001</v>
          </cell>
          <cell r="E847">
            <v>1183</v>
          </cell>
          <cell r="F847">
            <v>2461.5179230999997</v>
          </cell>
          <cell r="H847">
            <v>1183</v>
          </cell>
          <cell r="I847">
            <v>2461.5179230999997</v>
          </cell>
        </row>
        <row r="848">
          <cell r="B848">
            <v>1186</v>
          </cell>
          <cell r="C848">
            <v>1064.8838154299999</v>
          </cell>
          <cell r="E848">
            <v>1186</v>
          </cell>
          <cell r="F848">
            <v>2342.5526083</v>
          </cell>
          <cell r="H848">
            <v>1186</v>
          </cell>
          <cell r="I848">
            <v>2342.5526083</v>
          </cell>
        </row>
        <row r="849">
          <cell r="B849">
            <v>1187</v>
          </cell>
          <cell r="C849">
            <v>1372.5218041500002</v>
          </cell>
          <cell r="E849">
            <v>1187</v>
          </cell>
          <cell r="F849">
            <v>2955.9313722299999</v>
          </cell>
          <cell r="H849">
            <v>1187</v>
          </cell>
          <cell r="I849">
            <v>2955.9313722299999</v>
          </cell>
        </row>
        <row r="850">
          <cell r="B850">
            <v>1188</v>
          </cell>
          <cell r="C850">
            <v>3944.9527640599995</v>
          </cell>
          <cell r="E850">
            <v>1188</v>
          </cell>
          <cell r="F850">
            <v>8443.1235826199991</v>
          </cell>
          <cell r="H850">
            <v>1188</v>
          </cell>
          <cell r="I850">
            <v>8443.1235826199991</v>
          </cell>
        </row>
        <row r="851">
          <cell r="B851">
            <v>1189</v>
          </cell>
          <cell r="C851">
            <v>5910.6271881600005</v>
          </cell>
          <cell r="E851">
            <v>1189</v>
          </cell>
          <cell r="F851">
            <v>11466.971076719999</v>
          </cell>
          <cell r="H851">
            <v>1189</v>
          </cell>
          <cell r="I851">
            <v>11466.971076719999</v>
          </cell>
        </row>
        <row r="852">
          <cell r="B852">
            <v>1190</v>
          </cell>
          <cell r="C852">
            <v>3644.62530487</v>
          </cell>
          <cell r="E852">
            <v>1190</v>
          </cell>
          <cell r="F852">
            <v>7352.4426020700012</v>
          </cell>
          <cell r="H852">
            <v>1190</v>
          </cell>
          <cell r="I852">
            <v>7352.4426020700012</v>
          </cell>
        </row>
        <row r="853">
          <cell r="B853">
            <v>1192</v>
          </cell>
          <cell r="C853">
            <v>3919.5383290399991</v>
          </cell>
          <cell r="E853">
            <v>1192</v>
          </cell>
          <cell r="F853">
            <v>8174.9640493399957</v>
          </cell>
          <cell r="H853">
            <v>1192</v>
          </cell>
          <cell r="I853">
            <v>8174.9640493399957</v>
          </cell>
        </row>
        <row r="854">
          <cell r="B854">
            <v>1194</v>
          </cell>
          <cell r="C854">
            <v>429.17569682999999</v>
          </cell>
          <cell r="E854">
            <v>1194</v>
          </cell>
          <cell r="F854">
            <v>1005.3136797500003</v>
          </cell>
          <cell r="H854">
            <v>1194</v>
          </cell>
          <cell r="I854">
            <v>1005.3136797500003</v>
          </cell>
        </row>
        <row r="855">
          <cell r="B855">
            <v>1195</v>
          </cell>
          <cell r="C855">
            <v>3652.5830138500005</v>
          </cell>
          <cell r="E855">
            <v>1195</v>
          </cell>
          <cell r="F855">
            <v>7764.1669043200009</v>
          </cell>
          <cell r="H855">
            <v>1195</v>
          </cell>
          <cell r="I855">
            <v>7764.1669043200009</v>
          </cell>
        </row>
        <row r="856">
          <cell r="B856">
            <v>1196</v>
          </cell>
          <cell r="C856">
            <v>1153.8909102100001</v>
          </cell>
          <cell r="E856">
            <v>1196</v>
          </cell>
          <cell r="F856">
            <v>2467.3043078500004</v>
          </cell>
          <cell r="H856">
            <v>1196</v>
          </cell>
          <cell r="I856">
            <v>2467.3043078500004</v>
          </cell>
        </row>
        <row r="857">
          <cell r="B857">
            <v>1197</v>
          </cell>
          <cell r="C857">
            <v>3738.6733337400001</v>
          </cell>
          <cell r="E857">
            <v>1197</v>
          </cell>
          <cell r="F857">
            <v>7775.3531426999989</v>
          </cell>
          <cell r="H857">
            <v>1197</v>
          </cell>
          <cell r="I857">
            <v>7775.3531426999989</v>
          </cell>
        </row>
        <row r="858">
          <cell r="B858">
            <v>1199</v>
          </cell>
          <cell r="C858">
            <v>1241.9147687600002</v>
          </cell>
          <cell r="E858">
            <v>1199</v>
          </cell>
          <cell r="F858">
            <v>2415.5638134600003</v>
          </cell>
          <cell r="H858">
            <v>1199</v>
          </cell>
          <cell r="I858">
            <v>2415.5638134600003</v>
          </cell>
        </row>
        <row r="859">
          <cell r="B859">
            <v>1200</v>
          </cell>
          <cell r="C859">
            <v>6706.8639735400002</v>
          </cell>
          <cell r="E859">
            <v>1200</v>
          </cell>
          <cell r="F859">
            <v>13816.837161129994</v>
          </cell>
          <cell r="H859">
            <v>1200</v>
          </cell>
          <cell r="I859">
            <v>13816.837161129994</v>
          </cell>
        </row>
        <row r="860">
          <cell r="B860">
            <v>1201</v>
          </cell>
          <cell r="C860">
            <v>3189.2336314800004</v>
          </cell>
          <cell r="E860">
            <v>1201</v>
          </cell>
          <cell r="F860">
            <v>6655.2679275299988</v>
          </cell>
          <cell r="H860">
            <v>1201</v>
          </cell>
          <cell r="I860">
            <v>6655.2679275299988</v>
          </cell>
        </row>
        <row r="861">
          <cell r="B861">
            <v>1202</v>
          </cell>
          <cell r="C861">
            <v>3846.4817195000001</v>
          </cell>
          <cell r="E861">
            <v>1202</v>
          </cell>
          <cell r="F861">
            <v>8085.3807954300009</v>
          </cell>
          <cell r="H861">
            <v>1202</v>
          </cell>
          <cell r="I861">
            <v>8085.3807954300009</v>
          </cell>
        </row>
        <row r="862">
          <cell r="B862">
            <v>1204</v>
          </cell>
          <cell r="C862">
            <v>6358.6985085600008</v>
          </cell>
          <cell r="E862">
            <v>1204</v>
          </cell>
          <cell r="F862">
            <v>13150.691711799995</v>
          </cell>
          <cell r="H862">
            <v>1204</v>
          </cell>
          <cell r="I862">
            <v>13150.691711799995</v>
          </cell>
        </row>
        <row r="863">
          <cell r="B863">
            <v>1205</v>
          </cell>
          <cell r="C863">
            <v>18678.397844600004</v>
          </cell>
          <cell r="E863">
            <v>1205</v>
          </cell>
          <cell r="F863">
            <v>39510.861963150011</v>
          </cell>
          <cell r="H863">
            <v>1205</v>
          </cell>
          <cell r="I863">
            <v>39510.861963150011</v>
          </cell>
        </row>
        <row r="864">
          <cell r="B864">
            <v>1206</v>
          </cell>
          <cell r="C864">
            <v>990.58987757999989</v>
          </cell>
          <cell r="E864">
            <v>1206</v>
          </cell>
          <cell r="F864">
            <v>1858.5312506600005</v>
          </cell>
          <cell r="H864">
            <v>1206</v>
          </cell>
          <cell r="I864">
            <v>1858.5312506600005</v>
          </cell>
        </row>
        <row r="865">
          <cell r="B865">
            <v>1207</v>
          </cell>
          <cell r="C865">
            <v>4245.5666143100007</v>
          </cell>
          <cell r="E865">
            <v>1207</v>
          </cell>
          <cell r="F865">
            <v>8571.0269435699993</v>
          </cell>
          <cell r="H865">
            <v>1207</v>
          </cell>
          <cell r="I865">
            <v>8571.0269435699993</v>
          </cell>
        </row>
        <row r="866">
          <cell r="B866">
            <v>1208</v>
          </cell>
          <cell r="C866">
            <v>3994.8763717299985</v>
          </cell>
          <cell r="E866">
            <v>1208</v>
          </cell>
          <cell r="F866">
            <v>9412.1285599099974</v>
          </cell>
          <cell r="H866">
            <v>1208</v>
          </cell>
          <cell r="I866">
            <v>9412.1285599099974</v>
          </cell>
        </row>
        <row r="867">
          <cell r="B867">
            <v>1212</v>
          </cell>
          <cell r="C867">
            <v>7694.2702177799983</v>
          </cell>
          <cell r="E867">
            <v>1212</v>
          </cell>
          <cell r="F867">
            <v>15264.391760609999</v>
          </cell>
          <cell r="H867">
            <v>1212</v>
          </cell>
          <cell r="I867">
            <v>15264.391760609999</v>
          </cell>
        </row>
        <row r="868">
          <cell r="B868">
            <v>1213</v>
          </cell>
          <cell r="C868">
            <v>9515.9100177700002</v>
          </cell>
          <cell r="E868">
            <v>1213</v>
          </cell>
          <cell r="F868">
            <v>21903.093102140003</v>
          </cell>
          <cell r="H868">
            <v>1213</v>
          </cell>
          <cell r="I868">
            <v>21903.093102140003</v>
          </cell>
        </row>
        <row r="869">
          <cell r="B869">
            <v>1214</v>
          </cell>
          <cell r="C869">
            <v>17125.796737369998</v>
          </cell>
          <cell r="E869">
            <v>1214</v>
          </cell>
          <cell r="F869">
            <v>35789.568907579996</v>
          </cell>
          <cell r="H869">
            <v>1214</v>
          </cell>
          <cell r="I869">
            <v>35789.568907579996</v>
          </cell>
        </row>
        <row r="870">
          <cell r="B870">
            <v>1215</v>
          </cell>
          <cell r="C870">
            <v>2570.7367762600002</v>
          </cell>
          <cell r="E870">
            <v>1215</v>
          </cell>
          <cell r="F870">
            <v>5378.7771630800007</v>
          </cell>
          <cell r="H870">
            <v>1215</v>
          </cell>
          <cell r="I870">
            <v>5378.7771630800007</v>
          </cell>
        </row>
        <row r="871">
          <cell r="B871">
            <v>1217</v>
          </cell>
          <cell r="C871">
            <v>19119.614332310004</v>
          </cell>
          <cell r="E871">
            <v>1217</v>
          </cell>
          <cell r="F871">
            <v>42688.658358950008</v>
          </cell>
          <cell r="H871">
            <v>1217</v>
          </cell>
          <cell r="I871">
            <v>42688.658358950008</v>
          </cell>
        </row>
        <row r="872">
          <cell r="B872">
            <v>1218</v>
          </cell>
          <cell r="C872">
            <v>5676.0606410400005</v>
          </cell>
          <cell r="E872">
            <v>1218</v>
          </cell>
          <cell r="F872">
            <v>12423.80432139</v>
          </cell>
          <cell r="H872">
            <v>1218</v>
          </cell>
          <cell r="I872">
            <v>12423.80432139</v>
          </cell>
        </row>
        <row r="873">
          <cell r="B873">
            <v>1220</v>
          </cell>
          <cell r="C873">
            <v>16322.507174499997</v>
          </cell>
          <cell r="E873">
            <v>1220</v>
          </cell>
          <cell r="F873">
            <v>35107.110451820001</v>
          </cell>
          <cell r="H873">
            <v>1220</v>
          </cell>
          <cell r="I873">
            <v>35107.110451820001</v>
          </cell>
        </row>
        <row r="874">
          <cell r="B874">
            <v>1225</v>
          </cell>
          <cell r="C874">
            <v>8767.7694865099984</v>
          </cell>
          <cell r="E874">
            <v>1225</v>
          </cell>
          <cell r="F874">
            <v>19354.835280580006</v>
          </cell>
          <cell r="H874">
            <v>1225</v>
          </cell>
          <cell r="I874">
            <v>19354.835280580006</v>
          </cell>
        </row>
        <row r="875">
          <cell r="B875">
            <v>1227</v>
          </cell>
          <cell r="C875">
            <v>4186.1294311800002</v>
          </cell>
          <cell r="E875">
            <v>1227</v>
          </cell>
          <cell r="F875">
            <v>8636.6888088900014</v>
          </cell>
          <cell r="H875">
            <v>1227</v>
          </cell>
          <cell r="I875">
            <v>8636.6888088900014</v>
          </cell>
        </row>
        <row r="876">
          <cell r="B876">
            <v>1228</v>
          </cell>
          <cell r="C876">
            <v>11995.231492609999</v>
          </cell>
          <cell r="E876">
            <v>1228</v>
          </cell>
          <cell r="F876">
            <v>25732.831106849986</v>
          </cell>
          <cell r="H876">
            <v>1228</v>
          </cell>
          <cell r="I876">
            <v>25732.831106849986</v>
          </cell>
        </row>
        <row r="877">
          <cell r="B877">
            <v>1229</v>
          </cell>
          <cell r="C877">
            <v>3249.5792670500018</v>
          </cell>
          <cell r="E877">
            <v>1229</v>
          </cell>
          <cell r="F877">
            <v>6823.7826896999986</v>
          </cell>
          <cell r="H877">
            <v>1229</v>
          </cell>
          <cell r="I877">
            <v>6823.7826896999986</v>
          </cell>
        </row>
        <row r="878">
          <cell r="B878">
            <v>1231</v>
          </cell>
          <cell r="C878">
            <v>13608.029500490002</v>
          </cell>
          <cell r="E878">
            <v>1231</v>
          </cell>
          <cell r="F878">
            <v>29485.617948040002</v>
          </cell>
          <cell r="H878">
            <v>1231</v>
          </cell>
          <cell r="I878">
            <v>29485.617948040002</v>
          </cell>
        </row>
        <row r="879">
          <cell r="B879">
            <v>1233</v>
          </cell>
          <cell r="C879">
            <v>6285.6351234100011</v>
          </cell>
          <cell r="E879">
            <v>1233</v>
          </cell>
          <cell r="F879">
            <v>11735.694574529998</v>
          </cell>
          <cell r="H879">
            <v>1233</v>
          </cell>
          <cell r="I879">
            <v>11735.694574529998</v>
          </cell>
        </row>
        <row r="880">
          <cell r="B880">
            <v>1234</v>
          </cell>
          <cell r="C880">
            <v>1345.56148502</v>
          </cell>
          <cell r="E880">
            <v>1234</v>
          </cell>
          <cell r="F880">
            <v>3169.9834510100013</v>
          </cell>
          <cell r="H880">
            <v>1234</v>
          </cell>
          <cell r="I880">
            <v>3169.9834510100013</v>
          </cell>
        </row>
        <row r="881">
          <cell r="B881">
            <v>1235</v>
          </cell>
          <cell r="C881">
            <v>2798.7856115499994</v>
          </cell>
          <cell r="E881">
            <v>1235</v>
          </cell>
          <cell r="F881">
            <v>6284.9600827100003</v>
          </cell>
          <cell r="H881">
            <v>1235</v>
          </cell>
          <cell r="I881">
            <v>6284.9600827100003</v>
          </cell>
        </row>
        <row r="882">
          <cell r="B882">
            <v>1236</v>
          </cell>
          <cell r="C882">
            <v>44064.480040139999</v>
          </cell>
          <cell r="E882">
            <v>1236</v>
          </cell>
          <cell r="F882">
            <v>94300.619343890023</v>
          </cell>
          <cell r="H882">
            <v>1236</v>
          </cell>
          <cell r="I882">
            <v>94300.619343890023</v>
          </cell>
        </row>
        <row r="883">
          <cell r="B883">
            <v>1237</v>
          </cell>
          <cell r="C883">
            <v>1847.2962507899995</v>
          </cell>
          <cell r="E883">
            <v>1237</v>
          </cell>
          <cell r="F883">
            <v>4288.932722739999</v>
          </cell>
          <cell r="H883">
            <v>1237</v>
          </cell>
          <cell r="I883">
            <v>4288.932722739999</v>
          </cell>
        </row>
        <row r="884">
          <cell r="B884">
            <v>1243</v>
          </cell>
          <cell r="C884">
            <v>1134.9121180900001</v>
          </cell>
          <cell r="E884">
            <v>1243</v>
          </cell>
          <cell r="F884">
            <v>2445.2081037099997</v>
          </cell>
          <cell r="H884">
            <v>1243</v>
          </cell>
          <cell r="I884">
            <v>2445.2081037099997</v>
          </cell>
        </row>
        <row r="885">
          <cell r="B885">
            <v>1244</v>
          </cell>
          <cell r="C885">
            <v>15327.773605580001</v>
          </cell>
          <cell r="E885">
            <v>1244</v>
          </cell>
          <cell r="F885">
            <v>32058.733456970003</v>
          </cell>
          <cell r="H885">
            <v>1244</v>
          </cell>
          <cell r="I885">
            <v>32058.733456970003</v>
          </cell>
        </row>
        <row r="886">
          <cell r="B886">
            <v>1245</v>
          </cell>
          <cell r="C886">
            <v>7848.5801616000008</v>
          </cell>
          <cell r="E886">
            <v>1245</v>
          </cell>
          <cell r="F886">
            <v>16675.560520519994</v>
          </cell>
          <cell r="H886">
            <v>1245</v>
          </cell>
          <cell r="I886">
            <v>16675.560520519994</v>
          </cell>
        </row>
        <row r="887">
          <cell r="B887">
            <v>1246</v>
          </cell>
          <cell r="C887">
            <v>12992.626725460008</v>
          </cell>
          <cell r="E887">
            <v>1246</v>
          </cell>
          <cell r="F887">
            <v>27313.405584230004</v>
          </cell>
          <cell r="H887">
            <v>1246</v>
          </cell>
          <cell r="I887">
            <v>27313.405584230004</v>
          </cell>
        </row>
        <row r="888">
          <cell r="B888">
            <v>1248</v>
          </cell>
          <cell r="C888">
            <v>23228.246674039994</v>
          </cell>
          <cell r="E888">
            <v>1248</v>
          </cell>
          <cell r="F888">
            <v>49183.100933800008</v>
          </cell>
          <cell r="H888">
            <v>1248</v>
          </cell>
          <cell r="I888">
            <v>49183.100933800008</v>
          </cell>
        </row>
        <row r="889">
          <cell r="B889">
            <v>1249</v>
          </cell>
          <cell r="C889">
            <v>12109.305917829999</v>
          </cell>
          <cell r="E889">
            <v>1249</v>
          </cell>
          <cell r="F889">
            <v>26092.408455730012</v>
          </cell>
          <cell r="H889">
            <v>1249</v>
          </cell>
          <cell r="I889">
            <v>26092.408455730012</v>
          </cell>
        </row>
        <row r="890">
          <cell r="B890">
            <v>1250</v>
          </cell>
          <cell r="C890">
            <v>13196.219161619996</v>
          </cell>
          <cell r="E890">
            <v>1250</v>
          </cell>
          <cell r="F890">
            <v>27567.031355420011</v>
          </cell>
          <cell r="H890">
            <v>1250</v>
          </cell>
          <cell r="I890">
            <v>27567.031355420011</v>
          </cell>
        </row>
        <row r="891">
          <cell r="B891">
            <v>1252</v>
          </cell>
          <cell r="C891">
            <v>20916.3750292</v>
          </cell>
          <cell r="E891">
            <v>1252</v>
          </cell>
          <cell r="F891">
            <v>43584.359502160005</v>
          </cell>
          <cell r="H891">
            <v>1252</v>
          </cell>
          <cell r="I891">
            <v>43584.359502160005</v>
          </cell>
        </row>
        <row r="892">
          <cell r="B892">
            <v>1256</v>
          </cell>
          <cell r="C892">
            <v>2664.7542388299994</v>
          </cell>
          <cell r="E892">
            <v>1256</v>
          </cell>
          <cell r="F892">
            <v>5557.5081332399996</v>
          </cell>
          <cell r="H892">
            <v>1256</v>
          </cell>
          <cell r="I892">
            <v>5557.5081332399996</v>
          </cell>
        </row>
        <row r="893">
          <cell r="B893">
            <v>1257</v>
          </cell>
          <cell r="C893">
            <v>2749.0189567300004</v>
          </cell>
          <cell r="E893">
            <v>1257</v>
          </cell>
          <cell r="F893">
            <v>5699.85815826</v>
          </cell>
          <cell r="H893">
            <v>1257</v>
          </cell>
          <cell r="I893">
            <v>5699.85815826</v>
          </cell>
        </row>
        <row r="894">
          <cell r="B894">
            <v>1258</v>
          </cell>
          <cell r="C894">
            <v>4210.6315082400006</v>
          </cell>
          <cell r="E894">
            <v>1258</v>
          </cell>
          <cell r="F894">
            <v>8893.8756722799972</v>
          </cell>
          <cell r="H894">
            <v>1258</v>
          </cell>
          <cell r="I894">
            <v>8893.8756722799972</v>
          </cell>
        </row>
        <row r="895">
          <cell r="B895">
            <v>1260</v>
          </cell>
          <cell r="C895">
            <v>9430.0258494499994</v>
          </cell>
          <cell r="E895">
            <v>1260</v>
          </cell>
          <cell r="F895">
            <v>24871.887718849994</v>
          </cell>
          <cell r="H895">
            <v>1260</v>
          </cell>
          <cell r="I895">
            <v>24871.887718849994</v>
          </cell>
        </row>
        <row r="896">
          <cell r="B896">
            <v>1261</v>
          </cell>
          <cell r="C896">
            <v>4210.748577289999</v>
          </cell>
          <cell r="E896">
            <v>1261</v>
          </cell>
          <cell r="F896">
            <v>9164.4901309300039</v>
          </cell>
          <cell r="H896">
            <v>1261</v>
          </cell>
          <cell r="I896">
            <v>9164.4901309300039</v>
          </cell>
        </row>
        <row r="897">
          <cell r="B897">
            <v>1262</v>
          </cell>
          <cell r="C897">
            <v>3816.8584551100002</v>
          </cell>
          <cell r="E897">
            <v>1262</v>
          </cell>
          <cell r="F897">
            <v>8305.890909769998</v>
          </cell>
          <cell r="H897">
            <v>1262</v>
          </cell>
          <cell r="I897">
            <v>8305.890909769998</v>
          </cell>
        </row>
        <row r="898">
          <cell r="B898">
            <v>1263</v>
          </cell>
          <cell r="C898">
            <v>6663.0044958299986</v>
          </cell>
          <cell r="E898">
            <v>1263</v>
          </cell>
          <cell r="F898">
            <v>14016.401477860003</v>
          </cell>
          <cell r="H898">
            <v>1263</v>
          </cell>
          <cell r="I898">
            <v>14016.401477860003</v>
          </cell>
        </row>
        <row r="899">
          <cell r="B899">
            <v>1264</v>
          </cell>
          <cell r="C899">
            <v>5911.8793923800004</v>
          </cell>
          <cell r="E899">
            <v>1264</v>
          </cell>
          <cell r="F899">
            <v>12390.571735809997</v>
          </cell>
          <cell r="H899">
            <v>1264</v>
          </cell>
          <cell r="I899">
            <v>12390.571735809997</v>
          </cell>
        </row>
        <row r="900">
          <cell r="B900">
            <v>1265</v>
          </cell>
          <cell r="C900">
            <v>5309.0802617200006</v>
          </cell>
          <cell r="E900">
            <v>1265</v>
          </cell>
          <cell r="F900">
            <v>11012.448263750004</v>
          </cell>
          <cell r="H900">
            <v>1265</v>
          </cell>
          <cell r="I900">
            <v>11012.448263750004</v>
          </cell>
        </row>
        <row r="901">
          <cell r="B901">
            <v>1266</v>
          </cell>
          <cell r="C901">
            <v>13113.774393080002</v>
          </cell>
          <cell r="E901">
            <v>1266</v>
          </cell>
          <cell r="F901">
            <v>27748.635077629999</v>
          </cell>
          <cell r="H901">
            <v>1266</v>
          </cell>
          <cell r="I901">
            <v>27748.635077629999</v>
          </cell>
        </row>
        <row r="902">
          <cell r="B902">
            <v>1269</v>
          </cell>
          <cell r="C902">
            <v>5326.5109771400003</v>
          </cell>
          <cell r="E902">
            <v>1269</v>
          </cell>
          <cell r="F902">
            <v>11590.337690419999</v>
          </cell>
          <cell r="H902">
            <v>1269</v>
          </cell>
          <cell r="I902">
            <v>11590.337690419999</v>
          </cell>
        </row>
        <row r="903">
          <cell r="B903">
            <v>1270</v>
          </cell>
          <cell r="C903">
            <v>309.77740676999997</v>
          </cell>
          <cell r="E903">
            <v>1270</v>
          </cell>
          <cell r="F903">
            <v>514.72872049</v>
          </cell>
          <cell r="H903">
            <v>1270</v>
          </cell>
          <cell r="I903">
            <v>514.72872049</v>
          </cell>
        </row>
        <row r="904">
          <cell r="B904">
            <v>1271</v>
          </cell>
          <cell r="C904">
            <v>6638.7221727200013</v>
          </cell>
          <cell r="E904">
            <v>1271</v>
          </cell>
          <cell r="F904">
            <v>15364.221402340008</v>
          </cell>
          <cell r="H904">
            <v>1271</v>
          </cell>
          <cell r="I904">
            <v>15364.221402340008</v>
          </cell>
        </row>
        <row r="905">
          <cell r="B905">
            <v>1272</v>
          </cell>
          <cell r="C905">
            <v>2542.76197168</v>
          </cell>
          <cell r="E905">
            <v>1272</v>
          </cell>
          <cell r="F905">
            <v>5482.3059164200004</v>
          </cell>
          <cell r="H905">
            <v>1272</v>
          </cell>
          <cell r="I905">
            <v>5482.3059164200004</v>
          </cell>
        </row>
        <row r="906">
          <cell r="B906">
            <v>1275</v>
          </cell>
          <cell r="C906">
            <v>12975.13820116</v>
          </cell>
          <cell r="E906">
            <v>1275</v>
          </cell>
          <cell r="F906">
            <v>27832.943083989998</v>
          </cell>
          <cell r="H906">
            <v>1275</v>
          </cell>
          <cell r="I906">
            <v>27832.943083989998</v>
          </cell>
        </row>
        <row r="907">
          <cell r="B907">
            <v>1276</v>
          </cell>
          <cell r="C907">
            <v>19812.19559644</v>
          </cell>
          <cell r="E907">
            <v>1276</v>
          </cell>
          <cell r="F907">
            <v>42422.066229740012</v>
          </cell>
          <cell r="H907">
            <v>1276</v>
          </cell>
          <cell r="I907">
            <v>42422.066229740012</v>
          </cell>
        </row>
        <row r="908">
          <cell r="B908">
            <v>1278</v>
          </cell>
          <cell r="C908">
            <v>4259.4971223600005</v>
          </cell>
          <cell r="E908">
            <v>1278</v>
          </cell>
          <cell r="F908">
            <v>8956.2962374499966</v>
          </cell>
          <cell r="H908">
            <v>1278</v>
          </cell>
          <cell r="I908">
            <v>8956.2962374499966</v>
          </cell>
        </row>
        <row r="909">
          <cell r="B909">
            <v>1279</v>
          </cell>
          <cell r="C909">
            <v>2961.1853003199994</v>
          </cell>
          <cell r="E909">
            <v>1279</v>
          </cell>
          <cell r="F909">
            <v>6443.7400703599997</v>
          </cell>
          <cell r="H909">
            <v>1279</v>
          </cell>
          <cell r="I909">
            <v>6443.7400703599997</v>
          </cell>
        </row>
        <row r="910">
          <cell r="B910">
            <v>1280</v>
          </cell>
          <cell r="C910">
            <v>2366.9240112500006</v>
          </cell>
          <cell r="E910">
            <v>1280</v>
          </cell>
          <cell r="F910">
            <v>4721.5325035100004</v>
          </cell>
          <cell r="H910">
            <v>1280</v>
          </cell>
          <cell r="I910">
            <v>4721.5325035100004</v>
          </cell>
        </row>
        <row r="911">
          <cell r="B911">
            <v>1281</v>
          </cell>
          <cell r="C911">
            <v>1383.0939612600005</v>
          </cell>
          <cell r="E911">
            <v>1281</v>
          </cell>
          <cell r="F911">
            <v>3037.7715117899997</v>
          </cell>
          <cell r="H911">
            <v>1281</v>
          </cell>
          <cell r="I911">
            <v>3037.7715117899997</v>
          </cell>
        </row>
        <row r="912">
          <cell r="B912">
            <v>1283</v>
          </cell>
          <cell r="C912">
            <v>21544.355492589999</v>
          </cell>
          <cell r="E912">
            <v>1283</v>
          </cell>
          <cell r="F912">
            <v>45234.040115699987</v>
          </cell>
          <cell r="H912">
            <v>1283</v>
          </cell>
          <cell r="I912">
            <v>45234.040115699987</v>
          </cell>
        </row>
        <row r="913">
          <cell r="B913">
            <v>1287</v>
          </cell>
          <cell r="C913">
            <v>3044.5530672499995</v>
          </cell>
          <cell r="E913">
            <v>1287</v>
          </cell>
          <cell r="F913">
            <v>6447.5095365400002</v>
          </cell>
          <cell r="H913">
            <v>1287</v>
          </cell>
          <cell r="I913">
            <v>6447.5095365400002</v>
          </cell>
        </row>
        <row r="914">
          <cell r="B914">
            <v>1288</v>
          </cell>
          <cell r="C914">
            <v>1553.59697521</v>
          </cell>
          <cell r="E914">
            <v>1288</v>
          </cell>
          <cell r="F914">
            <v>3401.3390843400011</v>
          </cell>
          <cell r="H914">
            <v>1288</v>
          </cell>
          <cell r="I914">
            <v>3401.3390843400011</v>
          </cell>
        </row>
        <row r="915">
          <cell r="B915">
            <v>1289</v>
          </cell>
          <cell r="C915">
            <v>2561.5259584299988</v>
          </cell>
          <cell r="E915">
            <v>1289</v>
          </cell>
          <cell r="F915">
            <v>5605.7852673699999</v>
          </cell>
          <cell r="H915">
            <v>1289</v>
          </cell>
          <cell r="I915">
            <v>5605.7852673699999</v>
          </cell>
        </row>
        <row r="916">
          <cell r="B916">
            <v>1290</v>
          </cell>
          <cell r="C916">
            <v>1515.1864945400002</v>
          </cell>
          <cell r="E916">
            <v>1290</v>
          </cell>
          <cell r="F916">
            <v>3610.3844372700005</v>
          </cell>
          <cell r="H916">
            <v>1290</v>
          </cell>
          <cell r="I916">
            <v>3610.3844372700005</v>
          </cell>
        </row>
        <row r="917">
          <cell r="B917">
            <v>1291</v>
          </cell>
          <cell r="C917">
            <v>1966.5371200699997</v>
          </cell>
          <cell r="E917">
            <v>1291</v>
          </cell>
          <cell r="F917">
            <v>4014.2542607999994</v>
          </cell>
          <cell r="H917">
            <v>1291</v>
          </cell>
          <cell r="I917">
            <v>4014.2542607999994</v>
          </cell>
        </row>
        <row r="918">
          <cell r="B918">
            <v>1292</v>
          </cell>
          <cell r="C918">
            <v>3696.78374132</v>
          </cell>
          <cell r="E918">
            <v>1292</v>
          </cell>
          <cell r="F918">
            <v>7684.6457053400009</v>
          </cell>
          <cell r="H918">
            <v>1292</v>
          </cell>
          <cell r="I918">
            <v>7684.6457053400009</v>
          </cell>
        </row>
        <row r="919">
          <cell r="B919">
            <v>1293</v>
          </cell>
          <cell r="C919">
            <v>2771.2167460300002</v>
          </cell>
          <cell r="E919">
            <v>1293</v>
          </cell>
          <cell r="F919">
            <v>5421.1597337499998</v>
          </cell>
          <cell r="H919">
            <v>1293</v>
          </cell>
          <cell r="I919">
            <v>5421.1597337499998</v>
          </cell>
        </row>
        <row r="920">
          <cell r="B920">
            <v>1294</v>
          </cell>
          <cell r="C920">
            <v>1476.4633640699999</v>
          </cell>
          <cell r="E920">
            <v>1294</v>
          </cell>
          <cell r="F920">
            <v>3121.3306528900021</v>
          </cell>
          <cell r="H920">
            <v>1294</v>
          </cell>
          <cell r="I920">
            <v>3121.3306528900021</v>
          </cell>
        </row>
        <row r="921">
          <cell r="B921">
            <v>1295</v>
          </cell>
          <cell r="C921">
            <v>2137.6032860700011</v>
          </cell>
          <cell r="E921">
            <v>1295</v>
          </cell>
          <cell r="F921">
            <v>4291.5642479400021</v>
          </cell>
          <cell r="H921">
            <v>1295</v>
          </cell>
          <cell r="I921">
            <v>4291.5642479400021</v>
          </cell>
        </row>
        <row r="922">
          <cell r="B922">
            <v>1296</v>
          </cell>
          <cell r="C922">
            <v>1698.8085977400001</v>
          </cell>
          <cell r="E922">
            <v>1296</v>
          </cell>
          <cell r="F922">
            <v>3566.3025134299996</v>
          </cell>
          <cell r="H922">
            <v>1296</v>
          </cell>
          <cell r="I922">
            <v>3566.3025134299996</v>
          </cell>
        </row>
        <row r="923">
          <cell r="B923">
            <v>1297</v>
          </cell>
          <cell r="C923">
            <v>432.97015900000002</v>
          </cell>
          <cell r="E923">
            <v>1297</v>
          </cell>
          <cell r="F923">
            <v>930.60663246999945</v>
          </cell>
          <cell r="H923">
            <v>1297</v>
          </cell>
          <cell r="I923">
            <v>930.60663246999945</v>
          </cell>
        </row>
        <row r="924">
          <cell r="B924">
            <v>1298</v>
          </cell>
          <cell r="C924">
            <v>1342.0095949399997</v>
          </cell>
          <cell r="E924">
            <v>1298</v>
          </cell>
          <cell r="F924">
            <v>2525.1558611200003</v>
          </cell>
          <cell r="H924">
            <v>1298</v>
          </cell>
          <cell r="I924">
            <v>2525.1558611200003</v>
          </cell>
        </row>
        <row r="925">
          <cell r="B925">
            <v>1301</v>
          </cell>
          <cell r="C925">
            <v>15709.552443490003</v>
          </cell>
          <cell r="E925">
            <v>1301</v>
          </cell>
          <cell r="F925">
            <v>31162.645015120008</v>
          </cell>
          <cell r="H925">
            <v>1301</v>
          </cell>
          <cell r="I925">
            <v>31162.645015120008</v>
          </cell>
        </row>
        <row r="926">
          <cell r="B926">
            <v>1302</v>
          </cell>
          <cell r="C926">
            <v>779.3024979999999</v>
          </cell>
          <cell r="E926">
            <v>1302</v>
          </cell>
          <cell r="F926">
            <v>1584.10752207</v>
          </cell>
          <cell r="H926">
            <v>1302</v>
          </cell>
          <cell r="I926">
            <v>1584.10752207</v>
          </cell>
        </row>
        <row r="927">
          <cell r="B927">
            <v>1304</v>
          </cell>
          <cell r="C927">
            <v>2668.9790532900006</v>
          </cell>
          <cell r="E927">
            <v>1304</v>
          </cell>
          <cell r="F927">
            <v>5937.2910963700015</v>
          </cell>
          <cell r="H927">
            <v>1304</v>
          </cell>
          <cell r="I927">
            <v>5937.2910963700015</v>
          </cell>
        </row>
        <row r="928">
          <cell r="B928">
            <v>1305</v>
          </cell>
          <cell r="C928">
            <v>11510.90265147</v>
          </cell>
          <cell r="E928">
            <v>1305</v>
          </cell>
          <cell r="F928">
            <v>24363.471280519996</v>
          </cell>
          <cell r="H928">
            <v>1305</v>
          </cell>
          <cell r="I928">
            <v>24363.471280519996</v>
          </cell>
        </row>
        <row r="929">
          <cell r="B929">
            <v>1306</v>
          </cell>
          <cell r="C929">
            <v>1682.9094552399995</v>
          </cell>
          <cell r="E929">
            <v>1306</v>
          </cell>
          <cell r="F929">
            <v>3547.4415525599993</v>
          </cell>
          <cell r="H929">
            <v>1306</v>
          </cell>
          <cell r="I929">
            <v>3547.4415525599993</v>
          </cell>
        </row>
        <row r="930">
          <cell r="B930">
            <v>1307</v>
          </cell>
          <cell r="C930">
            <v>1652.52755604</v>
          </cell>
          <cell r="E930">
            <v>1307</v>
          </cell>
          <cell r="F930">
            <v>3423.934046549999</v>
          </cell>
          <cell r="H930">
            <v>1307</v>
          </cell>
          <cell r="I930">
            <v>3423.934046549999</v>
          </cell>
        </row>
        <row r="931">
          <cell r="B931">
            <v>1308</v>
          </cell>
          <cell r="C931">
            <v>9141.0482989500033</v>
          </cell>
          <cell r="E931">
            <v>1308</v>
          </cell>
          <cell r="F931">
            <v>19598.504788489994</v>
          </cell>
          <cell r="H931">
            <v>1308</v>
          </cell>
          <cell r="I931">
            <v>19598.504788489994</v>
          </cell>
        </row>
        <row r="932">
          <cell r="B932">
            <v>1311</v>
          </cell>
          <cell r="C932">
            <v>671.43767068</v>
          </cell>
          <cell r="E932">
            <v>1311</v>
          </cell>
          <cell r="F932">
            <v>1254.07488732</v>
          </cell>
          <cell r="H932">
            <v>1311</v>
          </cell>
          <cell r="I932">
            <v>1254.07488732</v>
          </cell>
        </row>
        <row r="933">
          <cell r="B933">
            <v>1312</v>
          </cell>
          <cell r="C933">
            <v>1940.7596225900004</v>
          </cell>
          <cell r="E933">
            <v>1312</v>
          </cell>
          <cell r="F933">
            <v>4551.3958795200006</v>
          </cell>
          <cell r="H933">
            <v>1312</v>
          </cell>
          <cell r="I933">
            <v>4551.3958795200006</v>
          </cell>
        </row>
        <row r="934">
          <cell r="B934">
            <v>1313</v>
          </cell>
          <cell r="C934">
            <v>3737.6544964200011</v>
          </cell>
          <cell r="E934">
            <v>1313</v>
          </cell>
          <cell r="F934">
            <v>7962.43393517</v>
          </cell>
          <cell r="H934">
            <v>1313</v>
          </cell>
          <cell r="I934">
            <v>7962.43393517</v>
          </cell>
        </row>
        <row r="935">
          <cell r="B935">
            <v>1314</v>
          </cell>
          <cell r="C935">
            <v>1618.4143427600004</v>
          </cell>
          <cell r="E935">
            <v>1314</v>
          </cell>
          <cell r="F935">
            <v>3344.8149196299996</v>
          </cell>
          <cell r="H935">
            <v>1314</v>
          </cell>
          <cell r="I935">
            <v>3344.8149196299996</v>
          </cell>
        </row>
        <row r="936">
          <cell r="B936">
            <v>1315</v>
          </cell>
          <cell r="C936">
            <v>9319.3473113700002</v>
          </cell>
          <cell r="E936">
            <v>1315</v>
          </cell>
          <cell r="F936">
            <v>20529.780976719991</v>
          </cell>
          <cell r="H936">
            <v>1315</v>
          </cell>
          <cell r="I936">
            <v>20529.780976719991</v>
          </cell>
        </row>
        <row r="937">
          <cell r="B937">
            <v>1316</v>
          </cell>
          <cell r="C937">
            <v>528.17532067999991</v>
          </cell>
          <cell r="E937">
            <v>1316</v>
          </cell>
          <cell r="F937">
            <v>1124.8582370400004</v>
          </cell>
          <cell r="H937">
            <v>1316</v>
          </cell>
          <cell r="I937">
            <v>1124.8582370400004</v>
          </cell>
        </row>
        <row r="938">
          <cell r="B938">
            <v>1317</v>
          </cell>
          <cell r="C938">
            <v>1068.5074442600001</v>
          </cell>
          <cell r="E938">
            <v>1317</v>
          </cell>
          <cell r="F938">
            <v>2036.0116834200001</v>
          </cell>
          <cell r="H938">
            <v>1317</v>
          </cell>
          <cell r="I938">
            <v>2036.0116834200001</v>
          </cell>
        </row>
        <row r="939">
          <cell r="B939">
            <v>1320</v>
          </cell>
          <cell r="C939">
            <v>2410.5165807900007</v>
          </cell>
          <cell r="E939">
            <v>1320</v>
          </cell>
          <cell r="F939">
            <v>5485.276668139998</v>
          </cell>
          <cell r="H939">
            <v>1320</v>
          </cell>
          <cell r="I939">
            <v>5485.276668139998</v>
          </cell>
        </row>
        <row r="940">
          <cell r="B940">
            <v>1321</v>
          </cell>
          <cell r="C940">
            <v>238.54503789</v>
          </cell>
          <cell r="E940">
            <v>1321</v>
          </cell>
          <cell r="F940">
            <v>515.64431028999979</v>
          </cell>
          <cell r="H940">
            <v>1321</v>
          </cell>
          <cell r="I940">
            <v>515.64431028999979</v>
          </cell>
        </row>
        <row r="941">
          <cell r="B941">
            <v>1322</v>
          </cell>
          <cell r="C941">
            <v>7880.9583178299999</v>
          </cell>
          <cell r="E941">
            <v>1322</v>
          </cell>
          <cell r="F941">
            <v>17264.502795679997</v>
          </cell>
          <cell r="H941">
            <v>1322</v>
          </cell>
          <cell r="I941">
            <v>17264.502795679997</v>
          </cell>
        </row>
        <row r="942">
          <cell r="B942">
            <v>1323</v>
          </cell>
          <cell r="C942">
            <v>866.94078858</v>
          </cell>
          <cell r="E942">
            <v>1323</v>
          </cell>
          <cell r="F942">
            <v>1846.4182904799991</v>
          </cell>
          <cell r="H942">
            <v>1323</v>
          </cell>
          <cell r="I942">
            <v>1846.4182904799991</v>
          </cell>
        </row>
        <row r="943">
          <cell r="B943">
            <v>1326</v>
          </cell>
          <cell r="C943">
            <v>2577.8934998299997</v>
          </cell>
          <cell r="E943">
            <v>1326</v>
          </cell>
          <cell r="F943">
            <v>5427.2781991700003</v>
          </cell>
          <cell r="H943">
            <v>1326</v>
          </cell>
          <cell r="I943">
            <v>5427.2781991700003</v>
          </cell>
        </row>
        <row r="944">
          <cell r="B944">
            <v>1328</v>
          </cell>
          <cell r="C944">
            <v>778.99071433000006</v>
          </cell>
          <cell r="E944">
            <v>1328</v>
          </cell>
          <cell r="F944">
            <v>1636.4235326999988</v>
          </cell>
          <cell r="H944">
            <v>1328</v>
          </cell>
          <cell r="I944">
            <v>1636.4235326999988</v>
          </cell>
        </row>
        <row r="945">
          <cell r="B945">
            <v>1330</v>
          </cell>
          <cell r="C945">
            <v>2522.2853882099998</v>
          </cell>
          <cell r="E945">
            <v>1330</v>
          </cell>
          <cell r="F945">
            <v>5294.2392725199988</v>
          </cell>
          <cell r="H945">
            <v>1330</v>
          </cell>
          <cell r="I945">
            <v>5294.2392725199988</v>
          </cell>
        </row>
        <row r="946">
          <cell r="B946">
            <v>1332</v>
          </cell>
          <cell r="C946">
            <v>1905.03422144</v>
          </cell>
          <cell r="E946">
            <v>1332</v>
          </cell>
          <cell r="F946">
            <v>4013.1779644099993</v>
          </cell>
          <cell r="H946">
            <v>1332</v>
          </cell>
          <cell r="I946">
            <v>4013.1779644099993</v>
          </cell>
        </row>
        <row r="947">
          <cell r="B947">
            <v>1334</v>
          </cell>
          <cell r="C947">
            <v>4678.80440499</v>
          </cell>
          <cell r="E947">
            <v>1334</v>
          </cell>
          <cell r="F947">
            <v>11062.97869998</v>
          </cell>
          <cell r="H947">
            <v>1334</v>
          </cell>
          <cell r="I947">
            <v>11062.97869998</v>
          </cell>
        </row>
        <row r="948">
          <cell r="B948">
            <v>1336</v>
          </cell>
          <cell r="C948">
            <v>11794.376870580001</v>
          </cell>
          <cell r="E948">
            <v>1336</v>
          </cell>
          <cell r="F948">
            <v>25579.002861609995</v>
          </cell>
          <cell r="H948">
            <v>1336</v>
          </cell>
          <cell r="I948">
            <v>25579.002861609995</v>
          </cell>
        </row>
        <row r="949">
          <cell r="B949">
            <v>1337</v>
          </cell>
          <cell r="C949">
            <v>6046.6515630299991</v>
          </cell>
          <cell r="E949">
            <v>1337</v>
          </cell>
          <cell r="F949">
            <v>12695.975275640001</v>
          </cell>
          <cell r="H949">
            <v>1337</v>
          </cell>
          <cell r="I949">
            <v>12695.975275640001</v>
          </cell>
        </row>
        <row r="950">
          <cell r="B950">
            <v>1340</v>
          </cell>
          <cell r="C950">
            <v>950.90623671000014</v>
          </cell>
          <cell r="E950">
            <v>1340</v>
          </cell>
          <cell r="F950">
            <v>2001.6743313099994</v>
          </cell>
          <cell r="H950">
            <v>1340</v>
          </cell>
          <cell r="I950">
            <v>2001.6743313099994</v>
          </cell>
        </row>
        <row r="951">
          <cell r="B951">
            <v>1342</v>
          </cell>
          <cell r="C951">
            <v>8.1888000000000002E-2</v>
          </cell>
          <cell r="E951">
            <v>1342</v>
          </cell>
          <cell r="F951">
            <v>50.245793999999997</v>
          </cell>
          <cell r="H951">
            <v>1342</v>
          </cell>
          <cell r="I951">
            <v>50.245793999999997</v>
          </cell>
        </row>
        <row r="952">
          <cell r="B952">
            <v>1343</v>
          </cell>
          <cell r="C952">
            <v>2814.5666072699996</v>
          </cell>
          <cell r="E952">
            <v>1343</v>
          </cell>
          <cell r="F952">
            <v>5853.8333754499999</v>
          </cell>
          <cell r="H952">
            <v>1343</v>
          </cell>
          <cell r="I952">
            <v>5853.8333754499999</v>
          </cell>
        </row>
        <row r="953">
          <cell r="B953">
            <v>1347</v>
          </cell>
          <cell r="C953">
            <v>1513.2422054199997</v>
          </cell>
          <cell r="E953">
            <v>1347</v>
          </cell>
          <cell r="F953">
            <v>3412.2652891499997</v>
          </cell>
          <cell r="H953">
            <v>1347</v>
          </cell>
          <cell r="I953">
            <v>3412.2652891499997</v>
          </cell>
        </row>
        <row r="954">
          <cell r="B954">
            <v>1348</v>
          </cell>
          <cell r="C954">
            <v>4123.72937955</v>
          </cell>
          <cell r="E954">
            <v>1348</v>
          </cell>
          <cell r="F954">
            <v>8598.0565751199993</v>
          </cell>
          <cell r="H954">
            <v>1348</v>
          </cell>
          <cell r="I954">
            <v>8598.0565751199993</v>
          </cell>
        </row>
        <row r="955">
          <cell r="B955">
            <v>1349</v>
          </cell>
          <cell r="C955">
            <v>6628.8798387299985</v>
          </cell>
          <cell r="E955">
            <v>1349</v>
          </cell>
          <cell r="F955">
            <v>14114.802382549995</v>
          </cell>
          <cell r="H955">
            <v>1349</v>
          </cell>
          <cell r="I955">
            <v>14114.802382549995</v>
          </cell>
        </row>
        <row r="956">
          <cell r="B956">
            <v>1350</v>
          </cell>
          <cell r="C956">
            <v>2527.3216212899997</v>
          </cell>
          <cell r="E956">
            <v>1350</v>
          </cell>
          <cell r="F956">
            <v>5145.9291117100001</v>
          </cell>
          <cell r="H956">
            <v>1350</v>
          </cell>
          <cell r="I956">
            <v>5145.9291117100001</v>
          </cell>
        </row>
        <row r="957">
          <cell r="B957">
            <v>1352</v>
          </cell>
          <cell r="C957">
            <v>8679.4122421299999</v>
          </cell>
          <cell r="E957">
            <v>1352</v>
          </cell>
          <cell r="F957">
            <v>18497.410893569999</v>
          </cell>
          <cell r="H957">
            <v>1352</v>
          </cell>
          <cell r="I957">
            <v>18497.410893569999</v>
          </cell>
        </row>
        <row r="958">
          <cell r="B958">
            <v>1353</v>
          </cell>
          <cell r="C958">
            <v>39252.155880369988</v>
          </cell>
          <cell r="E958">
            <v>1353</v>
          </cell>
          <cell r="F958">
            <v>82466.540904709997</v>
          </cell>
          <cell r="H958">
            <v>1353</v>
          </cell>
          <cell r="I958">
            <v>82466.540904709997</v>
          </cell>
        </row>
        <row r="959">
          <cell r="B959">
            <v>1355</v>
          </cell>
          <cell r="C959">
            <v>659.73958771000014</v>
          </cell>
          <cell r="E959">
            <v>1355</v>
          </cell>
          <cell r="F959">
            <v>1436.5190935500007</v>
          </cell>
          <cell r="H959">
            <v>1355</v>
          </cell>
          <cell r="I959">
            <v>1436.5190935500007</v>
          </cell>
        </row>
        <row r="960">
          <cell r="B960">
            <v>1356</v>
          </cell>
          <cell r="C960">
            <v>2841.8838182899999</v>
          </cell>
          <cell r="E960">
            <v>1356</v>
          </cell>
          <cell r="F960">
            <v>5807.4224287699999</v>
          </cell>
          <cell r="H960">
            <v>1356</v>
          </cell>
          <cell r="I960">
            <v>5807.4224287699999</v>
          </cell>
        </row>
        <row r="961">
          <cell r="B961">
            <v>1359</v>
          </cell>
          <cell r="C961">
            <v>13706.485740160002</v>
          </cell>
          <cell r="E961">
            <v>1359</v>
          </cell>
          <cell r="F961">
            <v>28931.656219629986</v>
          </cell>
          <cell r="H961">
            <v>1359</v>
          </cell>
          <cell r="I961">
            <v>28931.656219629986</v>
          </cell>
        </row>
        <row r="962">
          <cell r="B962">
            <v>1361</v>
          </cell>
          <cell r="C962">
            <v>4598.6413320000001</v>
          </cell>
          <cell r="E962">
            <v>1361</v>
          </cell>
          <cell r="F962">
            <v>9641.8118645899995</v>
          </cell>
          <cell r="H962">
            <v>1361</v>
          </cell>
          <cell r="I962">
            <v>9641.8118645899995</v>
          </cell>
        </row>
        <row r="963">
          <cell r="B963">
            <v>1362</v>
          </cell>
          <cell r="C963">
            <v>2144.4926078699996</v>
          </cell>
          <cell r="E963">
            <v>1362</v>
          </cell>
          <cell r="F963">
            <v>4420.9954017400005</v>
          </cell>
          <cell r="H963">
            <v>1362</v>
          </cell>
          <cell r="I963">
            <v>4420.9954017400005</v>
          </cell>
        </row>
        <row r="964">
          <cell r="B964">
            <v>1363</v>
          </cell>
          <cell r="C964">
            <v>1640.0108847500001</v>
          </cell>
          <cell r="E964">
            <v>1363</v>
          </cell>
          <cell r="F964">
            <v>3507.1322269100001</v>
          </cell>
          <cell r="H964">
            <v>1363</v>
          </cell>
          <cell r="I964">
            <v>3507.1322269100001</v>
          </cell>
        </row>
        <row r="965">
          <cell r="B965">
            <v>1369</v>
          </cell>
          <cell r="C965">
            <v>1103.1512101499998</v>
          </cell>
          <cell r="E965">
            <v>1369</v>
          </cell>
          <cell r="F965">
            <v>2370.9287846499997</v>
          </cell>
          <cell r="H965">
            <v>1369</v>
          </cell>
          <cell r="I965">
            <v>2370.9287846499997</v>
          </cell>
        </row>
        <row r="966">
          <cell r="B966">
            <v>1370</v>
          </cell>
          <cell r="C966">
            <v>6132.6837521499992</v>
          </cell>
          <cell r="E966">
            <v>1370</v>
          </cell>
          <cell r="F966">
            <v>12441.929622149999</v>
          </cell>
          <cell r="H966">
            <v>1370</v>
          </cell>
          <cell r="I966">
            <v>12441.929622149999</v>
          </cell>
        </row>
        <row r="967">
          <cell r="B967">
            <v>1371</v>
          </cell>
          <cell r="C967">
            <v>7284.13632882</v>
          </cell>
          <cell r="E967">
            <v>1371</v>
          </cell>
          <cell r="F967">
            <v>15445.66018796</v>
          </cell>
          <cell r="H967">
            <v>1371</v>
          </cell>
          <cell r="I967">
            <v>15445.66018796</v>
          </cell>
        </row>
        <row r="968">
          <cell r="B968">
            <v>1372</v>
          </cell>
          <cell r="C968">
            <v>11460.662062389998</v>
          </cell>
          <cell r="E968">
            <v>1372</v>
          </cell>
          <cell r="F968">
            <v>23705.846979620008</v>
          </cell>
          <cell r="H968">
            <v>1372</v>
          </cell>
          <cell r="I968">
            <v>23705.846979620008</v>
          </cell>
        </row>
        <row r="969">
          <cell r="B969">
            <v>1375</v>
          </cell>
          <cell r="C969">
            <v>2184.5555637599991</v>
          </cell>
          <cell r="E969">
            <v>1375</v>
          </cell>
          <cell r="F969">
            <v>4580.8435020599991</v>
          </cell>
          <cell r="H969">
            <v>1375</v>
          </cell>
          <cell r="I969">
            <v>4580.8435020599991</v>
          </cell>
        </row>
        <row r="970">
          <cell r="B970">
            <v>1376</v>
          </cell>
          <cell r="C970">
            <v>4603.7171969700003</v>
          </cell>
          <cell r="E970">
            <v>1376</v>
          </cell>
          <cell r="F970">
            <v>8889.052956890002</v>
          </cell>
          <cell r="H970">
            <v>1376</v>
          </cell>
          <cell r="I970">
            <v>8889.052956890002</v>
          </cell>
        </row>
        <row r="971">
          <cell r="B971">
            <v>1379</v>
          </cell>
          <cell r="C971">
            <v>6397.9876914300003</v>
          </cell>
          <cell r="E971">
            <v>1379</v>
          </cell>
          <cell r="F971">
            <v>13172.442412269998</v>
          </cell>
          <cell r="H971">
            <v>1379</v>
          </cell>
          <cell r="I971">
            <v>13172.442412269998</v>
          </cell>
        </row>
        <row r="972">
          <cell r="B972">
            <v>1381</v>
          </cell>
          <cell r="C972">
            <v>1422.9063728699998</v>
          </cell>
          <cell r="E972">
            <v>1381</v>
          </cell>
          <cell r="F972">
            <v>3211.4265969000003</v>
          </cell>
          <cell r="H972">
            <v>1381</v>
          </cell>
          <cell r="I972">
            <v>3211.4265969000003</v>
          </cell>
        </row>
        <row r="973">
          <cell r="B973">
            <v>1383</v>
          </cell>
          <cell r="C973">
            <v>522.01465977999999</v>
          </cell>
          <cell r="E973">
            <v>1383</v>
          </cell>
          <cell r="F973">
            <v>1034.0186546600003</v>
          </cell>
          <cell r="H973">
            <v>1383</v>
          </cell>
          <cell r="I973">
            <v>1034.0186546600003</v>
          </cell>
        </row>
        <row r="974">
          <cell r="B974">
            <v>1384</v>
          </cell>
          <cell r="C974">
            <v>1115.5314399999997</v>
          </cell>
          <cell r="E974">
            <v>1384</v>
          </cell>
          <cell r="F974">
            <v>2468.8084696799992</v>
          </cell>
          <cell r="H974">
            <v>1384</v>
          </cell>
          <cell r="I974">
            <v>2468.8084696799992</v>
          </cell>
        </row>
        <row r="975">
          <cell r="B975">
            <v>1386</v>
          </cell>
          <cell r="C975">
            <v>1184.4967909500003</v>
          </cell>
          <cell r="E975">
            <v>1386</v>
          </cell>
          <cell r="F975">
            <v>2595.2789294599997</v>
          </cell>
          <cell r="H975">
            <v>1386</v>
          </cell>
          <cell r="I975">
            <v>2595.2789294599997</v>
          </cell>
        </row>
        <row r="976">
          <cell r="B976">
            <v>1387</v>
          </cell>
          <cell r="C976">
            <v>2495.1425044400003</v>
          </cell>
          <cell r="E976">
            <v>1387</v>
          </cell>
          <cell r="F976">
            <v>5292.5670514599979</v>
          </cell>
          <cell r="H976">
            <v>1387</v>
          </cell>
          <cell r="I976">
            <v>5292.5670514599979</v>
          </cell>
        </row>
        <row r="977">
          <cell r="B977">
            <v>1388</v>
          </cell>
          <cell r="C977">
            <v>2828.7931340199993</v>
          </cell>
          <cell r="E977">
            <v>1388</v>
          </cell>
          <cell r="F977">
            <v>6296.3253513799991</v>
          </cell>
          <cell r="H977">
            <v>1388</v>
          </cell>
          <cell r="I977">
            <v>6296.3253513799991</v>
          </cell>
        </row>
        <row r="978">
          <cell r="B978">
            <v>1390</v>
          </cell>
          <cell r="C978">
            <v>723.86954012000001</v>
          </cell>
          <cell r="E978">
            <v>1390</v>
          </cell>
          <cell r="F978">
            <v>1525.5843212200004</v>
          </cell>
          <cell r="H978">
            <v>1390</v>
          </cell>
          <cell r="I978">
            <v>1525.5843212200004</v>
          </cell>
        </row>
        <row r="979">
          <cell r="B979">
            <v>1392</v>
          </cell>
          <cell r="C979">
            <v>4470.9446649300007</v>
          </cell>
          <cell r="E979">
            <v>1392</v>
          </cell>
          <cell r="F979">
            <v>9491.7081435500004</v>
          </cell>
          <cell r="H979">
            <v>1392</v>
          </cell>
          <cell r="I979">
            <v>9491.7081435500004</v>
          </cell>
        </row>
        <row r="980">
          <cell r="B980">
            <v>1393</v>
          </cell>
          <cell r="C980">
            <v>5074.7810984200005</v>
          </cell>
          <cell r="E980">
            <v>1393</v>
          </cell>
          <cell r="F980">
            <v>10719.176724949997</v>
          </cell>
          <cell r="H980">
            <v>1393</v>
          </cell>
          <cell r="I980">
            <v>10719.176724949997</v>
          </cell>
        </row>
        <row r="981">
          <cell r="B981">
            <v>1395</v>
          </cell>
          <cell r="C981">
            <v>2768.7821884099999</v>
          </cell>
          <cell r="E981">
            <v>1395</v>
          </cell>
          <cell r="F981">
            <v>5311.0166570499996</v>
          </cell>
          <cell r="H981">
            <v>1395</v>
          </cell>
          <cell r="I981">
            <v>5311.0166570499996</v>
          </cell>
        </row>
        <row r="982">
          <cell r="B982">
            <v>1397</v>
          </cell>
          <cell r="C982">
            <v>1787.0759985899999</v>
          </cell>
          <cell r="E982">
            <v>1397</v>
          </cell>
          <cell r="F982">
            <v>3804.5821417100001</v>
          </cell>
          <cell r="H982">
            <v>1397</v>
          </cell>
          <cell r="I982">
            <v>3804.5821417100001</v>
          </cell>
        </row>
        <row r="983">
          <cell r="B983">
            <v>1398</v>
          </cell>
          <cell r="C983">
            <v>4513.072074740001</v>
          </cell>
          <cell r="E983">
            <v>1398</v>
          </cell>
          <cell r="F983">
            <v>9571.0948395899995</v>
          </cell>
          <cell r="H983">
            <v>1398</v>
          </cell>
          <cell r="I983">
            <v>9571.0948395899995</v>
          </cell>
        </row>
        <row r="984">
          <cell r="B984">
            <v>1399</v>
          </cell>
          <cell r="C984">
            <v>5323.9493962200004</v>
          </cell>
          <cell r="E984">
            <v>1399</v>
          </cell>
          <cell r="F984">
            <v>10808.451132060001</v>
          </cell>
          <cell r="H984">
            <v>1399</v>
          </cell>
          <cell r="I984">
            <v>10808.451132060001</v>
          </cell>
        </row>
        <row r="985">
          <cell r="B985">
            <v>1400</v>
          </cell>
          <cell r="C985">
            <v>5472.2386717900008</v>
          </cell>
          <cell r="E985">
            <v>1400</v>
          </cell>
          <cell r="F985">
            <v>14625.897638290004</v>
          </cell>
          <cell r="H985">
            <v>1400</v>
          </cell>
          <cell r="I985">
            <v>14625.897638290004</v>
          </cell>
        </row>
        <row r="986">
          <cell r="B986">
            <v>1401</v>
          </cell>
          <cell r="C986">
            <v>9986.4118792400004</v>
          </cell>
          <cell r="E986">
            <v>1401</v>
          </cell>
          <cell r="F986">
            <v>20654.669804330006</v>
          </cell>
          <cell r="H986">
            <v>1401</v>
          </cell>
          <cell r="I986">
            <v>20654.669804330006</v>
          </cell>
        </row>
        <row r="987">
          <cell r="B987">
            <v>1402</v>
          </cell>
          <cell r="C987">
            <v>569.68751574000009</v>
          </cell>
          <cell r="E987">
            <v>1402</v>
          </cell>
          <cell r="F987">
            <v>1250.5197585199999</v>
          </cell>
          <cell r="H987">
            <v>1402</v>
          </cell>
          <cell r="I987">
            <v>1250.5197585199999</v>
          </cell>
        </row>
        <row r="988">
          <cell r="B988">
            <v>1403</v>
          </cell>
          <cell r="C988">
            <v>16914.447196420006</v>
          </cell>
          <cell r="E988">
            <v>1403</v>
          </cell>
          <cell r="F988">
            <v>37279.603058379995</v>
          </cell>
          <cell r="H988">
            <v>1403</v>
          </cell>
          <cell r="I988">
            <v>37279.603058379995</v>
          </cell>
        </row>
        <row r="989">
          <cell r="B989">
            <v>1404</v>
          </cell>
          <cell r="C989">
            <v>1827.3604583800004</v>
          </cell>
          <cell r="E989">
            <v>1404</v>
          </cell>
          <cell r="F989">
            <v>3733.0874696499995</v>
          </cell>
          <cell r="H989">
            <v>1404</v>
          </cell>
          <cell r="I989">
            <v>3733.0874696499995</v>
          </cell>
        </row>
        <row r="990">
          <cell r="B990">
            <v>1405</v>
          </cell>
          <cell r="C990">
            <v>3540.4495501699994</v>
          </cell>
          <cell r="E990">
            <v>1405</v>
          </cell>
          <cell r="F990">
            <v>7722.81234666</v>
          </cell>
          <cell r="H990">
            <v>1405</v>
          </cell>
          <cell r="I990">
            <v>7722.81234666</v>
          </cell>
        </row>
        <row r="991">
          <cell r="B991">
            <v>1407</v>
          </cell>
          <cell r="C991">
            <v>9933.4620292299987</v>
          </cell>
          <cell r="E991">
            <v>1407</v>
          </cell>
          <cell r="F991">
            <v>20652.756660859995</v>
          </cell>
          <cell r="H991">
            <v>1407</v>
          </cell>
          <cell r="I991">
            <v>20652.756660859995</v>
          </cell>
        </row>
        <row r="992">
          <cell r="B992">
            <v>1408</v>
          </cell>
          <cell r="C992">
            <v>5189.2624503999996</v>
          </cell>
          <cell r="E992">
            <v>1408</v>
          </cell>
          <cell r="F992">
            <v>11138.434901769995</v>
          </cell>
          <cell r="H992">
            <v>1408</v>
          </cell>
          <cell r="I992">
            <v>11138.434901769995</v>
          </cell>
        </row>
        <row r="993">
          <cell r="B993">
            <v>1409</v>
          </cell>
          <cell r="C993">
            <v>4563.7983328300006</v>
          </cell>
          <cell r="E993">
            <v>1409</v>
          </cell>
          <cell r="F993">
            <v>9375.877369339998</v>
          </cell>
          <cell r="H993">
            <v>1409</v>
          </cell>
          <cell r="I993">
            <v>9375.877369339998</v>
          </cell>
        </row>
        <row r="994">
          <cell r="B994">
            <v>1410</v>
          </cell>
          <cell r="C994">
            <v>881.5238346299999</v>
          </cell>
          <cell r="E994">
            <v>1410</v>
          </cell>
          <cell r="F994">
            <v>1959.1386275299997</v>
          </cell>
          <cell r="H994">
            <v>1410</v>
          </cell>
          <cell r="I994">
            <v>1959.1386275299997</v>
          </cell>
        </row>
        <row r="995">
          <cell r="B995">
            <v>1411</v>
          </cell>
          <cell r="C995">
            <v>68.887259160000013</v>
          </cell>
          <cell r="E995">
            <v>1411</v>
          </cell>
          <cell r="F995">
            <v>226.94826432999994</v>
          </cell>
          <cell r="H995">
            <v>1411</v>
          </cell>
          <cell r="I995">
            <v>226.94826432999994</v>
          </cell>
        </row>
        <row r="996">
          <cell r="B996">
            <v>1413</v>
          </cell>
          <cell r="C996">
            <v>2667.9470242300008</v>
          </cell>
          <cell r="E996">
            <v>1413</v>
          </cell>
          <cell r="F996">
            <v>5746.3741123300024</v>
          </cell>
          <cell r="H996">
            <v>1413</v>
          </cell>
          <cell r="I996">
            <v>5746.3741123300024</v>
          </cell>
        </row>
        <row r="997">
          <cell r="B997">
            <v>1415</v>
          </cell>
          <cell r="C997">
            <v>1059.1087767700001</v>
          </cell>
          <cell r="E997">
            <v>1415</v>
          </cell>
          <cell r="F997">
            <v>2363.26632475</v>
          </cell>
          <cell r="H997">
            <v>1415</v>
          </cell>
          <cell r="I997">
            <v>2363.26632475</v>
          </cell>
        </row>
        <row r="998">
          <cell r="B998">
            <v>1416</v>
          </cell>
          <cell r="C998">
            <v>20191.655303880005</v>
          </cell>
          <cell r="E998">
            <v>1416</v>
          </cell>
          <cell r="F998">
            <v>42078.877448960011</v>
          </cell>
          <cell r="H998">
            <v>1416</v>
          </cell>
          <cell r="I998">
            <v>42078.877448960011</v>
          </cell>
        </row>
        <row r="999">
          <cell r="B999">
            <v>1417</v>
          </cell>
          <cell r="C999">
            <v>3784.53708495</v>
          </cell>
          <cell r="E999">
            <v>1417</v>
          </cell>
          <cell r="F999">
            <v>8272.2656315699969</v>
          </cell>
          <cell r="H999">
            <v>1417</v>
          </cell>
          <cell r="I999">
            <v>8272.2656315699969</v>
          </cell>
        </row>
        <row r="1000">
          <cell r="B1000">
            <v>1418</v>
          </cell>
          <cell r="C1000">
            <v>8173.246390129998</v>
          </cell>
          <cell r="E1000">
            <v>1418</v>
          </cell>
          <cell r="F1000">
            <v>16538.13662211</v>
          </cell>
          <cell r="H1000">
            <v>1418</v>
          </cell>
          <cell r="I1000">
            <v>16538.13662211</v>
          </cell>
        </row>
        <row r="1001">
          <cell r="B1001">
            <v>1419</v>
          </cell>
          <cell r="C1001">
            <v>9823.6525330300028</v>
          </cell>
          <cell r="E1001">
            <v>1419</v>
          </cell>
          <cell r="F1001">
            <v>20220.667864420004</v>
          </cell>
          <cell r="H1001">
            <v>1419</v>
          </cell>
          <cell r="I1001">
            <v>20220.667864420004</v>
          </cell>
        </row>
        <row r="1002">
          <cell r="B1002">
            <v>1420</v>
          </cell>
          <cell r="C1002">
            <v>8484.7529601599999</v>
          </cell>
          <cell r="E1002">
            <v>1420</v>
          </cell>
          <cell r="F1002">
            <v>18220.12653193</v>
          </cell>
          <cell r="H1002">
            <v>1420</v>
          </cell>
          <cell r="I1002">
            <v>18220.12653193</v>
          </cell>
        </row>
        <row r="1003">
          <cell r="B1003">
            <v>1422</v>
          </cell>
          <cell r="C1003">
            <v>1597.3826695499999</v>
          </cell>
          <cell r="E1003">
            <v>1422</v>
          </cell>
          <cell r="F1003">
            <v>3424.1495154400009</v>
          </cell>
          <cell r="H1003">
            <v>1422</v>
          </cell>
          <cell r="I1003">
            <v>3424.1495154400009</v>
          </cell>
        </row>
        <row r="1004">
          <cell r="B1004">
            <v>1424</v>
          </cell>
          <cell r="C1004">
            <v>4004.5725235399987</v>
          </cell>
          <cell r="E1004">
            <v>1424</v>
          </cell>
          <cell r="F1004">
            <v>8459.2145978000026</v>
          </cell>
          <cell r="H1004">
            <v>1424</v>
          </cell>
          <cell r="I1004">
            <v>8459.2145978000026</v>
          </cell>
        </row>
        <row r="1005">
          <cell r="B1005">
            <v>1426</v>
          </cell>
          <cell r="C1005">
            <v>8281.1085829099993</v>
          </cell>
          <cell r="E1005">
            <v>1426</v>
          </cell>
          <cell r="F1005">
            <v>17634.273452640002</v>
          </cell>
          <cell r="H1005">
            <v>1426</v>
          </cell>
          <cell r="I1005">
            <v>17634.273452640002</v>
          </cell>
        </row>
        <row r="1006">
          <cell r="B1006">
            <v>1429</v>
          </cell>
          <cell r="C1006">
            <v>8261.0067558999999</v>
          </cell>
          <cell r="E1006">
            <v>1429</v>
          </cell>
          <cell r="F1006">
            <v>16843.850022190007</v>
          </cell>
          <cell r="H1006">
            <v>1429</v>
          </cell>
          <cell r="I1006">
            <v>16843.850022190007</v>
          </cell>
        </row>
        <row r="1007">
          <cell r="B1007">
            <v>1432</v>
          </cell>
          <cell r="C1007">
            <v>14141.833424059998</v>
          </cell>
          <cell r="E1007">
            <v>1432</v>
          </cell>
          <cell r="F1007">
            <v>29763.053158660008</v>
          </cell>
          <cell r="H1007">
            <v>1432</v>
          </cell>
          <cell r="I1007">
            <v>29763.053158660008</v>
          </cell>
        </row>
        <row r="1008">
          <cell r="B1008">
            <v>1433</v>
          </cell>
          <cell r="C1008">
            <v>386.03463914000002</v>
          </cell>
          <cell r="E1008">
            <v>1433</v>
          </cell>
          <cell r="F1008">
            <v>771.05501975999971</v>
          </cell>
          <cell r="H1008">
            <v>1433</v>
          </cell>
          <cell r="I1008">
            <v>771.05501975999971</v>
          </cell>
        </row>
        <row r="1009">
          <cell r="B1009">
            <v>1435</v>
          </cell>
          <cell r="C1009">
            <v>8057.6679738400026</v>
          </cell>
          <cell r="E1009">
            <v>1435</v>
          </cell>
          <cell r="F1009">
            <v>16385.680984959981</v>
          </cell>
          <cell r="H1009">
            <v>1435</v>
          </cell>
          <cell r="I1009">
            <v>16385.680984959981</v>
          </cell>
        </row>
        <row r="1010">
          <cell r="B1010">
            <v>1437</v>
          </cell>
          <cell r="C1010">
            <v>4228.1602114900006</v>
          </cell>
          <cell r="E1010">
            <v>1437</v>
          </cell>
          <cell r="F1010">
            <v>8677.8024430899986</v>
          </cell>
          <cell r="H1010">
            <v>1437</v>
          </cell>
          <cell r="I1010">
            <v>8677.8024430899986</v>
          </cell>
        </row>
        <row r="1011">
          <cell r="B1011">
            <v>1439</v>
          </cell>
          <cell r="C1011">
            <v>9001.8853665200022</v>
          </cell>
          <cell r="E1011">
            <v>1439</v>
          </cell>
          <cell r="F1011">
            <v>19118.920491410005</v>
          </cell>
          <cell r="H1011">
            <v>1439</v>
          </cell>
          <cell r="I1011">
            <v>19118.920491410005</v>
          </cell>
        </row>
        <row r="1012">
          <cell r="B1012">
            <v>1440</v>
          </cell>
          <cell r="C1012">
            <v>5559.1022674200003</v>
          </cell>
          <cell r="E1012">
            <v>1440</v>
          </cell>
          <cell r="F1012">
            <v>11775.600787099997</v>
          </cell>
          <cell r="H1012">
            <v>1440</v>
          </cell>
          <cell r="I1012">
            <v>11775.600787099997</v>
          </cell>
        </row>
        <row r="1013">
          <cell r="B1013">
            <v>1444</v>
          </cell>
          <cell r="C1013">
            <v>4214.3224758900005</v>
          </cell>
          <cell r="E1013">
            <v>1444</v>
          </cell>
          <cell r="F1013">
            <v>9067.3450233699987</v>
          </cell>
          <cell r="H1013">
            <v>1444</v>
          </cell>
          <cell r="I1013">
            <v>9067.3450233699987</v>
          </cell>
        </row>
        <row r="1014">
          <cell r="B1014">
            <v>1447</v>
          </cell>
          <cell r="C1014">
            <v>2849.4870145700002</v>
          </cell>
          <cell r="E1014">
            <v>1447</v>
          </cell>
          <cell r="F1014">
            <v>6013.2453103600019</v>
          </cell>
          <cell r="H1014">
            <v>1447</v>
          </cell>
          <cell r="I1014">
            <v>6013.2453103600019</v>
          </cell>
        </row>
        <row r="1015">
          <cell r="B1015">
            <v>1448</v>
          </cell>
          <cell r="C1015">
            <v>3141.6961684500002</v>
          </cell>
          <cell r="E1015">
            <v>1448</v>
          </cell>
          <cell r="F1015">
            <v>6664.0888352500015</v>
          </cell>
          <cell r="H1015">
            <v>1448</v>
          </cell>
          <cell r="I1015">
            <v>6664.0888352500015</v>
          </cell>
        </row>
        <row r="1016">
          <cell r="B1016">
            <v>1449</v>
          </cell>
          <cell r="C1016">
            <v>5789.6400630199996</v>
          </cell>
          <cell r="E1016">
            <v>1449</v>
          </cell>
          <cell r="F1016">
            <v>13478.255575980005</v>
          </cell>
          <cell r="H1016">
            <v>1449</v>
          </cell>
          <cell r="I1016">
            <v>13478.255575980005</v>
          </cell>
        </row>
        <row r="1017">
          <cell r="B1017">
            <v>1450</v>
          </cell>
          <cell r="C1017">
            <v>885.70419761000016</v>
          </cell>
          <cell r="E1017">
            <v>1450</v>
          </cell>
          <cell r="F1017">
            <v>1794.9467611500004</v>
          </cell>
          <cell r="H1017">
            <v>1450</v>
          </cell>
          <cell r="I1017">
            <v>1794.9467611500004</v>
          </cell>
        </row>
        <row r="1018">
          <cell r="B1018">
            <v>1451</v>
          </cell>
          <cell r="C1018">
            <v>3964.5054068300005</v>
          </cell>
          <cell r="E1018">
            <v>1451</v>
          </cell>
          <cell r="F1018">
            <v>8441.621752699999</v>
          </cell>
          <cell r="H1018">
            <v>1451</v>
          </cell>
          <cell r="I1018">
            <v>8441.621752699999</v>
          </cell>
        </row>
        <row r="1019">
          <cell r="B1019">
            <v>1452</v>
          </cell>
          <cell r="C1019">
            <v>9626.9977023200008</v>
          </cell>
          <cell r="E1019">
            <v>1452</v>
          </cell>
          <cell r="F1019">
            <v>20070.666879380005</v>
          </cell>
          <cell r="H1019">
            <v>1452</v>
          </cell>
          <cell r="I1019">
            <v>20070.666879380005</v>
          </cell>
        </row>
        <row r="1020">
          <cell r="B1020">
            <v>1453</v>
          </cell>
          <cell r="C1020">
            <v>3416.4476198899997</v>
          </cell>
          <cell r="E1020">
            <v>1453</v>
          </cell>
          <cell r="F1020">
            <v>6824.5522691899996</v>
          </cell>
          <cell r="H1020">
            <v>1453</v>
          </cell>
          <cell r="I1020">
            <v>6824.5522691899996</v>
          </cell>
        </row>
        <row r="1021">
          <cell r="B1021">
            <v>1455</v>
          </cell>
          <cell r="C1021">
            <v>5978.514546800001</v>
          </cell>
          <cell r="E1021">
            <v>1455</v>
          </cell>
          <cell r="F1021">
            <v>12165.160559899998</v>
          </cell>
          <cell r="H1021">
            <v>1455</v>
          </cell>
          <cell r="I1021">
            <v>12165.160559899998</v>
          </cell>
        </row>
        <row r="1022">
          <cell r="B1022">
            <v>1456</v>
          </cell>
          <cell r="C1022">
            <v>13089.674023799998</v>
          </cell>
          <cell r="E1022">
            <v>1456</v>
          </cell>
          <cell r="F1022">
            <v>24317.656147490001</v>
          </cell>
          <cell r="H1022">
            <v>1456</v>
          </cell>
          <cell r="I1022">
            <v>24317.656147490001</v>
          </cell>
        </row>
        <row r="1023">
          <cell r="B1023">
            <v>1457</v>
          </cell>
          <cell r="C1023">
            <v>4538.3235119300007</v>
          </cell>
          <cell r="E1023">
            <v>1457</v>
          </cell>
          <cell r="F1023">
            <v>9721.3942792400012</v>
          </cell>
          <cell r="H1023">
            <v>1457</v>
          </cell>
          <cell r="I1023">
            <v>9721.3942792400012</v>
          </cell>
        </row>
        <row r="1024">
          <cell r="B1024">
            <v>1460</v>
          </cell>
          <cell r="C1024">
            <v>2215.0779638900003</v>
          </cell>
          <cell r="E1024">
            <v>1460</v>
          </cell>
          <cell r="F1024">
            <v>4273.1209666800005</v>
          </cell>
          <cell r="H1024">
            <v>1460</v>
          </cell>
          <cell r="I1024">
            <v>4273.1209666800005</v>
          </cell>
        </row>
        <row r="1025">
          <cell r="B1025">
            <v>1465</v>
          </cell>
          <cell r="C1025">
            <v>4524.186601630001</v>
          </cell>
          <cell r="E1025">
            <v>1465</v>
          </cell>
          <cell r="F1025">
            <v>9827.4002111099999</v>
          </cell>
          <cell r="H1025">
            <v>1465</v>
          </cell>
          <cell r="I1025">
            <v>9827.4002111099999</v>
          </cell>
        </row>
        <row r="1026">
          <cell r="B1026">
            <v>1466</v>
          </cell>
          <cell r="C1026">
            <v>23720.638289799994</v>
          </cell>
          <cell r="E1026">
            <v>1466</v>
          </cell>
          <cell r="F1026">
            <v>48884.417919560008</v>
          </cell>
          <cell r="H1026">
            <v>1466</v>
          </cell>
          <cell r="I1026">
            <v>48884.417919560008</v>
          </cell>
        </row>
        <row r="1027">
          <cell r="B1027">
            <v>1468</v>
          </cell>
          <cell r="C1027">
            <v>3681.56698469</v>
          </cell>
          <cell r="E1027">
            <v>1468</v>
          </cell>
          <cell r="F1027">
            <v>7739.886173869997</v>
          </cell>
          <cell r="H1027">
            <v>1468</v>
          </cell>
          <cell r="I1027">
            <v>7739.886173869997</v>
          </cell>
        </row>
        <row r="1028">
          <cell r="B1028">
            <v>1470</v>
          </cell>
          <cell r="C1028">
            <v>1391.0626823400003</v>
          </cell>
          <cell r="E1028">
            <v>1470</v>
          </cell>
          <cell r="F1028">
            <v>3752.4014003400002</v>
          </cell>
          <cell r="H1028">
            <v>1470</v>
          </cell>
          <cell r="I1028">
            <v>3752.4014003400002</v>
          </cell>
        </row>
        <row r="1029">
          <cell r="B1029">
            <v>1471</v>
          </cell>
          <cell r="C1029">
            <v>1897.89770778</v>
          </cell>
          <cell r="E1029">
            <v>1471</v>
          </cell>
          <cell r="F1029">
            <v>4078.8523040400019</v>
          </cell>
          <cell r="H1029">
            <v>1471</v>
          </cell>
          <cell r="I1029">
            <v>4078.8523040400019</v>
          </cell>
        </row>
        <row r="1030">
          <cell r="B1030">
            <v>1473</v>
          </cell>
          <cell r="C1030">
            <v>18525.551422709999</v>
          </cell>
          <cell r="E1030">
            <v>1473</v>
          </cell>
          <cell r="F1030">
            <v>38599.609671279984</v>
          </cell>
          <cell r="H1030">
            <v>1473</v>
          </cell>
          <cell r="I1030">
            <v>38599.609671279984</v>
          </cell>
        </row>
        <row r="1031">
          <cell r="B1031">
            <v>1474</v>
          </cell>
          <cell r="C1031">
            <v>6239.5106859999978</v>
          </cell>
          <cell r="E1031">
            <v>1474</v>
          </cell>
          <cell r="F1031">
            <v>12965.907602339998</v>
          </cell>
          <cell r="H1031">
            <v>1474</v>
          </cell>
          <cell r="I1031">
            <v>12965.907602339998</v>
          </cell>
        </row>
        <row r="1032">
          <cell r="B1032">
            <v>1476</v>
          </cell>
          <cell r="C1032">
            <v>2263.0500572199999</v>
          </cell>
          <cell r="E1032">
            <v>1476</v>
          </cell>
          <cell r="F1032">
            <v>4820.2803704699982</v>
          </cell>
          <cell r="H1032">
            <v>1476</v>
          </cell>
          <cell r="I1032">
            <v>4820.2803704699982</v>
          </cell>
        </row>
        <row r="1033">
          <cell r="B1033">
            <v>1477</v>
          </cell>
          <cell r="C1033">
            <v>703.23133802999985</v>
          </cell>
          <cell r="E1033">
            <v>1477</v>
          </cell>
          <cell r="F1033">
            <v>1585.3775082899999</v>
          </cell>
          <cell r="H1033">
            <v>1477</v>
          </cell>
          <cell r="I1033">
            <v>1585.3775082899999</v>
          </cell>
        </row>
        <row r="1034">
          <cell r="B1034">
            <v>1478</v>
          </cell>
          <cell r="C1034">
            <v>2358.9737515899997</v>
          </cell>
          <cell r="E1034">
            <v>1478</v>
          </cell>
          <cell r="F1034">
            <v>4780.0676823699987</v>
          </cell>
          <cell r="H1034">
            <v>1478</v>
          </cell>
          <cell r="I1034">
            <v>4780.0676823699987</v>
          </cell>
        </row>
        <row r="1035">
          <cell r="B1035">
            <v>1480</v>
          </cell>
          <cell r="C1035">
            <v>3345.5239250700006</v>
          </cell>
          <cell r="E1035">
            <v>1480</v>
          </cell>
          <cell r="F1035">
            <v>7405.1616355100023</v>
          </cell>
          <cell r="H1035">
            <v>1480</v>
          </cell>
          <cell r="I1035">
            <v>7405.1616355100023</v>
          </cell>
        </row>
        <row r="1036">
          <cell r="B1036">
            <v>1481</v>
          </cell>
          <cell r="C1036">
            <v>4583.0218520500011</v>
          </cell>
          <cell r="E1036">
            <v>1481</v>
          </cell>
          <cell r="F1036">
            <v>9869.7877407299984</v>
          </cell>
          <cell r="H1036">
            <v>1481</v>
          </cell>
          <cell r="I1036">
            <v>9869.7877407299984</v>
          </cell>
        </row>
        <row r="1037">
          <cell r="B1037">
            <v>1482</v>
          </cell>
          <cell r="C1037">
            <v>232.78854332</v>
          </cell>
          <cell r="E1037">
            <v>1482</v>
          </cell>
          <cell r="F1037">
            <v>461.18660884999997</v>
          </cell>
          <cell r="H1037">
            <v>1482</v>
          </cell>
          <cell r="I1037">
            <v>461.18660884999997</v>
          </cell>
        </row>
        <row r="1038">
          <cell r="B1038">
            <v>1484</v>
          </cell>
          <cell r="C1038">
            <v>7733.5292663700011</v>
          </cell>
          <cell r="E1038">
            <v>1484</v>
          </cell>
          <cell r="F1038">
            <v>16622.120657619998</v>
          </cell>
          <cell r="H1038">
            <v>1484</v>
          </cell>
          <cell r="I1038">
            <v>16622.120657619998</v>
          </cell>
        </row>
        <row r="1039">
          <cell r="B1039">
            <v>1486</v>
          </cell>
          <cell r="C1039">
            <v>2679.4879869699998</v>
          </cell>
          <cell r="E1039">
            <v>1486</v>
          </cell>
          <cell r="F1039">
            <v>5588.8023679899998</v>
          </cell>
          <cell r="H1039">
            <v>1486</v>
          </cell>
          <cell r="I1039">
            <v>5588.8023679899998</v>
          </cell>
        </row>
        <row r="1040">
          <cell r="B1040">
            <v>1487</v>
          </cell>
          <cell r="C1040">
            <v>17565.543999530004</v>
          </cell>
          <cell r="E1040">
            <v>1487</v>
          </cell>
          <cell r="F1040">
            <v>36028.006995889999</v>
          </cell>
          <cell r="H1040">
            <v>1487</v>
          </cell>
          <cell r="I1040">
            <v>36028.006995889999</v>
          </cell>
        </row>
        <row r="1041">
          <cell r="B1041">
            <v>1488</v>
          </cell>
          <cell r="C1041">
            <v>2737.6639077</v>
          </cell>
          <cell r="E1041">
            <v>1488</v>
          </cell>
          <cell r="F1041">
            <v>5978.2339805900001</v>
          </cell>
          <cell r="H1041">
            <v>1488</v>
          </cell>
          <cell r="I1041">
            <v>5978.2339805900001</v>
          </cell>
        </row>
        <row r="1042">
          <cell r="B1042">
            <v>1490</v>
          </cell>
          <cell r="C1042">
            <v>8459.5416313500009</v>
          </cell>
          <cell r="E1042">
            <v>1490</v>
          </cell>
          <cell r="F1042">
            <v>17294.152630339995</v>
          </cell>
          <cell r="H1042">
            <v>1490</v>
          </cell>
          <cell r="I1042">
            <v>17294.152630339995</v>
          </cell>
        </row>
        <row r="1043">
          <cell r="B1043">
            <v>1491</v>
          </cell>
          <cell r="C1043">
            <v>3247.9415492300004</v>
          </cell>
          <cell r="E1043">
            <v>1491</v>
          </cell>
          <cell r="F1043">
            <v>6880.4830842599986</v>
          </cell>
          <cell r="H1043">
            <v>1491</v>
          </cell>
          <cell r="I1043">
            <v>6880.4830842599986</v>
          </cell>
        </row>
        <row r="1044">
          <cell r="B1044">
            <v>1492</v>
          </cell>
          <cell r="C1044">
            <v>2874.6986988200001</v>
          </cell>
          <cell r="E1044">
            <v>1492</v>
          </cell>
          <cell r="F1044">
            <v>6195.4006768500003</v>
          </cell>
          <cell r="H1044">
            <v>1492</v>
          </cell>
          <cell r="I1044">
            <v>6195.4006768500003</v>
          </cell>
        </row>
        <row r="1045">
          <cell r="B1045">
            <v>1495</v>
          </cell>
          <cell r="C1045">
            <v>6986.5451766500009</v>
          </cell>
          <cell r="E1045">
            <v>1495</v>
          </cell>
          <cell r="F1045">
            <v>14765.65630384</v>
          </cell>
          <cell r="H1045">
            <v>1495</v>
          </cell>
          <cell r="I1045">
            <v>14765.65630384</v>
          </cell>
        </row>
        <row r="1046">
          <cell r="B1046">
            <v>1497</v>
          </cell>
          <cell r="C1046">
            <v>1263.9292395599998</v>
          </cell>
          <cell r="E1046">
            <v>1497</v>
          </cell>
          <cell r="F1046">
            <v>2794.3629994999992</v>
          </cell>
          <cell r="H1046">
            <v>1497</v>
          </cell>
          <cell r="I1046">
            <v>2794.3629994999992</v>
          </cell>
        </row>
        <row r="1047">
          <cell r="B1047">
            <v>1498</v>
          </cell>
          <cell r="C1047">
            <v>1221.2762633100003</v>
          </cell>
          <cell r="E1047">
            <v>1498</v>
          </cell>
          <cell r="F1047">
            <v>2546.9050408900016</v>
          </cell>
          <cell r="H1047">
            <v>1498</v>
          </cell>
          <cell r="I1047">
            <v>2546.9050408900016</v>
          </cell>
        </row>
        <row r="1048">
          <cell r="B1048">
            <v>1499</v>
          </cell>
          <cell r="C1048">
            <v>746.82949860999963</v>
          </cell>
          <cell r="E1048">
            <v>1499</v>
          </cell>
          <cell r="F1048">
            <v>1631.476786539999</v>
          </cell>
          <cell r="H1048">
            <v>1499</v>
          </cell>
          <cell r="I1048">
            <v>1631.476786539999</v>
          </cell>
        </row>
        <row r="1049">
          <cell r="B1049">
            <v>1500</v>
          </cell>
          <cell r="C1049">
            <v>6484.0153600600006</v>
          </cell>
          <cell r="E1049">
            <v>1500</v>
          </cell>
          <cell r="F1049">
            <v>13768.750842229998</v>
          </cell>
          <cell r="H1049">
            <v>1500</v>
          </cell>
          <cell r="I1049">
            <v>13768.750842229998</v>
          </cell>
        </row>
        <row r="1050">
          <cell r="B1050">
            <v>1501</v>
          </cell>
          <cell r="C1050">
            <v>2951.4013610700003</v>
          </cell>
          <cell r="E1050">
            <v>1501</v>
          </cell>
          <cell r="F1050">
            <v>6396.8926743400007</v>
          </cell>
          <cell r="H1050">
            <v>1501</v>
          </cell>
          <cell r="I1050">
            <v>6396.8926743400007</v>
          </cell>
        </row>
        <row r="1051">
          <cell r="B1051">
            <v>1502</v>
          </cell>
          <cell r="C1051">
            <v>2249.5205357899999</v>
          </cell>
          <cell r="E1051">
            <v>1502</v>
          </cell>
          <cell r="F1051">
            <v>4725.0403519799984</v>
          </cell>
          <cell r="H1051">
            <v>1502</v>
          </cell>
          <cell r="I1051">
            <v>4725.0403519799984</v>
          </cell>
        </row>
        <row r="1052">
          <cell r="B1052">
            <v>1503</v>
          </cell>
          <cell r="C1052">
            <v>2413.4430976099998</v>
          </cell>
          <cell r="E1052">
            <v>1503</v>
          </cell>
          <cell r="F1052">
            <v>5079.9326037399996</v>
          </cell>
          <cell r="H1052">
            <v>1503</v>
          </cell>
          <cell r="I1052">
            <v>5079.9326037399996</v>
          </cell>
        </row>
        <row r="1053">
          <cell r="B1053">
            <v>1504</v>
          </cell>
          <cell r="C1053">
            <v>3424.0550640999991</v>
          </cell>
          <cell r="E1053">
            <v>1504</v>
          </cell>
          <cell r="F1053">
            <v>7036.4538299200021</v>
          </cell>
          <cell r="H1053">
            <v>1504</v>
          </cell>
          <cell r="I1053">
            <v>7036.4538299200021</v>
          </cell>
        </row>
        <row r="1054">
          <cell r="B1054">
            <v>1505</v>
          </cell>
          <cell r="C1054">
            <v>1173.3301731099998</v>
          </cell>
          <cell r="E1054">
            <v>1505</v>
          </cell>
          <cell r="F1054">
            <v>2439.9048475200007</v>
          </cell>
          <cell r="H1054">
            <v>1505</v>
          </cell>
          <cell r="I1054">
            <v>2439.9048475200007</v>
          </cell>
        </row>
        <row r="1055">
          <cell r="B1055">
            <v>1506</v>
          </cell>
          <cell r="C1055">
            <v>1112.58145081</v>
          </cell>
          <cell r="E1055">
            <v>1506</v>
          </cell>
          <cell r="F1055">
            <v>2342.3802397899999</v>
          </cell>
          <cell r="H1055">
            <v>1506</v>
          </cell>
          <cell r="I1055">
            <v>2342.3802397899999</v>
          </cell>
        </row>
        <row r="1056">
          <cell r="B1056">
            <v>1507</v>
          </cell>
          <cell r="C1056">
            <v>1981.9668844600001</v>
          </cell>
          <cell r="E1056">
            <v>1507</v>
          </cell>
          <cell r="F1056">
            <v>4014.1830842799986</v>
          </cell>
          <cell r="H1056">
            <v>1507</v>
          </cell>
          <cell r="I1056">
            <v>4014.1830842799986</v>
          </cell>
        </row>
        <row r="1057">
          <cell r="B1057">
            <v>1508</v>
          </cell>
          <cell r="C1057">
            <v>2862.3584302699996</v>
          </cell>
          <cell r="E1057">
            <v>1508</v>
          </cell>
          <cell r="F1057">
            <v>6061.3491318799988</v>
          </cell>
          <cell r="H1057">
            <v>1508</v>
          </cell>
          <cell r="I1057">
            <v>6061.3491318799988</v>
          </cell>
        </row>
        <row r="1058">
          <cell r="B1058">
            <v>1509</v>
          </cell>
          <cell r="C1058">
            <v>4806.0170524500008</v>
          </cell>
          <cell r="E1058">
            <v>1509</v>
          </cell>
          <cell r="F1058">
            <v>10364.526895999999</v>
          </cell>
          <cell r="H1058">
            <v>1509</v>
          </cell>
          <cell r="I1058">
            <v>10364.526895999999</v>
          </cell>
        </row>
        <row r="1059">
          <cell r="B1059">
            <v>1511</v>
          </cell>
          <cell r="C1059">
            <v>5064.7717311400011</v>
          </cell>
          <cell r="E1059">
            <v>1511</v>
          </cell>
          <cell r="F1059">
            <v>10202.342292960007</v>
          </cell>
          <cell r="H1059">
            <v>1511</v>
          </cell>
          <cell r="I1059">
            <v>10202.342292960007</v>
          </cell>
        </row>
        <row r="1060">
          <cell r="B1060">
            <v>1512</v>
          </cell>
          <cell r="C1060">
            <v>6921.5065555699994</v>
          </cell>
          <cell r="E1060">
            <v>1512</v>
          </cell>
          <cell r="F1060">
            <v>14302.936862820005</v>
          </cell>
          <cell r="H1060">
            <v>1512</v>
          </cell>
          <cell r="I1060">
            <v>14302.936862820005</v>
          </cell>
        </row>
        <row r="1061">
          <cell r="B1061">
            <v>1513</v>
          </cell>
          <cell r="C1061">
            <v>4635.5306574800006</v>
          </cell>
          <cell r="E1061">
            <v>1513</v>
          </cell>
          <cell r="F1061">
            <v>9866.7159902600015</v>
          </cell>
          <cell r="H1061">
            <v>1513</v>
          </cell>
          <cell r="I1061">
            <v>9866.7159902600015</v>
          </cell>
        </row>
        <row r="1062">
          <cell r="B1062">
            <v>1514</v>
          </cell>
          <cell r="C1062">
            <v>2124.7745120599998</v>
          </cell>
          <cell r="E1062">
            <v>1514</v>
          </cell>
          <cell r="F1062">
            <v>4520.1042624300007</v>
          </cell>
          <cell r="H1062">
            <v>1514</v>
          </cell>
          <cell r="I1062">
            <v>4520.1042624300007</v>
          </cell>
        </row>
        <row r="1063">
          <cell r="B1063">
            <v>1515</v>
          </cell>
          <cell r="C1063">
            <v>5717.7455914800003</v>
          </cell>
          <cell r="E1063">
            <v>1515</v>
          </cell>
          <cell r="F1063">
            <v>12654.339813460003</v>
          </cell>
          <cell r="H1063">
            <v>1515</v>
          </cell>
          <cell r="I1063">
            <v>12654.339813460003</v>
          </cell>
        </row>
        <row r="1064">
          <cell r="B1064">
            <v>1517</v>
          </cell>
          <cell r="C1064">
            <v>3403.1917269899991</v>
          </cell>
          <cell r="E1064">
            <v>1517</v>
          </cell>
          <cell r="F1064">
            <v>7005.2533416300003</v>
          </cell>
          <cell r="H1064">
            <v>1517</v>
          </cell>
          <cell r="I1064">
            <v>7005.2533416300003</v>
          </cell>
        </row>
        <row r="1065">
          <cell r="B1065">
            <v>1518</v>
          </cell>
          <cell r="C1065">
            <v>8129.9849224800018</v>
          </cell>
          <cell r="E1065">
            <v>1518</v>
          </cell>
          <cell r="F1065">
            <v>16587.008239340004</v>
          </cell>
          <cell r="H1065">
            <v>1518</v>
          </cell>
          <cell r="I1065">
            <v>16587.008239340004</v>
          </cell>
        </row>
        <row r="1066">
          <cell r="B1066">
            <v>1520</v>
          </cell>
          <cell r="C1066">
            <v>1711.7763148500001</v>
          </cell>
          <cell r="E1066">
            <v>1520</v>
          </cell>
          <cell r="F1066">
            <v>3583.9668748699996</v>
          </cell>
          <cell r="H1066">
            <v>1520</v>
          </cell>
          <cell r="I1066">
            <v>3583.9668748699996</v>
          </cell>
        </row>
        <row r="1067">
          <cell r="B1067">
            <v>1521</v>
          </cell>
          <cell r="C1067">
            <v>2006.9988400199995</v>
          </cell>
          <cell r="E1067">
            <v>1521</v>
          </cell>
          <cell r="F1067">
            <v>3871.9142761500007</v>
          </cell>
          <cell r="H1067">
            <v>1521</v>
          </cell>
          <cell r="I1067">
            <v>3871.9142761500007</v>
          </cell>
        </row>
        <row r="1068">
          <cell r="B1068">
            <v>1524</v>
          </cell>
          <cell r="C1068">
            <v>5258.1504604399988</v>
          </cell>
          <cell r="E1068">
            <v>1524</v>
          </cell>
          <cell r="F1068">
            <v>10937.760068110001</v>
          </cell>
          <cell r="H1068">
            <v>1524</v>
          </cell>
          <cell r="I1068">
            <v>10937.760068110001</v>
          </cell>
        </row>
        <row r="1069">
          <cell r="B1069">
            <v>1527</v>
          </cell>
          <cell r="C1069">
            <v>2131.5318742700001</v>
          </cell>
          <cell r="E1069">
            <v>1527</v>
          </cell>
          <cell r="F1069">
            <v>4028.3880184400009</v>
          </cell>
          <cell r="H1069">
            <v>1527</v>
          </cell>
          <cell r="I1069">
            <v>4028.3880184400009</v>
          </cell>
        </row>
        <row r="1070">
          <cell r="B1070">
            <v>1528</v>
          </cell>
          <cell r="C1070">
            <v>559.87845632999995</v>
          </cell>
          <cell r="E1070">
            <v>1528</v>
          </cell>
          <cell r="F1070">
            <v>1186.6881737999997</v>
          </cell>
          <cell r="H1070">
            <v>1528</v>
          </cell>
          <cell r="I1070">
            <v>1186.6881737999997</v>
          </cell>
        </row>
        <row r="1071">
          <cell r="B1071">
            <v>1529</v>
          </cell>
          <cell r="C1071">
            <v>752.47729620000007</v>
          </cell>
          <cell r="E1071">
            <v>1529</v>
          </cell>
          <cell r="F1071">
            <v>1566.8353777499999</v>
          </cell>
          <cell r="H1071">
            <v>1529</v>
          </cell>
          <cell r="I1071">
            <v>1566.8353777499999</v>
          </cell>
        </row>
        <row r="1072">
          <cell r="B1072">
            <v>1530</v>
          </cell>
          <cell r="C1072">
            <v>2182.3907932299994</v>
          </cell>
          <cell r="E1072">
            <v>1530</v>
          </cell>
          <cell r="F1072">
            <v>4474.2664378200006</v>
          </cell>
          <cell r="H1072">
            <v>1530</v>
          </cell>
          <cell r="I1072">
            <v>4474.2664378200006</v>
          </cell>
        </row>
        <row r="1073">
          <cell r="B1073">
            <v>1531</v>
          </cell>
          <cell r="C1073">
            <v>2504.2949710399994</v>
          </cell>
          <cell r="E1073">
            <v>1531</v>
          </cell>
          <cell r="F1073">
            <v>5099.2316959700011</v>
          </cell>
          <cell r="H1073">
            <v>1531</v>
          </cell>
          <cell r="I1073">
            <v>5099.2316959700011</v>
          </cell>
        </row>
        <row r="1074">
          <cell r="B1074">
            <v>1532</v>
          </cell>
          <cell r="C1074">
            <v>4383.2300824700005</v>
          </cell>
          <cell r="E1074">
            <v>1532</v>
          </cell>
          <cell r="F1074">
            <v>9175.1815952599991</v>
          </cell>
          <cell r="H1074">
            <v>1532</v>
          </cell>
          <cell r="I1074">
            <v>9175.1815952599991</v>
          </cell>
        </row>
        <row r="1075">
          <cell r="B1075">
            <v>1534</v>
          </cell>
          <cell r="C1075">
            <v>972.0518825800001</v>
          </cell>
          <cell r="E1075">
            <v>1534</v>
          </cell>
          <cell r="F1075">
            <v>1999.36413195</v>
          </cell>
          <cell r="H1075">
            <v>1534</v>
          </cell>
          <cell r="I1075">
            <v>1999.36413195</v>
          </cell>
        </row>
        <row r="1076">
          <cell r="B1076">
            <v>1537</v>
          </cell>
          <cell r="C1076">
            <v>1874.6427630300002</v>
          </cell>
          <cell r="E1076">
            <v>1537</v>
          </cell>
          <cell r="F1076">
            <v>3651.2623305299999</v>
          </cell>
          <cell r="H1076">
            <v>1537</v>
          </cell>
          <cell r="I1076">
            <v>3651.2623305299999</v>
          </cell>
        </row>
        <row r="1077">
          <cell r="B1077">
            <v>1538</v>
          </cell>
          <cell r="C1077">
            <v>5591.3004203100008</v>
          </cell>
          <cell r="E1077">
            <v>1538</v>
          </cell>
          <cell r="F1077">
            <v>11665.113486980003</v>
          </cell>
          <cell r="H1077">
            <v>1538</v>
          </cell>
          <cell r="I1077">
            <v>11665.113486980003</v>
          </cell>
        </row>
        <row r="1078">
          <cell r="B1078">
            <v>1539</v>
          </cell>
          <cell r="C1078">
            <v>361.4218956499999</v>
          </cell>
          <cell r="E1078">
            <v>1539</v>
          </cell>
          <cell r="F1078">
            <v>686.28962439000031</v>
          </cell>
          <cell r="H1078">
            <v>1539</v>
          </cell>
          <cell r="I1078">
            <v>686.28962439000031</v>
          </cell>
        </row>
        <row r="1079">
          <cell r="B1079">
            <v>1540</v>
          </cell>
          <cell r="C1079">
            <v>4440.9537833899994</v>
          </cell>
          <cell r="E1079">
            <v>1540</v>
          </cell>
          <cell r="F1079">
            <v>9233.957748089997</v>
          </cell>
          <cell r="H1079">
            <v>1540</v>
          </cell>
          <cell r="I1079">
            <v>9233.957748089997</v>
          </cell>
        </row>
        <row r="1080">
          <cell r="B1080">
            <v>1542</v>
          </cell>
          <cell r="C1080">
            <v>3905.9270295599999</v>
          </cell>
          <cell r="E1080">
            <v>1542</v>
          </cell>
          <cell r="F1080">
            <v>8281.3669036999981</v>
          </cell>
          <cell r="H1080">
            <v>1542</v>
          </cell>
          <cell r="I1080">
            <v>8281.3669036999981</v>
          </cell>
        </row>
        <row r="1081">
          <cell r="B1081">
            <v>1545</v>
          </cell>
          <cell r="C1081">
            <v>2139.1319545199995</v>
          </cell>
          <cell r="E1081">
            <v>1545</v>
          </cell>
          <cell r="F1081">
            <v>4327.2050171100018</v>
          </cell>
          <cell r="H1081">
            <v>1545</v>
          </cell>
          <cell r="I1081">
            <v>4327.2050171100018</v>
          </cell>
        </row>
        <row r="1082">
          <cell r="B1082">
            <v>1546</v>
          </cell>
          <cell r="C1082">
            <v>3447.0736381200009</v>
          </cell>
          <cell r="E1082">
            <v>1546</v>
          </cell>
          <cell r="F1082">
            <v>7391.8336831999995</v>
          </cell>
          <cell r="H1082">
            <v>1546</v>
          </cell>
          <cell r="I1082">
            <v>7391.8336831999995</v>
          </cell>
        </row>
        <row r="1083">
          <cell r="B1083">
            <v>1547</v>
          </cell>
          <cell r="C1083">
            <v>8753.5809651300005</v>
          </cell>
          <cell r="E1083">
            <v>1547</v>
          </cell>
          <cell r="F1083">
            <v>18426.799380940003</v>
          </cell>
          <cell r="H1083">
            <v>1547</v>
          </cell>
          <cell r="I1083">
            <v>18426.799380940003</v>
          </cell>
        </row>
        <row r="1084">
          <cell r="B1084">
            <v>1548</v>
          </cell>
          <cell r="C1084">
            <v>566.74290456999995</v>
          </cell>
          <cell r="E1084">
            <v>1548</v>
          </cell>
          <cell r="F1084">
            <v>1190.5453808700004</v>
          </cell>
          <cell r="H1084">
            <v>1548</v>
          </cell>
          <cell r="I1084">
            <v>1190.5453808700004</v>
          </cell>
        </row>
        <row r="1085">
          <cell r="B1085">
            <v>1549</v>
          </cell>
          <cell r="C1085">
            <v>10080.673731640003</v>
          </cell>
          <cell r="E1085">
            <v>1549</v>
          </cell>
          <cell r="F1085">
            <v>21158.210965439997</v>
          </cell>
          <cell r="H1085">
            <v>1549</v>
          </cell>
          <cell r="I1085">
            <v>21158.210965439997</v>
          </cell>
        </row>
        <row r="1086">
          <cell r="B1086">
            <v>1550</v>
          </cell>
          <cell r="C1086">
            <v>1277.74845282</v>
          </cell>
          <cell r="E1086">
            <v>1550</v>
          </cell>
          <cell r="F1086">
            <v>2696.7286560599996</v>
          </cell>
          <cell r="H1086">
            <v>1550</v>
          </cell>
          <cell r="I1086">
            <v>2696.7286560599996</v>
          </cell>
        </row>
        <row r="1087">
          <cell r="B1087">
            <v>1554</v>
          </cell>
          <cell r="C1087">
            <v>8579.0491573599993</v>
          </cell>
          <cell r="E1087">
            <v>1554</v>
          </cell>
          <cell r="F1087">
            <v>17309.598162800005</v>
          </cell>
          <cell r="H1087">
            <v>1554</v>
          </cell>
          <cell r="I1087">
            <v>17309.598162800005</v>
          </cell>
        </row>
        <row r="1088">
          <cell r="B1088">
            <v>1557</v>
          </cell>
          <cell r="C1088">
            <v>1193.4703745500001</v>
          </cell>
          <cell r="E1088">
            <v>1557</v>
          </cell>
          <cell r="F1088">
            <v>2559.5360655799996</v>
          </cell>
          <cell r="H1088">
            <v>1557</v>
          </cell>
          <cell r="I1088">
            <v>2559.5360655799996</v>
          </cell>
        </row>
        <row r="1089">
          <cell r="B1089">
            <v>1559</v>
          </cell>
          <cell r="C1089">
            <v>852.36674944000004</v>
          </cell>
          <cell r="E1089">
            <v>1559</v>
          </cell>
          <cell r="F1089">
            <v>1842.0953550899999</v>
          </cell>
          <cell r="H1089">
            <v>1559</v>
          </cell>
          <cell r="I1089">
            <v>1842.0953550899999</v>
          </cell>
        </row>
        <row r="1090">
          <cell r="B1090">
            <v>1561</v>
          </cell>
          <cell r="C1090">
            <v>3064.6711252999999</v>
          </cell>
          <cell r="E1090">
            <v>1561</v>
          </cell>
          <cell r="F1090">
            <v>6600.3812480899996</v>
          </cell>
          <cell r="H1090">
            <v>1561</v>
          </cell>
          <cell r="I1090">
            <v>6600.3812480899996</v>
          </cell>
        </row>
        <row r="1091">
          <cell r="B1091">
            <v>1562</v>
          </cell>
          <cell r="C1091">
            <v>5199.2636324000005</v>
          </cell>
          <cell r="E1091">
            <v>1562</v>
          </cell>
          <cell r="F1091">
            <v>11241.414429100001</v>
          </cell>
          <cell r="H1091">
            <v>1562</v>
          </cell>
          <cell r="I1091">
            <v>11241.414429100001</v>
          </cell>
        </row>
        <row r="1092">
          <cell r="B1092">
            <v>1563</v>
          </cell>
          <cell r="C1092">
            <v>1028.9862518300001</v>
          </cell>
          <cell r="E1092">
            <v>1563</v>
          </cell>
          <cell r="F1092">
            <v>2066.8021770999994</v>
          </cell>
          <cell r="H1092">
            <v>1563</v>
          </cell>
          <cell r="I1092">
            <v>2066.8021770999994</v>
          </cell>
        </row>
        <row r="1093">
          <cell r="B1093">
            <v>1564</v>
          </cell>
          <cell r="C1093">
            <v>4084.2764947599994</v>
          </cell>
          <cell r="E1093">
            <v>1564</v>
          </cell>
          <cell r="F1093">
            <v>8597.2418562299954</v>
          </cell>
          <cell r="H1093">
            <v>1564</v>
          </cell>
          <cell r="I1093">
            <v>8597.2418562299954</v>
          </cell>
        </row>
        <row r="1094">
          <cell r="B1094">
            <v>1565</v>
          </cell>
          <cell r="C1094">
            <v>4085.7648081799998</v>
          </cell>
          <cell r="E1094">
            <v>1565</v>
          </cell>
          <cell r="F1094">
            <v>8685.3345741999965</v>
          </cell>
          <cell r="H1094">
            <v>1565</v>
          </cell>
          <cell r="I1094">
            <v>8685.3345741999965</v>
          </cell>
        </row>
        <row r="1095">
          <cell r="B1095">
            <v>1566</v>
          </cell>
          <cell r="C1095">
            <v>2603.83860482</v>
          </cell>
          <cell r="E1095">
            <v>1566</v>
          </cell>
          <cell r="F1095">
            <v>5391.7205216499988</v>
          </cell>
          <cell r="H1095">
            <v>1566</v>
          </cell>
          <cell r="I1095">
            <v>5391.7205216499988</v>
          </cell>
        </row>
        <row r="1096">
          <cell r="B1096">
            <v>1570</v>
          </cell>
          <cell r="C1096">
            <v>2795.7619869099999</v>
          </cell>
          <cell r="E1096">
            <v>1570</v>
          </cell>
          <cell r="F1096">
            <v>5870.0705369299976</v>
          </cell>
          <cell r="H1096">
            <v>1570</v>
          </cell>
          <cell r="I1096">
            <v>5870.0705369299976</v>
          </cell>
        </row>
        <row r="1097">
          <cell r="B1097">
            <v>1574</v>
          </cell>
          <cell r="C1097">
            <v>4798.6708665699998</v>
          </cell>
          <cell r="E1097">
            <v>1574</v>
          </cell>
          <cell r="F1097">
            <v>10779.988005559995</v>
          </cell>
          <cell r="H1097">
            <v>1574</v>
          </cell>
          <cell r="I1097">
            <v>10779.988005559995</v>
          </cell>
        </row>
        <row r="1098">
          <cell r="B1098">
            <v>1576</v>
          </cell>
          <cell r="C1098">
            <v>1889.6564412400003</v>
          </cell>
          <cell r="E1098">
            <v>1576</v>
          </cell>
          <cell r="F1098">
            <v>4236.4002048199991</v>
          </cell>
          <cell r="H1098">
            <v>1576</v>
          </cell>
          <cell r="I1098">
            <v>4236.4002048199991</v>
          </cell>
        </row>
        <row r="1099">
          <cell r="B1099">
            <v>1577</v>
          </cell>
          <cell r="C1099">
            <v>571.30846715999996</v>
          </cell>
          <cell r="E1099">
            <v>1577</v>
          </cell>
          <cell r="F1099">
            <v>1033.7401740000003</v>
          </cell>
          <cell r="H1099">
            <v>1577</v>
          </cell>
          <cell r="I1099">
            <v>1033.7401740000003</v>
          </cell>
        </row>
        <row r="1100">
          <cell r="B1100">
            <v>1580</v>
          </cell>
          <cell r="C1100">
            <v>18427.951056130001</v>
          </cell>
          <cell r="E1100">
            <v>1580</v>
          </cell>
          <cell r="F1100">
            <v>38444.245252570006</v>
          </cell>
          <cell r="H1100">
            <v>1580</v>
          </cell>
          <cell r="I1100">
            <v>38444.245252570006</v>
          </cell>
        </row>
        <row r="1101">
          <cell r="B1101">
            <v>1581</v>
          </cell>
          <cell r="C1101">
            <v>2329.19387555</v>
          </cell>
          <cell r="E1101">
            <v>1581</v>
          </cell>
          <cell r="F1101">
            <v>4755.9785952499988</v>
          </cell>
          <cell r="H1101">
            <v>1581</v>
          </cell>
          <cell r="I1101">
            <v>4755.9785952499988</v>
          </cell>
        </row>
        <row r="1102">
          <cell r="B1102">
            <v>1583</v>
          </cell>
          <cell r="C1102">
            <v>603.13246374000016</v>
          </cell>
          <cell r="E1102">
            <v>1583</v>
          </cell>
          <cell r="F1102">
            <v>1287.28885246</v>
          </cell>
          <cell r="H1102">
            <v>1583</v>
          </cell>
          <cell r="I1102">
            <v>1287.28885246</v>
          </cell>
        </row>
        <row r="1103">
          <cell r="B1103">
            <v>1584</v>
          </cell>
          <cell r="C1103">
            <v>8551.6890633700004</v>
          </cell>
          <cell r="E1103">
            <v>1584</v>
          </cell>
          <cell r="F1103">
            <v>18088.054174320001</v>
          </cell>
          <cell r="H1103">
            <v>1584</v>
          </cell>
          <cell r="I1103">
            <v>18088.054174320001</v>
          </cell>
        </row>
        <row r="1104">
          <cell r="B1104">
            <v>1585</v>
          </cell>
          <cell r="C1104">
            <v>2194.1324784000008</v>
          </cell>
          <cell r="E1104">
            <v>1585</v>
          </cell>
          <cell r="F1104">
            <v>5052.8333047000006</v>
          </cell>
          <cell r="H1104">
            <v>1585</v>
          </cell>
          <cell r="I1104">
            <v>5052.8333047000006</v>
          </cell>
        </row>
        <row r="1105">
          <cell r="B1105">
            <v>1587</v>
          </cell>
          <cell r="C1105">
            <v>3612.839528160001</v>
          </cell>
          <cell r="E1105">
            <v>1587</v>
          </cell>
          <cell r="F1105">
            <v>8160.08227025</v>
          </cell>
          <cell r="H1105">
            <v>1587</v>
          </cell>
          <cell r="I1105">
            <v>8160.08227025</v>
          </cell>
        </row>
        <row r="1106">
          <cell r="B1106">
            <v>1588</v>
          </cell>
          <cell r="C1106">
            <v>772.93449734999979</v>
          </cell>
          <cell r="E1106">
            <v>1588</v>
          </cell>
          <cell r="F1106">
            <v>1689.9728329</v>
          </cell>
          <cell r="H1106">
            <v>1588</v>
          </cell>
          <cell r="I1106">
            <v>1689.9728329</v>
          </cell>
        </row>
        <row r="1107">
          <cell r="B1107">
            <v>1590</v>
          </cell>
          <cell r="C1107">
            <v>1166.8373447000001</v>
          </cell>
          <cell r="E1107">
            <v>1590</v>
          </cell>
          <cell r="F1107">
            <v>2621.67952814</v>
          </cell>
          <cell r="H1107">
            <v>1590</v>
          </cell>
          <cell r="I1107">
            <v>2621.67952814</v>
          </cell>
        </row>
        <row r="1108">
          <cell r="B1108">
            <v>1591</v>
          </cell>
          <cell r="C1108">
            <v>1659.3544082300002</v>
          </cell>
          <cell r="E1108">
            <v>1591</v>
          </cell>
          <cell r="F1108">
            <v>3495.19629029</v>
          </cell>
          <cell r="H1108">
            <v>1591</v>
          </cell>
          <cell r="I1108">
            <v>3495.19629029</v>
          </cell>
        </row>
        <row r="1109">
          <cell r="B1109">
            <v>1592</v>
          </cell>
          <cell r="C1109">
            <v>2473.2169790300004</v>
          </cell>
          <cell r="E1109">
            <v>1592</v>
          </cell>
          <cell r="F1109">
            <v>5209.1237950600016</v>
          </cell>
          <cell r="H1109">
            <v>1592</v>
          </cell>
          <cell r="I1109">
            <v>5209.1237950600016</v>
          </cell>
        </row>
        <row r="1110">
          <cell r="B1110">
            <v>1593</v>
          </cell>
          <cell r="C1110">
            <v>1007.30549559</v>
          </cell>
          <cell r="E1110">
            <v>1593</v>
          </cell>
          <cell r="F1110">
            <v>2002.1733653200001</v>
          </cell>
          <cell r="H1110">
            <v>1593</v>
          </cell>
          <cell r="I1110">
            <v>2002.1733653200001</v>
          </cell>
        </row>
        <row r="1111">
          <cell r="B1111">
            <v>1595</v>
          </cell>
          <cell r="C1111">
            <v>1076.6521180899999</v>
          </cell>
          <cell r="E1111">
            <v>1595</v>
          </cell>
          <cell r="F1111">
            <v>2170.0552796000002</v>
          </cell>
          <cell r="H1111">
            <v>1595</v>
          </cell>
          <cell r="I1111">
            <v>2170.0552796000002</v>
          </cell>
        </row>
        <row r="1112">
          <cell r="B1112">
            <v>1596</v>
          </cell>
          <cell r="C1112">
            <v>1354.8412716600001</v>
          </cell>
          <cell r="E1112">
            <v>1596</v>
          </cell>
          <cell r="F1112">
            <v>2703.4923875499994</v>
          </cell>
          <cell r="H1112">
            <v>1596</v>
          </cell>
          <cell r="I1112">
            <v>2703.4923875499994</v>
          </cell>
        </row>
        <row r="1113">
          <cell r="B1113">
            <v>1597</v>
          </cell>
          <cell r="C1113">
            <v>5409.3527054800006</v>
          </cell>
          <cell r="E1113">
            <v>1597</v>
          </cell>
          <cell r="F1113">
            <v>12204.024707700002</v>
          </cell>
          <cell r="H1113">
            <v>1597</v>
          </cell>
          <cell r="I1113">
            <v>12204.024707700002</v>
          </cell>
        </row>
        <row r="1114">
          <cell r="B1114">
            <v>1598</v>
          </cell>
          <cell r="C1114">
            <v>1539.7301100299999</v>
          </cell>
          <cell r="E1114">
            <v>1598</v>
          </cell>
          <cell r="F1114">
            <v>3264.3459564900018</v>
          </cell>
          <cell r="H1114">
            <v>1598</v>
          </cell>
          <cell r="I1114">
            <v>3264.3459564900018</v>
          </cell>
        </row>
        <row r="1115">
          <cell r="B1115">
            <v>1599</v>
          </cell>
          <cell r="C1115">
            <v>418.78770552999998</v>
          </cell>
          <cell r="E1115">
            <v>1599</v>
          </cell>
          <cell r="F1115">
            <v>883.04979914000023</v>
          </cell>
          <cell r="H1115">
            <v>1599</v>
          </cell>
          <cell r="I1115">
            <v>883.04979914000023</v>
          </cell>
        </row>
        <row r="1116">
          <cell r="B1116">
            <v>1600</v>
          </cell>
          <cell r="C1116">
            <v>2027.9935521300001</v>
          </cell>
          <cell r="E1116">
            <v>1600</v>
          </cell>
          <cell r="F1116">
            <v>4164.6356175099991</v>
          </cell>
          <cell r="H1116">
            <v>1600</v>
          </cell>
          <cell r="I1116">
            <v>4164.6356175099991</v>
          </cell>
        </row>
        <row r="1117">
          <cell r="B1117">
            <v>1601</v>
          </cell>
          <cell r="C1117">
            <v>2221.41047579</v>
          </cell>
          <cell r="E1117">
            <v>1601</v>
          </cell>
          <cell r="F1117">
            <v>4594.6601027400002</v>
          </cell>
          <cell r="H1117">
            <v>1601</v>
          </cell>
          <cell r="I1117">
            <v>4594.6601027400002</v>
          </cell>
        </row>
        <row r="1118">
          <cell r="B1118">
            <v>1603</v>
          </cell>
          <cell r="C1118">
            <v>1811.7874343000005</v>
          </cell>
          <cell r="E1118">
            <v>1603</v>
          </cell>
          <cell r="F1118">
            <v>3820.5751381399996</v>
          </cell>
          <cell r="H1118">
            <v>1603</v>
          </cell>
          <cell r="I1118">
            <v>3820.5751381399996</v>
          </cell>
        </row>
        <row r="1119">
          <cell r="B1119">
            <v>1604</v>
          </cell>
          <cell r="C1119">
            <v>679.84001670000009</v>
          </cell>
          <cell r="E1119">
            <v>1604</v>
          </cell>
          <cell r="F1119">
            <v>1469.7437416100001</v>
          </cell>
          <cell r="H1119">
            <v>1604</v>
          </cell>
          <cell r="I1119">
            <v>1469.7437416100001</v>
          </cell>
        </row>
        <row r="1120">
          <cell r="B1120">
            <v>1605</v>
          </cell>
          <cell r="C1120">
            <v>5721.7249703700008</v>
          </cell>
          <cell r="E1120">
            <v>1605</v>
          </cell>
          <cell r="F1120">
            <v>11704.391533200003</v>
          </cell>
          <cell r="H1120">
            <v>1605</v>
          </cell>
          <cell r="I1120">
            <v>11704.391533200003</v>
          </cell>
        </row>
        <row r="1121">
          <cell r="B1121">
            <v>1606</v>
          </cell>
          <cell r="C1121">
            <v>1684.8885732299998</v>
          </cell>
          <cell r="E1121">
            <v>1606</v>
          </cell>
          <cell r="F1121">
            <v>3384.0928961500013</v>
          </cell>
          <cell r="H1121">
            <v>1606</v>
          </cell>
          <cell r="I1121">
            <v>3384.0928961500013</v>
          </cell>
        </row>
        <row r="1122">
          <cell r="B1122">
            <v>1608</v>
          </cell>
          <cell r="C1122">
            <v>668.46886555000015</v>
          </cell>
          <cell r="E1122">
            <v>1608</v>
          </cell>
          <cell r="F1122">
            <v>1329.79074332</v>
          </cell>
          <cell r="H1122">
            <v>1608</v>
          </cell>
          <cell r="I1122">
            <v>1329.79074332</v>
          </cell>
        </row>
        <row r="1123">
          <cell r="B1123">
            <v>1611</v>
          </cell>
          <cell r="C1123">
            <v>4631.3411592600014</v>
          </cell>
          <cell r="E1123">
            <v>1611</v>
          </cell>
          <cell r="F1123">
            <v>10532.110039619998</v>
          </cell>
          <cell r="H1123">
            <v>1611</v>
          </cell>
          <cell r="I1123">
            <v>10532.110039619998</v>
          </cell>
        </row>
        <row r="1124">
          <cell r="B1124">
            <v>1612</v>
          </cell>
          <cell r="C1124">
            <v>5425.1452079100018</v>
          </cell>
          <cell r="E1124">
            <v>1612</v>
          </cell>
          <cell r="F1124">
            <v>11494.122839669999</v>
          </cell>
          <cell r="H1124">
            <v>1612</v>
          </cell>
          <cell r="I1124">
            <v>11494.122839669999</v>
          </cell>
        </row>
        <row r="1125">
          <cell r="B1125">
            <v>1613</v>
          </cell>
          <cell r="C1125">
            <v>6296.8681305099999</v>
          </cell>
          <cell r="E1125">
            <v>1613</v>
          </cell>
          <cell r="F1125">
            <v>13209.29649527</v>
          </cell>
          <cell r="H1125">
            <v>1613</v>
          </cell>
          <cell r="I1125">
            <v>13209.29649527</v>
          </cell>
        </row>
        <row r="1126">
          <cell r="B1126">
            <v>1614</v>
          </cell>
          <cell r="C1126">
            <v>1762.2293260800004</v>
          </cell>
          <cell r="E1126">
            <v>1614</v>
          </cell>
          <cell r="F1126">
            <v>3620.74253658</v>
          </cell>
          <cell r="H1126">
            <v>1614</v>
          </cell>
          <cell r="I1126">
            <v>3620.74253658</v>
          </cell>
        </row>
        <row r="1127">
          <cell r="B1127">
            <v>1615</v>
          </cell>
          <cell r="C1127">
            <v>3243.1021242000002</v>
          </cell>
          <cell r="E1127">
            <v>1615</v>
          </cell>
          <cell r="F1127">
            <v>6809.2505563799996</v>
          </cell>
          <cell r="H1127">
            <v>1615</v>
          </cell>
          <cell r="I1127">
            <v>6809.2505563799996</v>
          </cell>
        </row>
        <row r="1128">
          <cell r="B1128">
            <v>1619</v>
          </cell>
          <cell r="C1128">
            <v>4596.4965103000004</v>
          </cell>
          <cell r="E1128">
            <v>1619</v>
          </cell>
          <cell r="F1128">
            <v>9656.1355687600044</v>
          </cell>
          <cell r="H1128">
            <v>1619</v>
          </cell>
          <cell r="I1128">
            <v>9656.1355687600044</v>
          </cell>
        </row>
        <row r="1129">
          <cell r="B1129">
            <v>1620</v>
          </cell>
          <cell r="C1129">
            <v>570.12734303000013</v>
          </cell>
          <cell r="E1129">
            <v>1620</v>
          </cell>
          <cell r="F1129">
            <v>1190.8063281899999</v>
          </cell>
          <cell r="H1129">
            <v>1620</v>
          </cell>
          <cell r="I1129">
            <v>1190.8063281899999</v>
          </cell>
        </row>
        <row r="1130">
          <cell r="B1130">
            <v>1621</v>
          </cell>
          <cell r="C1130">
            <v>1452.3092391700004</v>
          </cell>
          <cell r="E1130">
            <v>1621</v>
          </cell>
          <cell r="F1130">
            <v>2936.2235924000006</v>
          </cell>
          <cell r="H1130">
            <v>1621</v>
          </cell>
          <cell r="I1130">
            <v>2936.2235924000006</v>
          </cell>
        </row>
        <row r="1131">
          <cell r="B1131">
            <v>1622</v>
          </cell>
          <cell r="C1131">
            <v>5826.4457533800014</v>
          </cell>
          <cell r="E1131">
            <v>1622</v>
          </cell>
          <cell r="F1131">
            <v>12107.47985134</v>
          </cell>
          <cell r="H1131">
            <v>1622</v>
          </cell>
          <cell r="I1131">
            <v>12107.47985134</v>
          </cell>
        </row>
        <row r="1132">
          <cell r="B1132">
            <v>1623</v>
          </cell>
          <cell r="C1132">
            <v>3847.1080174499998</v>
          </cell>
          <cell r="E1132">
            <v>1623</v>
          </cell>
          <cell r="F1132">
            <v>7909.779331089997</v>
          </cell>
          <cell r="H1132">
            <v>1623</v>
          </cell>
          <cell r="I1132">
            <v>7909.779331089997</v>
          </cell>
        </row>
        <row r="1133">
          <cell r="B1133">
            <v>1624</v>
          </cell>
          <cell r="C1133">
            <v>5002.8404280200002</v>
          </cell>
          <cell r="E1133">
            <v>1624</v>
          </cell>
          <cell r="F1133">
            <v>10382.213228130004</v>
          </cell>
          <cell r="H1133">
            <v>1624</v>
          </cell>
          <cell r="I1133">
            <v>10382.213228130004</v>
          </cell>
        </row>
        <row r="1134">
          <cell r="B1134">
            <v>1626</v>
          </cell>
          <cell r="C1134">
            <v>3517.8243292100005</v>
          </cell>
          <cell r="E1134">
            <v>1626</v>
          </cell>
          <cell r="F1134">
            <v>7811.0466254100002</v>
          </cell>
          <cell r="H1134">
            <v>1626</v>
          </cell>
          <cell r="I1134">
            <v>7811.0466254100002</v>
          </cell>
        </row>
        <row r="1135">
          <cell r="B1135">
            <v>1627</v>
          </cell>
          <cell r="C1135">
            <v>1644.8653943299998</v>
          </cell>
          <cell r="E1135">
            <v>1627</v>
          </cell>
          <cell r="F1135">
            <v>3361.6994848200002</v>
          </cell>
          <cell r="H1135">
            <v>1627</v>
          </cell>
          <cell r="I1135">
            <v>3361.6994848200002</v>
          </cell>
        </row>
        <row r="1136">
          <cell r="B1136">
            <v>1628</v>
          </cell>
          <cell r="C1136">
            <v>3048.50091664</v>
          </cell>
          <cell r="E1136">
            <v>1628</v>
          </cell>
          <cell r="F1136">
            <v>5130.5466170199988</v>
          </cell>
          <cell r="H1136">
            <v>1628</v>
          </cell>
          <cell r="I1136">
            <v>5130.5466170199988</v>
          </cell>
        </row>
        <row r="1137">
          <cell r="B1137">
            <v>1631</v>
          </cell>
          <cell r="C1137">
            <v>5517.4741509899986</v>
          </cell>
          <cell r="E1137">
            <v>1631</v>
          </cell>
          <cell r="F1137">
            <v>10497.976350650004</v>
          </cell>
          <cell r="H1137">
            <v>1631</v>
          </cell>
          <cell r="I1137">
            <v>10497.976350650004</v>
          </cell>
        </row>
        <row r="1138">
          <cell r="B1138">
            <v>1637</v>
          </cell>
          <cell r="C1138">
            <v>294.96680369000006</v>
          </cell>
          <cell r="E1138">
            <v>1637</v>
          </cell>
          <cell r="F1138">
            <v>614.2099512799997</v>
          </cell>
          <cell r="H1138">
            <v>1637</v>
          </cell>
          <cell r="I1138">
            <v>614.2099512799997</v>
          </cell>
        </row>
        <row r="1139">
          <cell r="B1139">
            <v>1639</v>
          </cell>
          <cell r="C1139">
            <v>4114.5215505799997</v>
          </cell>
          <cell r="E1139">
            <v>1639</v>
          </cell>
          <cell r="F1139">
            <v>8786.1456986000012</v>
          </cell>
          <cell r="H1139">
            <v>1639</v>
          </cell>
          <cell r="I1139">
            <v>8786.1456986000012</v>
          </cell>
        </row>
        <row r="1140">
          <cell r="B1140">
            <v>1641</v>
          </cell>
          <cell r="C1140">
            <v>3244.7007020899996</v>
          </cell>
          <cell r="E1140">
            <v>1641</v>
          </cell>
          <cell r="F1140">
            <v>7212.4521669999995</v>
          </cell>
          <cell r="H1140">
            <v>1641</v>
          </cell>
          <cell r="I1140">
            <v>7212.4521669999995</v>
          </cell>
        </row>
        <row r="1141">
          <cell r="B1141">
            <v>1642</v>
          </cell>
          <cell r="C1141">
            <v>13157.251328190001</v>
          </cell>
          <cell r="E1141">
            <v>1642</v>
          </cell>
          <cell r="F1141">
            <v>27224.298270019997</v>
          </cell>
          <cell r="H1141">
            <v>1642</v>
          </cell>
          <cell r="I1141">
            <v>27224.298270019997</v>
          </cell>
        </row>
        <row r="1142">
          <cell r="B1142">
            <v>1644</v>
          </cell>
          <cell r="C1142">
            <v>2894.6354882199998</v>
          </cell>
          <cell r="E1142">
            <v>1644</v>
          </cell>
          <cell r="F1142">
            <v>5875.1599531200018</v>
          </cell>
          <cell r="H1142">
            <v>1644</v>
          </cell>
          <cell r="I1142">
            <v>5875.1599531200018</v>
          </cell>
        </row>
        <row r="1143">
          <cell r="B1143">
            <v>1648</v>
          </cell>
          <cell r="C1143">
            <v>2645.3187167300002</v>
          </cell>
          <cell r="E1143">
            <v>1648</v>
          </cell>
          <cell r="F1143">
            <v>5737.4477431400001</v>
          </cell>
          <cell r="H1143">
            <v>1648</v>
          </cell>
          <cell r="I1143">
            <v>5737.4477431400001</v>
          </cell>
        </row>
        <row r="1144">
          <cell r="B1144">
            <v>1649</v>
          </cell>
          <cell r="C1144">
            <v>19086.903752920003</v>
          </cell>
          <cell r="E1144">
            <v>1649</v>
          </cell>
          <cell r="F1144">
            <v>40868.216316480022</v>
          </cell>
          <cell r="H1144">
            <v>1649</v>
          </cell>
          <cell r="I1144">
            <v>40868.216316480022</v>
          </cell>
        </row>
        <row r="1145">
          <cell r="B1145">
            <v>1650</v>
          </cell>
          <cell r="C1145">
            <v>7155.8541671800003</v>
          </cell>
          <cell r="E1145">
            <v>1650</v>
          </cell>
          <cell r="F1145">
            <v>15956.795337369998</v>
          </cell>
          <cell r="H1145">
            <v>1650</v>
          </cell>
          <cell r="I1145">
            <v>15956.795337369998</v>
          </cell>
        </row>
        <row r="1146">
          <cell r="B1146">
            <v>1651</v>
          </cell>
          <cell r="C1146">
            <v>15054.891580740004</v>
          </cell>
          <cell r="E1146">
            <v>1651</v>
          </cell>
          <cell r="F1146">
            <v>34210.35653379</v>
          </cell>
          <cell r="H1146">
            <v>1651</v>
          </cell>
          <cell r="I1146">
            <v>34210.35653379</v>
          </cell>
        </row>
        <row r="1147">
          <cell r="B1147">
            <v>1653</v>
          </cell>
          <cell r="C1147">
            <v>11850.137762640003</v>
          </cell>
          <cell r="E1147">
            <v>1653</v>
          </cell>
          <cell r="F1147">
            <v>25016.830445550004</v>
          </cell>
          <cell r="H1147">
            <v>1653</v>
          </cell>
          <cell r="I1147">
            <v>25016.830445550004</v>
          </cell>
        </row>
        <row r="1148">
          <cell r="B1148">
            <v>1655</v>
          </cell>
          <cell r="C1148">
            <v>8936.3726510800043</v>
          </cell>
          <cell r="E1148">
            <v>1655</v>
          </cell>
          <cell r="F1148">
            <v>18719.256277910001</v>
          </cell>
          <cell r="H1148">
            <v>1655</v>
          </cell>
          <cell r="I1148">
            <v>18719.256277910001</v>
          </cell>
        </row>
        <row r="1149">
          <cell r="B1149">
            <v>1656</v>
          </cell>
          <cell r="C1149">
            <v>1268.40860195</v>
          </cell>
          <cell r="E1149">
            <v>1656</v>
          </cell>
          <cell r="F1149">
            <v>2677.20312719</v>
          </cell>
          <cell r="H1149">
            <v>1656</v>
          </cell>
          <cell r="I1149">
            <v>2677.20312719</v>
          </cell>
        </row>
        <row r="1150">
          <cell r="B1150">
            <v>1657</v>
          </cell>
          <cell r="C1150">
            <v>6703.0630109100011</v>
          </cell>
          <cell r="E1150">
            <v>1657</v>
          </cell>
          <cell r="F1150">
            <v>13811.869872230001</v>
          </cell>
          <cell r="H1150">
            <v>1657</v>
          </cell>
          <cell r="I1150">
            <v>13811.869872230001</v>
          </cell>
        </row>
        <row r="1151">
          <cell r="B1151">
            <v>1660</v>
          </cell>
          <cell r="C1151">
            <v>5944.3618108400015</v>
          </cell>
          <cell r="E1151">
            <v>1660</v>
          </cell>
          <cell r="F1151">
            <v>12498.679751450001</v>
          </cell>
          <cell r="H1151">
            <v>1660</v>
          </cell>
          <cell r="I1151">
            <v>12498.679751450001</v>
          </cell>
        </row>
        <row r="1152">
          <cell r="B1152">
            <v>1661</v>
          </cell>
          <cell r="C1152">
            <v>3034.5373556399991</v>
          </cell>
          <cell r="E1152">
            <v>1661</v>
          </cell>
          <cell r="F1152">
            <v>6240.7963754299981</v>
          </cell>
          <cell r="H1152">
            <v>1661</v>
          </cell>
          <cell r="I1152">
            <v>6240.7963754299981</v>
          </cell>
        </row>
        <row r="1153">
          <cell r="B1153">
            <v>1663</v>
          </cell>
          <cell r="C1153">
            <v>15315.324085860002</v>
          </cell>
          <cell r="E1153">
            <v>1663</v>
          </cell>
          <cell r="F1153">
            <v>31267.804576249993</v>
          </cell>
          <cell r="H1153">
            <v>1663</v>
          </cell>
          <cell r="I1153">
            <v>31267.804576249993</v>
          </cell>
        </row>
        <row r="1154">
          <cell r="B1154">
            <v>1664</v>
          </cell>
          <cell r="C1154">
            <v>543.59969337999974</v>
          </cell>
          <cell r="E1154">
            <v>1664</v>
          </cell>
          <cell r="F1154">
            <v>1114.7761916200004</v>
          </cell>
          <cell r="H1154">
            <v>1664</v>
          </cell>
          <cell r="I1154">
            <v>1114.7761916200004</v>
          </cell>
        </row>
        <row r="1155">
          <cell r="B1155">
            <v>1665</v>
          </cell>
          <cell r="C1155">
            <v>3744.3913117099996</v>
          </cell>
          <cell r="E1155">
            <v>1665</v>
          </cell>
          <cell r="F1155">
            <v>7824.4941195100018</v>
          </cell>
          <cell r="H1155">
            <v>1665</v>
          </cell>
          <cell r="I1155">
            <v>7824.4941195100018</v>
          </cell>
        </row>
        <row r="1156">
          <cell r="B1156">
            <v>1666</v>
          </cell>
          <cell r="C1156">
            <v>10964.726335010002</v>
          </cell>
          <cell r="E1156">
            <v>1666</v>
          </cell>
          <cell r="F1156">
            <v>24205.689146820005</v>
          </cell>
          <cell r="H1156">
            <v>1666</v>
          </cell>
          <cell r="I1156">
            <v>24205.689146820005</v>
          </cell>
        </row>
        <row r="1157">
          <cell r="B1157">
            <v>1668</v>
          </cell>
          <cell r="C1157">
            <v>8612.9784812199978</v>
          </cell>
          <cell r="E1157">
            <v>1668</v>
          </cell>
          <cell r="F1157">
            <v>19433.436584460003</v>
          </cell>
          <cell r="H1157">
            <v>1668</v>
          </cell>
          <cell r="I1157">
            <v>19433.436584460003</v>
          </cell>
        </row>
        <row r="1158">
          <cell r="B1158">
            <v>1669</v>
          </cell>
          <cell r="C1158">
            <v>5844.087058770001</v>
          </cell>
          <cell r="E1158">
            <v>1669</v>
          </cell>
          <cell r="F1158">
            <v>12296.247197939996</v>
          </cell>
          <cell r="H1158">
            <v>1669</v>
          </cell>
          <cell r="I1158">
            <v>12296.247197939996</v>
          </cell>
        </row>
        <row r="1159">
          <cell r="B1159">
            <v>1672</v>
          </cell>
          <cell r="C1159">
            <v>9228.2417742099969</v>
          </cell>
          <cell r="E1159">
            <v>1672</v>
          </cell>
          <cell r="F1159">
            <v>19951.09943427</v>
          </cell>
          <cell r="H1159">
            <v>1672</v>
          </cell>
          <cell r="I1159">
            <v>19951.09943427</v>
          </cell>
        </row>
        <row r="1160">
          <cell r="B1160">
            <v>1673</v>
          </cell>
          <cell r="C1160">
            <v>8613.6860924699995</v>
          </cell>
          <cell r="E1160">
            <v>1673</v>
          </cell>
          <cell r="F1160">
            <v>17799.603931559999</v>
          </cell>
          <cell r="H1160">
            <v>1673</v>
          </cell>
          <cell r="I1160">
            <v>17799.603931559999</v>
          </cell>
        </row>
        <row r="1161">
          <cell r="B1161">
            <v>1674</v>
          </cell>
          <cell r="C1161">
            <v>5212.447984639999</v>
          </cell>
          <cell r="E1161">
            <v>1674</v>
          </cell>
          <cell r="F1161">
            <v>10341.595583910002</v>
          </cell>
          <cell r="H1161">
            <v>1674</v>
          </cell>
          <cell r="I1161">
            <v>10341.595583910002</v>
          </cell>
        </row>
        <row r="1162">
          <cell r="B1162">
            <v>1678</v>
          </cell>
          <cell r="C1162">
            <v>10412.237002320002</v>
          </cell>
          <cell r="E1162">
            <v>1678</v>
          </cell>
          <cell r="F1162">
            <v>21637.06127206</v>
          </cell>
          <cell r="H1162">
            <v>1678</v>
          </cell>
          <cell r="I1162">
            <v>21637.06127206</v>
          </cell>
        </row>
        <row r="1163">
          <cell r="B1163">
            <v>1679</v>
          </cell>
          <cell r="C1163">
            <v>15843.781556979995</v>
          </cell>
          <cell r="E1163">
            <v>1679</v>
          </cell>
          <cell r="F1163">
            <v>33399.610586960007</v>
          </cell>
          <cell r="H1163">
            <v>1679</v>
          </cell>
          <cell r="I1163">
            <v>33399.610586960007</v>
          </cell>
        </row>
        <row r="1164">
          <cell r="B1164">
            <v>1680</v>
          </cell>
          <cell r="C1164">
            <v>723.97011891000022</v>
          </cell>
          <cell r="E1164">
            <v>1680</v>
          </cell>
          <cell r="F1164">
            <v>1534.4555210899998</v>
          </cell>
          <cell r="H1164">
            <v>1680</v>
          </cell>
          <cell r="I1164">
            <v>1534.4555210899998</v>
          </cell>
        </row>
        <row r="1165">
          <cell r="B1165">
            <v>1681</v>
          </cell>
          <cell r="C1165">
            <v>8101.5757702599985</v>
          </cell>
          <cell r="E1165">
            <v>1681</v>
          </cell>
          <cell r="F1165">
            <v>16283.09437884</v>
          </cell>
          <cell r="H1165">
            <v>1681</v>
          </cell>
          <cell r="I1165">
            <v>16283.09437884</v>
          </cell>
        </row>
        <row r="1166">
          <cell r="B1166">
            <v>1685</v>
          </cell>
          <cell r="C1166">
            <v>3412.5439226000003</v>
          </cell>
          <cell r="E1166">
            <v>1685</v>
          </cell>
          <cell r="F1166">
            <v>7034.2315023400033</v>
          </cell>
          <cell r="H1166">
            <v>1685</v>
          </cell>
          <cell r="I1166">
            <v>7034.2315023400033</v>
          </cell>
        </row>
        <row r="1167">
          <cell r="B1167">
            <v>1686</v>
          </cell>
          <cell r="C1167">
            <v>6113.8219614599993</v>
          </cell>
          <cell r="E1167">
            <v>1686</v>
          </cell>
          <cell r="F1167">
            <v>12479.342673469999</v>
          </cell>
          <cell r="H1167">
            <v>1686</v>
          </cell>
          <cell r="I1167">
            <v>12479.342673469999</v>
          </cell>
        </row>
        <row r="1168">
          <cell r="B1168">
            <v>1687</v>
          </cell>
          <cell r="C1168">
            <v>7935.4301405300021</v>
          </cell>
          <cell r="E1168">
            <v>1687</v>
          </cell>
          <cell r="F1168">
            <v>16255.862470170005</v>
          </cell>
          <cell r="H1168">
            <v>1687</v>
          </cell>
          <cell r="I1168">
            <v>16255.862470170005</v>
          </cell>
        </row>
        <row r="1169">
          <cell r="B1169">
            <v>1691</v>
          </cell>
          <cell r="C1169">
            <v>1175.3330126599999</v>
          </cell>
          <cell r="E1169">
            <v>1691</v>
          </cell>
          <cell r="F1169">
            <v>2594.7435667200002</v>
          </cell>
          <cell r="H1169">
            <v>1691</v>
          </cell>
          <cell r="I1169">
            <v>2594.7435667200002</v>
          </cell>
        </row>
        <row r="1170">
          <cell r="B1170">
            <v>1692</v>
          </cell>
          <cell r="C1170">
            <v>3140.7421556400018</v>
          </cell>
          <cell r="E1170">
            <v>1692</v>
          </cell>
          <cell r="F1170">
            <v>7536.0146763600014</v>
          </cell>
          <cell r="H1170">
            <v>1692</v>
          </cell>
          <cell r="I1170">
            <v>7536.0146763600014</v>
          </cell>
        </row>
        <row r="1171">
          <cell r="B1171">
            <v>1694</v>
          </cell>
          <cell r="C1171">
            <v>1337.0204339899999</v>
          </cell>
          <cell r="E1171">
            <v>1694</v>
          </cell>
          <cell r="F1171">
            <v>2769.4326112699991</v>
          </cell>
          <cell r="H1171">
            <v>1694</v>
          </cell>
          <cell r="I1171">
            <v>2769.4326112699991</v>
          </cell>
        </row>
        <row r="1172">
          <cell r="B1172">
            <v>1695</v>
          </cell>
          <cell r="C1172">
            <v>394.23706501999993</v>
          </cell>
          <cell r="E1172">
            <v>1695</v>
          </cell>
          <cell r="F1172">
            <v>988.67922064000015</v>
          </cell>
          <cell r="H1172">
            <v>1695</v>
          </cell>
          <cell r="I1172">
            <v>988.67922064000015</v>
          </cell>
        </row>
        <row r="1173">
          <cell r="B1173">
            <v>1696</v>
          </cell>
          <cell r="C1173">
            <v>2121.6212015999999</v>
          </cell>
          <cell r="E1173">
            <v>1696</v>
          </cell>
          <cell r="F1173">
            <v>4209.5722415099999</v>
          </cell>
          <cell r="H1173">
            <v>1696</v>
          </cell>
          <cell r="I1173">
            <v>4209.5722415099999</v>
          </cell>
        </row>
        <row r="1174">
          <cell r="B1174">
            <v>1697</v>
          </cell>
          <cell r="C1174">
            <v>14605.610457300001</v>
          </cell>
          <cell r="E1174">
            <v>1697</v>
          </cell>
          <cell r="F1174">
            <v>29942.898804829994</v>
          </cell>
          <cell r="H1174">
            <v>1697</v>
          </cell>
          <cell r="I1174">
            <v>29942.898804829994</v>
          </cell>
        </row>
        <row r="1175">
          <cell r="B1175">
            <v>1699</v>
          </cell>
          <cell r="C1175">
            <v>9829.4288079699982</v>
          </cell>
          <cell r="E1175">
            <v>1699</v>
          </cell>
          <cell r="F1175">
            <v>21293.807660840008</v>
          </cell>
          <cell r="H1175">
            <v>1699</v>
          </cell>
          <cell r="I1175">
            <v>21293.807660840008</v>
          </cell>
        </row>
        <row r="1176">
          <cell r="B1176">
            <v>1702</v>
          </cell>
          <cell r="C1176">
            <v>6694.3505334499996</v>
          </cell>
          <cell r="E1176">
            <v>1702</v>
          </cell>
          <cell r="F1176">
            <v>14469.798095960006</v>
          </cell>
          <cell r="H1176">
            <v>1702</v>
          </cell>
          <cell r="I1176">
            <v>14469.798095960006</v>
          </cell>
        </row>
        <row r="1177">
          <cell r="B1177">
            <v>1703</v>
          </cell>
          <cell r="C1177">
            <v>4176.3202041799996</v>
          </cell>
          <cell r="E1177">
            <v>1703</v>
          </cell>
          <cell r="F1177">
            <v>8529.115606880001</v>
          </cell>
          <cell r="H1177">
            <v>1703</v>
          </cell>
          <cell r="I1177">
            <v>8529.115606880001</v>
          </cell>
        </row>
        <row r="1178">
          <cell r="B1178">
            <v>1705</v>
          </cell>
          <cell r="C1178">
            <v>3502.2615079299999</v>
          </cell>
          <cell r="E1178">
            <v>1705</v>
          </cell>
          <cell r="F1178">
            <v>7266.2371624299994</v>
          </cell>
          <cell r="H1178">
            <v>1705</v>
          </cell>
          <cell r="I1178">
            <v>7266.2371624299994</v>
          </cell>
        </row>
        <row r="1179">
          <cell r="B1179">
            <v>1706</v>
          </cell>
          <cell r="C1179">
            <v>5243.4901670400004</v>
          </cell>
          <cell r="E1179">
            <v>1706</v>
          </cell>
          <cell r="F1179">
            <v>11327.427381559997</v>
          </cell>
          <cell r="H1179">
            <v>1706</v>
          </cell>
          <cell r="I1179">
            <v>11327.427381559997</v>
          </cell>
        </row>
        <row r="1180">
          <cell r="B1180">
            <v>1707</v>
          </cell>
          <cell r="C1180">
            <v>1433.73691373</v>
          </cell>
          <cell r="E1180">
            <v>1707</v>
          </cell>
          <cell r="F1180">
            <v>3015.1514221000002</v>
          </cell>
          <cell r="H1180">
            <v>1707</v>
          </cell>
          <cell r="I1180">
            <v>3015.1514221000002</v>
          </cell>
        </row>
        <row r="1181">
          <cell r="B1181">
            <v>1709</v>
          </cell>
          <cell r="C1181">
            <v>5621.0703300600007</v>
          </cell>
          <cell r="E1181">
            <v>1709</v>
          </cell>
          <cell r="F1181">
            <v>11604.932623499995</v>
          </cell>
          <cell r="H1181">
            <v>1709</v>
          </cell>
          <cell r="I1181">
            <v>11604.932623499995</v>
          </cell>
        </row>
        <row r="1182">
          <cell r="B1182">
            <v>1710</v>
          </cell>
          <cell r="C1182">
            <v>468.91258448000008</v>
          </cell>
          <cell r="E1182">
            <v>1710</v>
          </cell>
          <cell r="F1182">
            <v>958.27724809999995</v>
          </cell>
          <cell r="H1182">
            <v>1710</v>
          </cell>
          <cell r="I1182">
            <v>958.27724809999995</v>
          </cell>
        </row>
        <row r="1183">
          <cell r="B1183">
            <v>1711</v>
          </cell>
          <cell r="C1183">
            <v>4105.3989601100002</v>
          </cell>
          <cell r="E1183">
            <v>1711</v>
          </cell>
          <cell r="F1183">
            <v>8412.9313285800017</v>
          </cell>
          <cell r="H1183">
            <v>1711</v>
          </cell>
          <cell r="I1183">
            <v>8412.9313285800017</v>
          </cell>
        </row>
        <row r="1184">
          <cell r="B1184">
            <v>1712</v>
          </cell>
          <cell r="C1184">
            <v>1161.1195870800002</v>
          </cell>
          <cell r="E1184">
            <v>1712</v>
          </cell>
          <cell r="F1184">
            <v>2237.9983201399991</v>
          </cell>
          <cell r="H1184">
            <v>1712</v>
          </cell>
          <cell r="I1184">
            <v>2237.9983201399991</v>
          </cell>
        </row>
        <row r="1185">
          <cell r="B1185">
            <v>1713</v>
          </cell>
          <cell r="C1185">
            <v>4940.3215521400007</v>
          </cell>
          <cell r="E1185">
            <v>1713</v>
          </cell>
          <cell r="F1185">
            <v>10507.341451779999</v>
          </cell>
          <cell r="H1185">
            <v>1713</v>
          </cell>
          <cell r="I1185">
            <v>10507.341451779999</v>
          </cell>
        </row>
        <row r="1186">
          <cell r="B1186">
            <v>1714</v>
          </cell>
          <cell r="C1186">
            <v>5194.4339340400011</v>
          </cell>
          <cell r="E1186">
            <v>1714</v>
          </cell>
          <cell r="F1186">
            <v>11088.98821345</v>
          </cell>
          <cell r="H1186">
            <v>1714</v>
          </cell>
          <cell r="I1186">
            <v>11088.98821345</v>
          </cell>
        </row>
        <row r="1187">
          <cell r="B1187">
            <v>1715</v>
          </cell>
          <cell r="C1187">
            <v>3753.8993609099998</v>
          </cell>
          <cell r="E1187">
            <v>1715</v>
          </cell>
          <cell r="F1187">
            <v>8172.7181143200023</v>
          </cell>
          <cell r="H1187">
            <v>1715</v>
          </cell>
          <cell r="I1187">
            <v>8172.7181143200023</v>
          </cell>
        </row>
        <row r="1188">
          <cell r="B1188">
            <v>1716</v>
          </cell>
          <cell r="C1188">
            <v>3232.0506732499994</v>
          </cell>
          <cell r="E1188">
            <v>1716</v>
          </cell>
          <cell r="F1188">
            <v>7393.8383250800007</v>
          </cell>
          <cell r="H1188">
            <v>1716</v>
          </cell>
          <cell r="I1188">
            <v>7393.8383250800007</v>
          </cell>
        </row>
        <row r="1189">
          <cell r="B1189">
            <v>1718</v>
          </cell>
          <cell r="C1189">
            <v>6900.3826549699979</v>
          </cell>
          <cell r="E1189">
            <v>1718</v>
          </cell>
          <cell r="F1189">
            <v>14549.185476699999</v>
          </cell>
          <cell r="H1189">
            <v>1718</v>
          </cell>
          <cell r="I1189">
            <v>14549.185476699999</v>
          </cell>
        </row>
        <row r="1190">
          <cell r="B1190">
            <v>1719</v>
          </cell>
          <cell r="C1190">
            <v>3420.0273727700005</v>
          </cell>
          <cell r="E1190">
            <v>1719</v>
          </cell>
          <cell r="F1190">
            <v>7242.6001624199998</v>
          </cell>
          <cell r="H1190">
            <v>1719</v>
          </cell>
          <cell r="I1190">
            <v>7242.6001624199998</v>
          </cell>
        </row>
        <row r="1191">
          <cell r="B1191">
            <v>1720</v>
          </cell>
          <cell r="C1191">
            <v>1559.2323063000001</v>
          </cell>
          <cell r="E1191">
            <v>1720</v>
          </cell>
          <cell r="F1191">
            <v>3180.2461875800004</v>
          </cell>
          <cell r="H1191">
            <v>1720</v>
          </cell>
          <cell r="I1191">
            <v>3180.2461875800004</v>
          </cell>
        </row>
        <row r="1192">
          <cell r="B1192">
            <v>1723</v>
          </cell>
          <cell r="C1192">
            <v>4186.3859349200011</v>
          </cell>
          <cell r="E1192">
            <v>1723</v>
          </cell>
          <cell r="F1192">
            <v>8907.4566896800006</v>
          </cell>
          <cell r="H1192">
            <v>1723</v>
          </cell>
          <cell r="I1192">
            <v>8907.4566896800006</v>
          </cell>
        </row>
        <row r="1193">
          <cell r="B1193">
            <v>1726</v>
          </cell>
          <cell r="C1193">
            <v>12220.324220350003</v>
          </cell>
          <cell r="E1193">
            <v>1726</v>
          </cell>
          <cell r="F1193">
            <v>26320.266346499997</v>
          </cell>
          <cell r="H1193">
            <v>1726</v>
          </cell>
          <cell r="I1193">
            <v>26320.266346499997</v>
          </cell>
        </row>
        <row r="1194">
          <cell r="B1194">
            <v>1728</v>
          </cell>
          <cell r="C1194">
            <v>2664.2101417499998</v>
          </cell>
          <cell r="E1194">
            <v>1728</v>
          </cell>
          <cell r="F1194">
            <v>5442.3900278399979</v>
          </cell>
          <cell r="H1194">
            <v>1728</v>
          </cell>
          <cell r="I1194">
            <v>5442.3900278399979</v>
          </cell>
        </row>
        <row r="1195">
          <cell r="B1195">
            <v>1729</v>
          </cell>
          <cell r="C1195">
            <v>1924.3748151200004</v>
          </cell>
          <cell r="E1195">
            <v>1729</v>
          </cell>
          <cell r="F1195">
            <v>4020.7624770900015</v>
          </cell>
          <cell r="H1195">
            <v>1729</v>
          </cell>
          <cell r="I1195">
            <v>4020.7624770900015</v>
          </cell>
        </row>
        <row r="1196">
          <cell r="B1196">
            <v>1732</v>
          </cell>
          <cell r="C1196">
            <v>4712.2102907500021</v>
          </cell>
          <cell r="E1196">
            <v>1732</v>
          </cell>
          <cell r="F1196">
            <v>8985.7391425399946</v>
          </cell>
          <cell r="H1196">
            <v>1732</v>
          </cell>
          <cell r="I1196">
            <v>8985.7391425399946</v>
          </cell>
        </row>
        <row r="1197">
          <cell r="B1197">
            <v>1733</v>
          </cell>
          <cell r="C1197">
            <v>11655.608561709998</v>
          </cell>
          <cell r="E1197">
            <v>1733</v>
          </cell>
          <cell r="F1197">
            <v>24051.396983040002</v>
          </cell>
          <cell r="H1197">
            <v>1733</v>
          </cell>
          <cell r="I1197">
            <v>24051.396983040002</v>
          </cell>
        </row>
        <row r="1198">
          <cell r="B1198">
            <v>1737</v>
          </cell>
          <cell r="C1198">
            <v>2914.2655703500004</v>
          </cell>
          <cell r="E1198">
            <v>1737</v>
          </cell>
          <cell r="F1198">
            <v>6141.8571064699991</v>
          </cell>
          <cell r="H1198">
            <v>1737</v>
          </cell>
          <cell r="I1198">
            <v>6141.8571064699991</v>
          </cell>
        </row>
        <row r="1199">
          <cell r="B1199">
            <v>1739</v>
          </cell>
          <cell r="C1199">
            <v>3216.7196503399996</v>
          </cell>
          <cell r="E1199">
            <v>1739</v>
          </cell>
          <cell r="F1199">
            <v>6829.6319840800015</v>
          </cell>
          <cell r="H1199">
            <v>1739</v>
          </cell>
          <cell r="I1199">
            <v>6829.6319840800015</v>
          </cell>
        </row>
        <row r="1200">
          <cell r="B1200">
            <v>1740</v>
          </cell>
          <cell r="C1200">
            <v>2833.4032165299996</v>
          </cell>
          <cell r="E1200">
            <v>1740</v>
          </cell>
          <cell r="F1200">
            <v>5857.3987430900015</v>
          </cell>
          <cell r="H1200">
            <v>1740</v>
          </cell>
          <cell r="I1200">
            <v>5857.3987430900015</v>
          </cell>
        </row>
        <row r="1201">
          <cell r="B1201">
            <v>1742</v>
          </cell>
          <cell r="C1201">
            <v>16988.461227830005</v>
          </cell>
          <cell r="E1201">
            <v>1742</v>
          </cell>
          <cell r="F1201">
            <v>35468.066299110003</v>
          </cell>
          <cell r="H1201">
            <v>1742</v>
          </cell>
          <cell r="I1201">
            <v>35468.066299110003</v>
          </cell>
        </row>
        <row r="1202">
          <cell r="B1202">
            <v>1743</v>
          </cell>
          <cell r="C1202">
            <v>1944.1543736699994</v>
          </cell>
          <cell r="E1202">
            <v>1743</v>
          </cell>
          <cell r="F1202">
            <v>4231.0839826400015</v>
          </cell>
          <cell r="H1202">
            <v>1743</v>
          </cell>
          <cell r="I1202">
            <v>4231.0839826400015</v>
          </cell>
        </row>
        <row r="1203">
          <cell r="B1203">
            <v>1744</v>
          </cell>
          <cell r="C1203">
            <v>10209.762315320002</v>
          </cell>
          <cell r="E1203">
            <v>1744</v>
          </cell>
          <cell r="F1203">
            <v>21068.743108930001</v>
          </cell>
          <cell r="H1203">
            <v>1744</v>
          </cell>
          <cell r="I1203">
            <v>21068.743108930001</v>
          </cell>
        </row>
        <row r="1204">
          <cell r="B1204">
            <v>1746</v>
          </cell>
          <cell r="C1204">
            <v>6427.8877485999974</v>
          </cell>
          <cell r="E1204">
            <v>1746</v>
          </cell>
          <cell r="F1204">
            <v>13531.957569629996</v>
          </cell>
          <cell r="H1204">
            <v>1746</v>
          </cell>
          <cell r="I1204">
            <v>13531.957569629996</v>
          </cell>
        </row>
        <row r="1205">
          <cell r="B1205">
            <v>1748</v>
          </cell>
          <cell r="C1205">
            <v>20542.078878489992</v>
          </cell>
          <cell r="E1205">
            <v>1748</v>
          </cell>
          <cell r="F1205">
            <v>44373.613162470014</v>
          </cell>
          <cell r="H1205">
            <v>1748</v>
          </cell>
          <cell r="I1205">
            <v>44373.613162470014</v>
          </cell>
        </row>
        <row r="1206">
          <cell r="B1206">
            <v>1750</v>
          </cell>
          <cell r="C1206">
            <v>255.15128595999985</v>
          </cell>
          <cell r="E1206">
            <v>1750</v>
          </cell>
          <cell r="F1206">
            <v>452.88409803000002</v>
          </cell>
          <cell r="H1206">
            <v>1750</v>
          </cell>
          <cell r="I1206">
            <v>452.88409803000002</v>
          </cell>
        </row>
        <row r="1207">
          <cell r="B1207">
            <v>1752</v>
          </cell>
          <cell r="C1207">
            <v>4612.3613790899999</v>
          </cell>
          <cell r="E1207">
            <v>1752</v>
          </cell>
          <cell r="F1207">
            <v>12572.690625279994</v>
          </cell>
          <cell r="H1207">
            <v>1752</v>
          </cell>
          <cell r="I1207">
            <v>12572.690625279994</v>
          </cell>
        </row>
        <row r="1208">
          <cell r="B1208">
            <v>1753</v>
          </cell>
          <cell r="C1208">
            <v>1055.7179353700001</v>
          </cell>
          <cell r="E1208">
            <v>1753</v>
          </cell>
          <cell r="F1208">
            <v>1782.9333660400005</v>
          </cell>
          <cell r="H1208">
            <v>1753</v>
          </cell>
          <cell r="I1208">
            <v>1782.9333660400005</v>
          </cell>
        </row>
        <row r="1209">
          <cell r="B1209">
            <v>1754</v>
          </cell>
          <cell r="C1209">
            <v>1530.6061376000002</v>
          </cell>
          <cell r="E1209">
            <v>1754</v>
          </cell>
          <cell r="F1209">
            <v>3284.5362220699999</v>
          </cell>
          <cell r="H1209">
            <v>1754</v>
          </cell>
          <cell r="I1209">
            <v>3284.5362220699999</v>
          </cell>
        </row>
        <row r="1210">
          <cell r="B1210">
            <v>1756</v>
          </cell>
          <cell r="C1210">
            <v>685.78816946000006</v>
          </cell>
          <cell r="E1210">
            <v>1756</v>
          </cell>
          <cell r="F1210">
            <v>1527.05942293</v>
          </cell>
          <cell r="H1210">
            <v>1756</v>
          </cell>
          <cell r="I1210">
            <v>1527.05942293</v>
          </cell>
        </row>
        <row r="1211">
          <cell r="B1211">
            <v>1757</v>
          </cell>
          <cell r="C1211">
            <v>3815.1955559700004</v>
          </cell>
          <cell r="E1211">
            <v>1757</v>
          </cell>
          <cell r="F1211">
            <v>7678.0392184799994</v>
          </cell>
          <cell r="H1211">
            <v>1757</v>
          </cell>
          <cell r="I1211">
            <v>7678.0392184799994</v>
          </cell>
        </row>
        <row r="1212">
          <cell r="B1212">
            <v>1760</v>
          </cell>
          <cell r="C1212">
            <v>245.5055601</v>
          </cell>
          <cell r="E1212">
            <v>1760</v>
          </cell>
          <cell r="F1212">
            <v>521.93214162999993</v>
          </cell>
          <cell r="H1212">
            <v>1760</v>
          </cell>
          <cell r="I1212">
            <v>521.93214162999993</v>
          </cell>
        </row>
        <row r="1213">
          <cell r="B1213">
            <v>1761</v>
          </cell>
          <cell r="C1213">
            <v>176.48740874000001</v>
          </cell>
          <cell r="E1213">
            <v>1761</v>
          </cell>
          <cell r="F1213">
            <v>365.21278537000001</v>
          </cell>
          <cell r="H1213">
            <v>1761</v>
          </cell>
          <cell r="I1213">
            <v>365.21278537000001</v>
          </cell>
        </row>
        <row r="1214">
          <cell r="B1214">
            <v>1763</v>
          </cell>
          <cell r="C1214">
            <v>1576.1972793699999</v>
          </cell>
          <cell r="E1214">
            <v>1763</v>
          </cell>
          <cell r="F1214">
            <v>3392.2583500800006</v>
          </cell>
          <cell r="H1214">
            <v>1763</v>
          </cell>
          <cell r="I1214">
            <v>3392.2583500800006</v>
          </cell>
        </row>
        <row r="1215">
          <cell r="B1215">
            <v>1764</v>
          </cell>
          <cell r="C1215">
            <v>2388.8191698300002</v>
          </cell>
          <cell r="E1215">
            <v>1764</v>
          </cell>
          <cell r="F1215">
            <v>5263.6186423599993</v>
          </cell>
          <cell r="H1215">
            <v>1764</v>
          </cell>
          <cell r="I1215">
            <v>5263.6186423599993</v>
          </cell>
        </row>
        <row r="1216">
          <cell r="B1216">
            <v>1765</v>
          </cell>
          <cell r="C1216">
            <v>23390.788731149998</v>
          </cell>
          <cell r="E1216">
            <v>1765</v>
          </cell>
          <cell r="F1216">
            <v>50496.931417019994</v>
          </cell>
          <cell r="H1216">
            <v>1765</v>
          </cell>
          <cell r="I1216">
            <v>50496.931417019994</v>
          </cell>
        </row>
        <row r="1217">
          <cell r="B1217">
            <v>1766</v>
          </cell>
          <cell r="C1217">
            <v>2439.4204144900004</v>
          </cell>
          <cell r="E1217">
            <v>1766</v>
          </cell>
          <cell r="F1217">
            <v>5226.9101615899981</v>
          </cell>
          <cell r="H1217">
            <v>1766</v>
          </cell>
          <cell r="I1217">
            <v>5226.9101615899981</v>
          </cell>
        </row>
        <row r="1218">
          <cell r="B1218">
            <v>1767</v>
          </cell>
          <cell r="C1218">
            <v>608.65553717</v>
          </cell>
          <cell r="E1218">
            <v>1767</v>
          </cell>
          <cell r="F1218">
            <v>1355.3422495</v>
          </cell>
          <cell r="H1218">
            <v>1767</v>
          </cell>
          <cell r="I1218">
            <v>1355.3422495</v>
          </cell>
        </row>
        <row r="1219">
          <cell r="B1219">
            <v>1769</v>
          </cell>
          <cell r="C1219">
            <v>18260.091745679994</v>
          </cell>
          <cell r="E1219">
            <v>1769</v>
          </cell>
          <cell r="F1219">
            <v>38928.463823680009</v>
          </cell>
          <cell r="H1219">
            <v>1769</v>
          </cell>
          <cell r="I1219">
            <v>38928.463823680009</v>
          </cell>
        </row>
        <row r="1220">
          <cell r="B1220">
            <v>1771</v>
          </cell>
          <cell r="C1220">
            <v>602.47834403999991</v>
          </cell>
          <cell r="E1220">
            <v>1771</v>
          </cell>
          <cell r="F1220">
            <v>1222.4467629299997</v>
          </cell>
          <cell r="H1220">
            <v>1771</v>
          </cell>
          <cell r="I1220">
            <v>1222.4467629299997</v>
          </cell>
        </row>
        <row r="1221">
          <cell r="B1221">
            <v>1773</v>
          </cell>
          <cell r="C1221">
            <v>6382.8722626999988</v>
          </cell>
          <cell r="E1221">
            <v>1773</v>
          </cell>
          <cell r="F1221">
            <v>12974.865449829998</v>
          </cell>
          <cell r="H1221">
            <v>1773</v>
          </cell>
          <cell r="I1221">
            <v>12974.865449829998</v>
          </cell>
        </row>
        <row r="1222">
          <cell r="B1222">
            <v>1774</v>
          </cell>
          <cell r="C1222">
            <v>2224.5841734800001</v>
          </cell>
          <cell r="E1222">
            <v>1774</v>
          </cell>
          <cell r="F1222">
            <v>4564.2360867899988</v>
          </cell>
          <cell r="H1222">
            <v>1774</v>
          </cell>
          <cell r="I1222">
            <v>4564.2360867899988</v>
          </cell>
        </row>
        <row r="1223">
          <cell r="B1223">
            <v>1776</v>
          </cell>
          <cell r="C1223">
            <v>8610.8299823800007</v>
          </cell>
          <cell r="E1223">
            <v>1776</v>
          </cell>
          <cell r="F1223">
            <v>17532.61784209</v>
          </cell>
          <cell r="H1223">
            <v>1776</v>
          </cell>
          <cell r="I1223">
            <v>17532.61784209</v>
          </cell>
        </row>
        <row r="1224">
          <cell r="B1224">
            <v>1779</v>
          </cell>
          <cell r="C1224">
            <v>2248.9004406399999</v>
          </cell>
          <cell r="E1224">
            <v>1779</v>
          </cell>
          <cell r="F1224">
            <v>4700.7025517600014</v>
          </cell>
          <cell r="H1224">
            <v>1779</v>
          </cell>
          <cell r="I1224">
            <v>4700.7025517600014</v>
          </cell>
        </row>
        <row r="1225">
          <cell r="B1225">
            <v>1780</v>
          </cell>
          <cell r="C1225">
            <v>2885.7441062999997</v>
          </cell>
          <cell r="E1225">
            <v>1780</v>
          </cell>
          <cell r="F1225">
            <v>5854.4208058100003</v>
          </cell>
          <cell r="H1225">
            <v>1780</v>
          </cell>
          <cell r="I1225">
            <v>5854.4208058100003</v>
          </cell>
        </row>
        <row r="1226">
          <cell r="B1226">
            <v>1782</v>
          </cell>
          <cell r="C1226">
            <v>8163.4590712500003</v>
          </cell>
          <cell r="E1226">
            <v>1782</v>
          </cell>
          <cell r="F1226">
            <v>16884.611929840001</v>
          </cell>
          <cell r="H1226">
            <v>1782</v>
          </cell>
          <cell r="I1226">
            <v>16884.611929840001</v>
          </cell>
        </row>
        <row r="1227">
          <cell r="B1227">
            <v>1783</v>
          </cell>
          <cell r="C1227">
            <v>31166.863241639996</v>
          </cell>
          <cell r="E1227">
            <v>1783</v>
          </cell>
          <cell r="F1227">
            <v>69997.085270600015</v>
          </cell>
          <cell r="H1227">
            <v>1783</v>
          </cell>
          <cell r="I1227">
            <v>69997.085270600015</v>
          </cell>
        </row>
        <row r="1228">
          <cell r="B1228">
            <v>1787</v>
          </cell>
          <cell r="C1228">
            <v>5755.8064022600001</v>
          </cell>
          <cell r="E1228">
            <v>1787</v>
          </cell>
          <cell r="F1228">
            <v>12143.835082769998</v>
          </cell>
          <cell r="H1228">
            <v>1787</v>
          </cell>
          <cell r="I1228">
            <v>12143.835082769998</v>
          </cell>
        </row>
        <row r="1229">
          <cell r="B1229">
            <v>1790</v>
          </cell>
          <cell r="C1229">
            <v>15910.133492779998</v>
          </cell>
          <cell r="E1229">
            <v>1790</v>
          </cell>
          <cell r="F1229">
            <v>33370.682804040007</v>
          </cell>
          <cell r="H1229">
            <v>1790</v>
          </cell>
          <cell r="I1229">
            <v>33370.682804040007</v>
          </cell>
        </row>
        <row r="1230">
          <cell r="B1230">
            <v>1791</v>
          </cell>
          <cell r="C1230">
            <v>4459.5463295000009</v>
          </cell>
          <cell r="E1230">
            <v>1791</v>
          </cell>
          <cell r="F1230">
            <v>8987.0644535800002</v>
          </cell>
          <cell r="H1230">
            <v>1791</v>
          </cell>
          <cell r="I1230">
            <v>8987.0644535800002</v>
          </cell>
        </row>
        <row r="1231">
          <cell r="B1231">
            <v>1795</v>
          </cell>
          <cell r="C1231">
            <v>14102.276402759999</v>
          </cell>
          <cell r="E1231">
            <v>1795</v>
          </cell>
          <cell r="F1231">
            <v>28579.996418879982</v>
          </cell>
          <cell r="H1231">
            <v>1795</v>
          </cell>
          <cell r="I1231">
            <v>28579.996418879982</v>
          </cell>
        </row>
        <row r="1232">
          <cell r="B1232">
            <v>1799</v>
          </cell>
          <cell r="C1232">
            <v>4278.8033843900002</v>
          </cell>
          <cell r="E1232">
            <v>1799</v>
          </cell>
          <cell r="F1232">
            <v>9191.7585814199992</v>
          </cell>
          <cell r="H1232">
            <v>1799</v>
          </cell>
          <cell r="I1232">
            <v>9191.7585814199992</v>
          </cell>
        </row>
        <row r="1233">
          <cell r="B1233">
            <v>1803</v>
          </cell>
          <cell r="C1233">
            <v>5777.6977419899986</v>
          </cell>
          <cell r="E1233">
            <v>1803</v>
          </cell>
          <cell r="F1233">
            <v>10903.71195775</v>
          </cell>
          <cell r="H1233">
            <v>1803</v>
          </cell>
          <cell r="I1233">
            <v>10903.71195775</v>
          </cell>
        </row>
        <row r="1234">
          <cell r="B1234">
            <v>1804</v>
          </cell>
          <cell r="C1234">
            <v>2937.9675850099998</v>
          </cell>
          <cell r="E1234">
            <v>1804</v>
          </cell>
          <cell r="F1234">
            <v>6039.5846513300003</v>
          </cell>
          <cell r="H1234">
            <v>1804</v>
          </cell>
          <cell r="I1234">
            <v>6039.5846513300003</v>
          </cell>
        </row>
        <row r="1235">
          <cell r="B1235">
            <v>1805</v>
          </cell>
          <cell r="C1235">
            <v>5784.205365050002</v>
          </cell>
          <cell r="E1235">
            <v>1805</v>
          </cell>
          <cell r="F1235">
            <v>12355.338486599996</v>
          </cell>
          <cell r="H1235">
            <v>1805</v>
          </cell>
          <cell r="I1235">
            <v>12355.338486599996</v>
          </cell>
        </row>
        <row r="1236">
          <cell r="B1236">
            <v>1806</v>
          </cell>
          <cell r="C1236">
            <v>8264.1874218899975</v>
          </cell>
          <cell r="E1236">
            <v>1806</v>
          </cell>
          <cell r="F1236">
            <v>17344.711565230002</v>
          </cell>
          <cell r="H1236">
            <v>1806</v>
          </cell>
          <cell r="I1236">
            <v>17344.711565230002</v>
          </cell>
        </row>
        <row r="1237">
          <cell r="B1237">
            <v>1808</v>
          </cell>
          <cell r="C1237">
            <v>1427.7256237900003</v>
          </cell>
          <cell r="E1237">
            <v>1808</v>
          </cell>
          <cell r="F1237">
            <v>2882.8526902700014</v>
          </cell>
          <cell r="H1237">
            <v>1808</v>
          </cell>
          <cell r="I1237">
            <v>2882.8526902700014</v>
          </cell>
        </row>
        <row r="1238">
          <cell r="B1238">
            <v>1809</v>
          </cell>
          <cell r="C1238">
            <v>7745.7996402399995</v>
          </cell>
          <cell r="E1238">
            <v>1809</v>
          </cell>
          <cell r="F1238">
            <v>15933.35781917</v>
          </cell>
          <cell r="H1238">
            <v>1809</v>
          </cell>
          <cell r="I1238">
            <v>15933.35781917</v>
          </cell>
        </row>
        <row r="1239">
          <cell r="B1239">
            <v>1811</v>
          </cell>
          <cell r="C1239">
            <v>792.51246496999977</v>
          </cell>
          <cell r="E1239">
            <v>1811</v>
          </cell>
          <cell r="F1239">
            <v>2168.5966984799988</v>
          </cell>
          <cell r="H1239">
            <v>1811</v>
          </cell>
          <cell r="I1239">
            <v>2168.5966984799988</v>
          </cell>
        </row>
        <row r="1240">
          <cell r="B1240">
            <v>1812</v>
          </cell>
          <cell r="C1240">
            <v>571.77910754999994</v>
          </cell>
          <cell r="E1240">
            <v>1812</v>
          </cell>
          <cell r="F1240">
            <v>1234.07737595</v>
          </cell>
          <cell r="H1240">
            <v>1812</v>
          </cell>
          <cell r="I1240">
            <v>1234.07737595</v>
          </cell>
        </row>
        <row r="1241">
          <cell r="B1241">
            <v>1814</v>
          </cell>
          <cell r="C1241">
            <v>3694.4574967599997</v>
          </cell>
          <cell r="E1241">
            <v>1814</v>
          </cell>
          <cell r="F1241">
            <v>8043.0311830500004</v>
          </cell>
          <cell r="H1241">
            <v>1814</v>
          </cell>
          <cell r="I1241">
            <v>8043.0311830500004</v>
          </cell>
        </row>
        <row r="1242">
          <cell r="B1242">
            <v>1815</v>
          </cell>
          <cell r="C1242">
            <v>7155.3235056399999</v>
          </cell>
          <cell r="E1242">
            <v>1815</v>
          </cell>
          <cell r="F1242">
            <v>15495.48248053</v>
          </cell>
          <cell r="H1242">
            <v>1815</v>
          </cell>
          <cell r="I1242">
            <v>15495.48248053</v>
          </cell>
        </row>
        <row r="1243">
          <cell r="B1243">
            <v>1816</v>
          </cell>
          <cell r="C1243">
            <v>3378.3403366000002</v>
          </cell>
          <cell r="E1243">
            <v>1816</v>
          </cell>
          <cell r="F1243">
            <v>6771.2663322900016</v>
          </cell>
          <cell r="H1243">
            <v>1816</v>
          </cell>
          <cell r="I1243">
            <v>6771.2663322900016</v>
          </cell>
        </row>
        <row r="1244">
          <cell r="B1244">
            <v>1820</v>
          </cell>
          <cell r="C1244">
            <v>999.10159444999977</v>
          </cell>
          <cell r="E1244">
            <v>1820</v>
          </cell>
          <cell r="F1244">
            <v>2176.3108003699999</v>
          </cell>
          <cell r="H1244">
            <v>1820</v>
          </cell>
          <cell r="I1244">
            <v>2176.3108003699999</v>
          </cell>
        </row>
        <row r="1245">
          <cell r="B1245">
            <v>1821</v>
          </cell>
          <cell r="C1245">
            <v>570.55633675000001</v>
          </cell>
          <cell r="E1245">
            <v>1821</v>
          </cell>
          <cell r="F1245">
            <v>1206.87732833</v>
          </cell>
          <cell r="H1245">
            <v>1821</v>
          </cell>
          <cell r="I1245">
            <v>1206.87732833</v>
          </cell>
        </row>
        <row r="1246">
          <cell r="B1246">
            <v>1825</v>
          </cell>
          <cell r="C1246">
            <v>3394.1270194999997</v>
          </cell>
          <cell r="E1246">
            <v>1825</v>
          </cell>
          <cell r="F1246">
            <v>6991.6354160600004</v>
          </cell>
          <cell r="H1246">
            <v>1825</v>
          </cell>
          <cell r="I1246">
            <v>6991.6354160600004</v>
          </cell>
        </row>
        <row r="1247">
          <cell r="B1247">
            <v>1826</v>
          </cell>
          <cell r="C1247">
            <v>1289.7975774199999</v>
          </cell>
          <cell r="E1247">
            <v>1826</v>
          </cell>
          <cell r="F1247">
            <v>2710.5345238000004</v>
          </cell>
          <cell r="H1247">
            <v>1826</v>
          </cell>
          <cell r="I1247">
            <v>2710.5345238000004</v>
          </cell>
        </row>
        <row r="1248">
          <cell r="B1248">
            <v>1829</v>
          </cell>
          <cell r="C1248">
            <v>3034.8547591699994</v>
          </cell>
          <cell r="E1248">
            <v>1829</v>
          </cell>
          <cell r="F1248">
            <v>6672.0123293400029</v>
          </cell>
          <cell r="H1248">
            <v>1829</v>
          </cell>
          <cell r="I1248">
            <v>6672.0123293400029</v>
          </cell>
        </row>
        <row r="1249">
          <cell r="B1249">
            <v>1830</v>
          </cell>
          <cell r="C1249">
            <v>7355.9976892900022</v>
          </cell>
          <cell r="E1249">
            <v>1830</v>
          </cell>
          <cell r="F1249">
            <v>15542.694914099993</v>
          </cell>
          <cell r="H1249">
            <v>1830</v>
          </cell>
          <cell r="I1249">
            <v>15542.694914099993</v>
          </cell>
        </row>
        <row r="1250">
          <cell r="B1250">
            <v>1834</v>
          </cell>
          <cell r="C1250">
            <v>6606.9586816400006</v>
          </cell>
          <cell r="E1250">
            <v>1834</v>
          </cell>
          <cell r="F1250">
            <v>13278.290456929997</v>
          </cell>
          <cell r="H1250">
            <v>1834</v>
          </cell>
          <cell r="I1250">
            <v>13278.290456929997</v>
          </cell>
        </row>
        <row r="1251">
          <cell r="B1251">
            <v>1840</v>
          </cell>
          <cell r="C1251">
            <v>3141.6922867499993</v>
          </cell>
          <cell r="E1251">
            <v>1840</v>
          </cell>
          <cell r="F1251">
            <v>6644.2132466500016</v>
          </cell>
          <cell r="H1251">
            <v>1840</v>
          </cell>
          <cell r="I1251">
            <v>6644.2132466500016</v>
          </cell>
        </row>
        <row r="1252">
          <cell r="B1252">
            <v>1841</v>
          </cell>
          <cell r="C1252">
            <v>6466.4467560699995</v>
          </cell>
          <cell r="E1252">
            <v>1841</v>
          </cell>
          <cell r="F1252">
            <v>13655.88030753</v>
          </cell>
          <cell r="H1252">
            <v>1841</v>
          </cell>
          <cell r="I1252">
            <v>13655.88030753</v>
          </cell>
        </row>
        <row r="1253">
          <cell r="B1253">
            <v>1842</v>
          </cell>
          <cell r="C1253">
            <v>2341.6989004400007</v>
          </cell>
          <cell r="E1253">
            <v>1842</v>
          </cell>
          <cell r="F1253">
            <v>4862.42760894</v>
          </cell>
          <cell r="H1253">
            <v>1842</v>
          </cell>
          <cell r="I1253">
            <v>4862.42760894</v>
          </cell>
        </row>
        <row r="1254">
          <cell r="B1254">
            <v>1847</v>
          </cell>
          <cell r="C1254">
            <v>892.09317152999995</v>
          </cell>
          <cell r="E1254">
            <v>1847</v>
          </cell>
          <cell r="F1254">
            <v>1809.7402107099995</v>
          </cell>
          <cell r="H1254">
            <v>1847</v>
          </cell>
          <cell r="I1254">
            <v>1809.7402107099995</v>
          </cell>
        </row>
        <row r="1255">
          <cell r="B1255">
            <v>1848</v>
          </cell>
          <cell r="C1255">
            <v>9914.2648130199959</v>
          </cell>
          <cell r="E1255">
            <v>1848</v>
          </cell>
          <cell r="F1255">
            <v>21142.737743440004</v>
          </cell>
          <cell r="H1255">
            <v>1848</v>
          </cell>
          <cell r="I1255">
            <v>21142.737743440004</v>
          </cell>
        </row>
        <row r="1256">
          <cell r="B1256">
            <v>1851</v>
          </cell>
          <cell r="C1256">
            <v>730.20989262000012</v>
          </cell>
          <cell r="E1256">
            <v>1851</v>
          </cell>
          <cell r="F1256">
            <v>1535.8591016400001</v>
          </cell>
          <cell r="H1256">
            <v>1851</v>
          </cell>
          <cell r="I1256">
            <v>1535.8591016400001</v>
          </cell>
        </row>
        <row r="1257">
          <cell r="B1257">
            <v>1852</v>
          </cell>
          <cell r="C1257">
            <v>14104.05125049</v>
          </cell>
          <cell r="E1257">
            <v>1852</v>
          </cell>
          <cell r="F1257">
            <v>29399.504053829998</v>
          </cell>
          <cell r="H1257">
            <v>1852</v>
          </cell>
          <cell r="I1257">
            <v>29399.504053829998</v>
          </cell>
        </row>
        <row r="1258">
          <cell r="B1258">
            <v>1853</v>
          </cell>
          <cell r="C1258">
            <v>20203.395054819997</v>
          </cell>
          <cell r="E1258">
            <v>1853</v>
          </cell>
          <cell r="F1258">
            <v>42986.160491330018</v>
          </cell>
          <cell r="H1258">
            <v>1853</v>
          </cell>
          <cell r="I1258">
            <v>42986.160491330018</v>
          </cell>
        </row>
        <row r="1259">
          <cell r="B1259">
            <v>1854</v>
          </cell>
          <cell r="C1259">
            <v>6249.8236493399991</v>
          </cell>
          <cell r="E1259">
            <v>1854</v>
          </cell>
          <cell r="F1259">
            <v>13153.497566490003</v>
          </cell>
          <cell r="H1259">
            <v>1854</v>
          </cell>
          <cell r="I1259">
            <v>13153.497566490003</v>
          </cell>
        </row>
        <row r="1260">
          <cell r="B1260">
            <v>1855</v>
          </cell>
          <cell r="C1260">
            <v>5372.7388901099994</v>
          </cell>
          <cell r="E1260">
            <v>1855</v>
          </cell>
          <cell r="F1260">
            <v>11568.262004769998</v>
          </cell>
          <cell r="H1260">
            <v>1855</v>
          </cell>
          <cell r="I1260">
            <v>11568.262004769998</v>
          </cell>
        </row>
        <row r="1261">
          <cell r="B1261">
            <v>1857</v>
          </cell>
          <cell r="C1261">
            <v>3715.7769897999997</v>
          </cell>
          <cell r="E1261">
            <v>1857</v>
          </cell>
          <cell r="F1261">
            <v>8008.7100194200011</v>
          </cell>
          <cell r="H1261">
            <v>1857</v>
          </cell>
          <cell r="I1261">
            <v>8008.7100194200011</v>
          </cell>
        </row>
        <row r="1262">
          <cell r="B1262">
            <v>1858</v>
          </cell>
          <cell r="C1262">
            <v>22317.972966869998</v>
          </cell>
          <cell r="E1262">
            <v>1858</v>
          </cell>
          <cell r="F1262">
            <v>47538.993739699996</v>
          </cell>
          <cell r="H1262">
            <v>1858</v>
          </cell>
          <cell r="I1262">
            <v>47538.993739699996</v>
          </cell>
        </row>
        <row r="1263">
          <cell r="B1263">
            <v>1859</v>
          </cell>
          <cell r="C1263">
            <v>4185.9344544999994</v>
          </cell>
          <cell r="E1263">
            <v>1859</v>
          </cell>
          <cell r="F1263">
            <v>9027.1217598400017</v>
          </cell>
          <cell r="H1263">
            <v>1859</v>
          </cell>
          <cell r="I1263">
            <v>9027.1217598400017</v>
          </cell>
        </row>
        <row r="1264">
          <cell r="B1264">
            <v>1860</v>
          </cell>
          <cell r="C1264">
            <v>1889.5241777000001</v>
          </cell>
          <cell r="E1264">
            <v>1860</v>
          </cell>
          <cell r="F1264">
            <v>4053.0082079199988</v>
          </cell>
          <cell r="H1264">
            <v>1860</v>
          </cell>
          <cell r="I1264">
            <v>4053.0082079199988</v>
          </cell>
        </row>
        <row r="1265">
          <cell r="B1265">
            <v>1861</v>
          </cell>
          <cell r="C1265">
            <v>2494.5817874900004</v>
          </cell>
          <cell r="E1265">
            <v>1861</v>
          </cell>
          <cell r="F1265">
            <v>5233.775477950001</v>
          </cell>
          <cell r="H1265">
            <v>1861</v>
          </cell>
          <cell r="I1265">
            <v>5233.775477950001</v>
          </cell>
        </row>
        <row r="1266">
          <cell r="B1266">
            <v>1862</v>
          </cell>
          <cell r="C1266">
            <v>2064.14323264</v>
          </cell>
          <cell r="E1266">
            <v>1862</v>
          </cell>
          <cell r="F1266">
            <v>4429.6705007600003</v>
          </cell>
          <cell r="H1266">
            <v>1862</v>
          </cell>
          <cell r="I1266">
            <v>4429.6705007600003</v>
          </cell>
        </row>
        <row r="1267">
          <cell r="B1267">
            <v>1863</v>
          </cell>
          <cell r="C1267">
            <v>2630.6016712599999</v>
          </cell>
          <cell r="E1267">
            <v>1863</v>
          </cell>
          <cell r="F1267">
            <v>5635.4177035099992</v>
          </cell>
          <cell r="H1267">
            <v>1863</v>
          </cell>
          <cell r="I1267">
            <v>5635.4177035099992</v>
          </cell>
        </row>
        <row r="1268">
          <cell r="B1268">
            <v>1866</v>
          </cell>
          <cell r="C1268">
            <v>498.96415232999999</v>
          </cell>
          <cell r="E1268">
            <v>1866</v>
          </cell>
          <cell r="F1268">
            <v>1360.5813354500001</v>
          </cell>
          <cell r="H1268">
            <v>1866</v>
          </cell>
          <cell r="I1268">
            <v>1360.5813354500001</v>
          </cell>
        </row>
        <row r="1269">
          <cell r="B1269">
            <v>1868</v>
          </cell>
          <cell r="C1269">
            <v>1092.7986750699999</v>
          </cell>
          <cell r="E1269">
            <v>1868</v>
          </cell>
          <cell r="F1269">
            <v>2238.3747411400004</v>
          </cell>
          <cell r="H1269">
            <v>1868</v>
          </cell>
          <cell r="I1269">
            <v>2238.3747411400004</v>
          </cell>
        </row>
        <row r="1270">
          <cell r="B1270">
            <v>1869</v>
          </cell>
          <cell r="C1270">
            <v>1116.54802879</v>
          </cell>
          <cell r="E1270">
            <v>1869</v>
          </cell>
          <cell r="F1270">
            <v>2394.7763910100002</v>
          </cell>
          <cell r="H1270">
            <v>1869</v>
          </cell>
          <cell r="I1270">
            <v>2394.7763910100002</v>
          </cell>
        </row>
        <row r="1271">
          <cell r="B1271">
            <v>1870</v>
          </cell>
          <cell r="C1271">
            <v>1255.51956221</v>
          </cell>
          <cell r="E1271">
            <v>1870</v>
          </cell>
          <cell r="F1271">
            <v>2685.9197651000004</v>
          </cell>
          <cell r="H1271">
            <v>1870</v>
          </cell>
          <cell r="I1271">
            <v>2685.9197651000004</v>
          </cell>
        </row>
        <row r="1272">
          <cell r="B1272">
            <v>1871</v>
          </cell>
          <cell r="C1272">
            <v>1648.2452651499998</v>
          </cell>
          <cell r="E1272">
            <v>1871</v>
          </cell>
          <cell r="F1272">
            <v>3544.03015486</v>
          </cell>
          <cell r="H1272">
            <v>1871</v>
          </cell>
          <cell r="I1272">
            <v>3544.03015486</v>
          </cell>
        </row>
        <row r="1273">
          <cell r="B1273">
            <v>1872</v>
          </cell>
          <cell r="C1273">
            <v>2096.4826056699999</v>
          </cell>
          <cell r="E1273">
            <v>1872</v>
          </cell>
          <cell r="F1273">
            <v>4454.1832221399991</v>
          </cell>
          <cell r="H1273">
            <v>1872</v>
          </cell>
          <cell r="I1273">
            <v>4454.1832221399991</v>
          </cell>
        </row>
        <row r="1274">
          <cell r="B1274">
            <v>1873</v>
          </cell>
          <cell r="C1274">
            <v>1761.8296311199999</v>
          </cell>
          <cell r="E1274">
            <v>1873</v>
          </cell>
          <cell r="F1274">
            <v>3682.8810015299996</v>
          </cell>
          <cell r="H1274">
            <v>1873</v>
          </cell>
          <cell r="I1274">
            <v>3682.8810015299996</v>
          </cell>
        </row>
        <row r="1275">
          <cell r="B1275">
            <v>1876</v>
          </cell>
          <cell r="C1275">
            <v>1833.1313518499999</v>
          </cell>
          <cell r="E1275">
            <v>1876</v>
          </cell>
          <cell r="F1275">
            <v>3791.0004793499998</v>
          </cell>
          <cell r="H1275">
            <v>1876</v>
          </cell>
          <cell r="I1275">
            <v>3791.0004793499998</v>
          </cell>
        </row>
        <row r="1276">
          <cell r="B1276">
            <v>1877</v>
          </cell>
          <cell r="C1276">
            <v>2117.80890838</v>
          </cell>
          <cell r="E1276">
            <v>1877</v>
          </cell>
          <cell r="F1276">
            <v>4491.9128915800002</v>
          </cell>
          <cell r="H1276">
            <v>1877</v>
          </cell>
          <cell r="I1276">
            <v>4491.9128915800002</v>
          </cell>
        </row>
        <row r="1277">
          <cell r="B1277">
            <v>1878</v>
          </cell>
          <cell r="C1277">
            <v>10988.62775774</v>
          </cell>
          <cell r="E1277">
            <v>1878</v>
          </cell>
          <cell r="F1277">
            <v>24293.623970300006</v>
          </cell>
          <cell r="H1277">
            <v>1878</v>
          </cell>
          <cell r="I1277">
            <v>24293.623970300006</v>
          </cell>
        </row>
        <row r="1278">
          <cell r="B1278">
            <v>1882</v>
          </cell>
          <cell r="C1278">
            <v>982.78334856999993</v>
          </cell>
          <cell r="E1278">
            <v>1882</v>
          </cell>
          <cell r="F1278">
            <v>1957.4225041299994</v>
          </cell>
          <cell r="H1278">
            <v>1882</v>
          </cell>
          <cell r="I1278">
            <v>1957.4225041299994</v>
          </cell>
        </row>
        <row r="1279">
          <cell r="B1279">
            <v>1883</v>
          </cell>
          <cell r="C1279">
            <v>1463.39140754</v>
          </cell>
          <cell r="E1279">
            <v>1883</v>
          </cell>
          <cell r="F1279">
            <v>3063.3696159599999</v>
          </cell>
          <cell r="H1279">
            <v>1883</v>
          </cell>
          <cell r="I1279">
            <v>3063.3696159599999</v>
          </cell>
        </row>
        <row r="1280">
          <cell r="B1280">
            <v>1886</v>
          </cell>
          <cell r="C1280">
            <v>2140.9150977500003</v>
          </cell>
          <cell r="E1280">
            <v>1886</v>
          </cell>
          <cell r="F1280">
            <v>4481.36342057</v>
          </cell>
          <cell r="H1280">
            <v>1886</v>
          </cell>
          <cell r="I1280">
            <v>4481.36342057</v>
          </cell>
        </row>
        <row r="1281">
          <cell r="B1281">
            <v>1887</v>
          </cell>
          <cell r="C1281">
            <v>1351.3265373900001</v>
          </cell>
          <cell r="E1281">
            <v>1887</v>
          </cell>
          <cell r="F1281">
            <v>2877.2925614799997</v>
          </cell>
          <cell r="H1281">
            <v>1887</v>
          </cell>
          <cell r="I1281">
            <v>2877.2925614799997</v>
          </cell>
        </row>
        <row r="1282">
          <cell r="B1282">
            <v>1888</v>
          </cell>
          <cell r="C1282">
            <v>5374.3682826900003</v>
          </cell>
          <cell r="E1282">
            <v>1888</v>
          </cell>
          <cell r="F1282">
            <v>11437.596900500001</v>
          </cell>
          <cell r="H1282">
            <v>1888</v>
          </cell>
          <cell r="I1282">
            <v>11437.596900500001</v>
          </cell>
        </row>
        <row r="1283">
          <cell r="B1283">
            <v>1889</v>
          </cell>
          <cell r="C1283">
            <v>845.24181002000012</v>
          </cell>
          <cell r="E1283">
            <v>1889</v>
          </cell>
          <cell r="F1283">
            <v>2202.3905285199994</v>
          </cell>
          <cell r="H1283">
            <v>1889</v>
          </cell>
          <cell r="I1283">
            <v>2202.3905285199994</v>
          </cell>
        </row>
        <row r="1284">
          <cell r="B1284">
            <v>1890</v>
          </cell>
          <cell r="C1284">
            <v>984.67634378999992</v>
          </cell>
          <cell r="E1284">
            <v>1890</v>
          </cell>
          <cell r="F1284">
            <v>2038.1904082199994</v>
          </cell>
          <cell r="H1284">
            <v>1890</v>
          </cell>
          <cell r="I1284">
            <v>2038.1904082199994</v>
          </cell>
        </row>
        <row r="1285">
          <cell r="B1285">
            <v>1893</v>
          </cell>
          <cell r="C1285">
            <v>2723.8027452600004</v>
          </cell>
          <cell r="E1285">
            <v>1893</v>
          </cell>
          <cell r="F1285">
            <v>5929.3905168800002</v>
          </cell>
          <cell r="H1285">
            <v>1893</v>
          </cell>
          <cell r="I1285">
            <v>5929.3905168800002</v>
          </cell>
        </row>
        <row r="1286">
          <cell r="B1286">
            <v>1895</v>
          </cell>
          <cell r="C1286">
            <v>1067.2454106599998</v>
          </cell>
          <cell r="E1286">
            <v>1895</v>
          </cell>
          <cell r="F1286">
            <v>2209.3490210300006</v>
          </cell>
          <cell r="H1286">
            <v>1895</v>
          </cell>
          <cell r="I1286">
            <v>2209.3490210300006</v>
          </cell>
        </row>
        <row r="1287">
          <cell r="B1287">
            <v>1896</v>
          </cell>
          <cell r="C1287">
            <v>1753.30828387</v>
          </cell>
          <cell r="E1287">
            <v>1896</v>
          </cell>
          <cell r="F1287">
            <v>3982.8313323499988</v>
          </cell>
          <cell r="H1287">
            <v>1896</v>
          </cell>
          <cell r="I1287">
            <v>3982.8313323499988</v>
          </cell>
        </row>
        <row r="1288">
          <cell r="B1288">
            <v>1898</v>
          </cell>
          <cell r="C1288">
            <v>2680.90286797</v>
          </cell>
          <cell r="E1288">
            <v>1898</v>
          </cell>
          <cell r="F1288">
            <v>5503.6725762199994</v>
          </cell>
          <cell r="H1288">
            <v>1898</v>
          </cell>
          <cell r="I1288">
            <v>5503.6725762199994</v>
          </cell>
        </row>
        <row r="1289">
          <cell r="B1289">
            <v>1899</v>
          </cell>
          <cell r="C1289">
            <v>2636.6082835499997</v>
          </cell>
          <cell r="E1289">
            <v>1899</v>
          </cell>
          <cell r="F1289">
            <v>5370.1880649100021</v>
          </cell>
          <cell r="H1289">
            <v>1899</v>
          </cell>
          <cell r="I1289">
            <v>5370.1880649100021</v>
          </cell>
        </row>
        <row r="1290">
          <cell r="B1290">
            <v>1901</v>
          </cell>
          <cell r="C1290">
            <v>4211.94245262</v>
          </cell>
          <cell r="E1290">
            <v>1901</v>
          </cell>
          <cell r="F1290">
            <v>8703.3686296999986</v>
          </cell>
          <cell r="H1290">
            <v>1901</v>
          </cell>
          <cell r="I1290">
            <v>8703.3686296999986</v>
          </cell>
        </row>
        <row r="1291">
          <cell r="B1291">
            <v>1902</v>
          </cell>
          <cell r="C1291">
            <v>3265.1306996799999</v>
          </cell>
          <cell r="E1291">
            <v>1902</v>
          </cell>
          <cell r="F1291">
            <v>6903.813151639999</v>
          </cell>
          <cell r="H1291">
            <v>1902</v>
          </cell>
          <cell r="I1291">
            <v>6903.813151639999</v>
          </cell>
        </row>
        <row r="1292">
          <cell r="B1292">
            <v>1903</v>
          </cell>
          <cell r="C1292">
            <v>3974.1721026100008</v>
          </cell>
          <cell r="E1292">
            <v>1903</v>
          </cell>
          <cell r="F1292">
            <v>8650.6798735599987</v>
          </cell>
          <cell r="H1292">
            <v>1903</v>
          </cell>
          <cell r="I1292">
            <v>8650.6798735599987</v>
          </cell>
        </row>
        <row r="1293">
          <cell r="B1293">
            <v>1905</v>
          </cell>
          <cell r="C1293">
            <v>10553.773405690001</v>
          </cell>
          <cell r="E1293">
            <v>1905</v>
          </cell>
          <cell r="F1293">
            <v>19392.559226490001</v>
          </cell>
          <cell r="H1293">
            <v>1905</v>
          </cell>
          <cell r="I1293">
            <v>19392.559226490001</v>
          </cell>
        </row>
        <row r="1294">
          <cell r="B1294">
            <v>1909</v>
          </cell>
          <cell r="C1294">
            <v>2959.96310214</v>
          </cell>
          <cell r="E1294">
            <v>1909</v>
          </cell>
          <cell r="F1294">
            <v>5966.0706350300006</v>
          </cell>
          <cell r="H1294">
            <v>1909</v>
          </cell>
          <cell r="I1294">
            <v>5966.0706350300006</v>
          </cell>
        </row>
        <row r="1295">
          <cell r="B1295">
            <v>1910</v>
          </cell>
          <cell r="C1295">
            <v>25517.525409399997</v>
          </cell>
          <cell r="E1295">
            <v>1910</v>
          </cell>
          <cell r="F1295">
            <v>56298.689692100015</v>
          </cell>
          <cell r="H1295">
            <v>1910</v>
          </cell>
          <cell r="I1295">
            <v>56298.689692100015</v>
          </cell>
        </row>
        <row r="1296">
          <cell r="B1296">
            <v>1912</v>
          </cell>
          <cell r="C1296">
            <v>1388.26214196</v>
          </cell>
          <cell r="E1296">
            <v>1912</v>
          </cell>
          <cell r="F1296">
            <v>3278.8517784200012</v>
          </cell>
          <cell r="H1296">
            <v>1912</v>
          </cell>
          <cell r="I1296">
            <v>3278.8517784200012</v>
          </cell>
        </row>
        <row r="1297">
          <cell r="B1297">
            <v>1914</v>
          </cell>
          <cell r="C1297">
            <v>808.57769322999991</v>
          </cell>
          <cell r="E1297">
            <v>1914</v>
          </cell>
          <cell r="F1297">
            <v>1728.6560322099995</v>
          </cell>
          <cell r="H1297">
            <v>1914</v>
          </cell>
          <cell r="I1297">
            <v>1728.6560322099995</v>
          </cell>
        </row>
        <row r="1298">
          <cell r="B1298">
            <v>1915</v>
          </cell>
          <cell r="C1298">
            <v>6649.5077007300006</v>
          </cell>
          <cell r="E1298">
            <v>1915</v>
          </cell>
          <cell r="F1298">
            <v>13593.22819951</v>
          </cell>
          <cell r="H1298">
            <v>1915</v>
          </cell>
          <cell r="I1298">
            <v>13593.22819951</v>
          </cell>
        </row>
        <row r="1299">
          <cell r="B1299">
            <v>1916</v>
          </cell>
          <cell r="C1299">
            <v>4355.0596144399997</v>
          </cell>
          <cell r="E1299">
            <v>1916</v>
          </cell>
          <cell r="F1299">
            <v>8988.3299206800002</v>
          </cell>
          <cell r="H1299">
            <v>1916</v>
          </cell>
          <cell r="I1299">
            <v>8988.3299206800002</v>
          </cell>
        </row>
        <row r="1300">
          <cell r="B1300">
            <v>1918</v>
          </cell>
          <cell r="C1300">
            <v>3096.781532089999</v>
          </cell>
          <cell r="E1300">
            <v>1918</v>
          </cell>
          <cell r="F1300">
            <v>6602.1663056599973</v>
          </cell>
          <cell r="H1300">
            <v>1918</v>
          </cell>
          <cell r="I1300">
            <v>6602.1663056599973</v>
          </cell>
        </row>
        <row r="1301">
          <cell r="B1301">
            <v>1919</v>
          </cell>
          <cell r="C1301">
            <v>1531.7753478099999</v>
          </cell>
          <cell r="E1301">
            <v>1919</v>
          </cell>
          <cell r="F1301">
            <v>3283.7775603300006</v>
          </cell>
          <cell r="H1301">
            <v>1919</v>
          </cell>
          <cell r="I1301">
            <v>3283.7775603300006</v>
          </cell>
        </row>
        <row r="1302">
          <cell r="B1302">
            <v>1920</v>
          </cell>
          <cell r="C1302">
            <v>1025.3637594000002</v>
          </cell>
          <cell r="E1302">
            <v>1920</v>
          </cell>
          <cell r="F1302">
            <v>2378.4826643799997</v>
          </cell>
          <cell r="H1302">
            <v>1920</v>
          </cell>
          <cell r="I1302">
            <v>2378.4826643799997</v>
          </cell>
        </row>
        <row r="1303">
          <cell r="B1303">
            <v>1922</v>
          </cell>
          <cell r="C1303">
            <v>586.12196542999993</v>
          </cell>
          <cell r="E1303">
            <v>1922</v>
          </cell>
          <cell r="F1303">
            <v>1268.5568613299999</v>
          </cell>
          <cell r="H1303">
            <v>1922</v>
          </cell>
          <cell r="I1303">
            <v>1268.5568613299999</v>
          </cell>
        </row>
        <row r="1304">
          <cell r="B1304">
            <v>1924</v>
          </cell>
          <cell r="C1304">
            <v>1945.4035290600004</v>
          </cell>
          <cell r="E1304">
            <v>1924</v>
          </cell>
          <cell r="F1304">
            <v>4103.7554650900001</v>
          </cell>
          <cell r="H1304">
            <v>1924</v>
          </cell>
          <cell r="I1304">
            <v>4103.7554650900001</v>
          </cell>
        </row>
        <row r="1305">
          <cell r="B1305">
            <v>1925</v>
          </cell>
          <cell r="C1305">
            <v>1476.6996289399999</v>
          </cell>
          <cell r="E1305">
            <v>1925</v>
          </cell>
          <cell r="F1305">
            <v>2808.1777535699998</v>
          </cell>
          <cell r="H1305">
            <v>1925</v>
          </cell>
          <cell r="I1305">
            <v>2808.1777535699998</v>
          </cell>
        </row>
        <row r="1306">
          <cell r="B1306">
            <v>1931</v>
          </cell>
          <cell r="C1306">
            <v>2142.9599060900005</v>
          </cell>
          <cell r="E1306">
            <v>1931</v>
          </cell>
          <cell r="F1306">
            <v>4647.1969099000007</v>
          </cell>
          <cell r="H1306">
            <v>1931</v>
          </cell>
          <cell r="I1306">
            <v>4647.1969099000007</v>
          </cell>
        </row>
        <row r="1307">
          <cell r="B1307">
            <v>1932</v>
          </cell>
          <cell r="C1307">
            <v>3352.7776593199992</v>
          </cell>
          <cell r="E1307">
            <v>1932</v>
          </cell>
          <cell r="F1307">
            <v>6589.1670698199987</v>
          </cell>
          <cell r="H1307">
            <v>1932</v>
          </cell>
          <cell r="I1307">
            <v>6589.1670698199987</v>
          </cell>
        </row>
        <row r="1308">
          <cell r="B1308">
            <v>1933</v>
          </cell>
          <cell r="C1308">
            <v>1369.4321784200001</v>
          </cell>
          <cell r="E1308">
            <v>1933</v>
          </cell>
          <cell r="F1308">
            <v>3055.0214741599998</v>
          </cell>
          <cell r="H1308">
            <v>1933</v>
          </cell>
          <cell r="I1308">
            <v>3055.0214741599998</v>
          </cell>
        </row>
        <row r="1309">
          <cell r="B1309">
            <v>1934</v>
          </cell>
          <cell r="C1309">
            <v>2503.8946564299995</v>
          </cell>
          <cell r="E1309">
            <v>1934</v>
          </cell>
          <cell r="F1309">
            <v>5606.7794260699993</v>
          </cell>
          <cell r="H1309">
            <v>1934</v>
          </cell>
          <cell r="I1309">
            <v>5606.7794260699993</v>
          </cell>
        </row>
        <row r="1310">
          <cell r="B1310">
            <v>1935</v>
          </cell>
          <cell r="C1310">
            <v>461.48649812999992</v>
          </cell>
          <cell r="E1310">
            <v>1935</v>
          </cell>
          <cell r="F1310">
            <v>1002.6638977999999</v>
          </cell>
          <cell r="H1310">
            <v>1935</v>
          </cell>
          <cell r="I1310">
            <v>1002.6638977999999</v>
          </cell>
        </row>
        <row r="1311">
          <cell r="B1311">
            <v>1936</v>
          </cell>
          <cell r="C1311">
            <v>2116.3807264100001</v>
          </cell>
          <cell r="E1311">
            <v>1936</v>
          </cell>
          <cell r="F1311">
            <v>4106.7728897000006</v>
          </cell>
          <cell r="H1311">
            <v>1936</v>
          </cell>
          <cell r="I1311">
            <v>4106.7728897000006</v>
          </cell>
        </row>
        <row r="1312">
          <cell r="B1312">
            <v>1940</v>
          </cell>
          <cell r="C1312">
            <v>722.68687243000011</v>
          </cell>
          <cell r="E1312">
            <v>1940</v>
          </cell>
          <cell r="F1312">
            <v>1534.6787733400006</v>
          </cell>
          <cell r="H1312">
            <v>1940</v>
          </cell>
          <cell r="I1312">
            <v>1534.6787733400006</v>
          </cell>
        </row>
        <row r="1313">
          <cell r="B1313">
            <v>1942</v>
          </cell>
          <cell r="C1313">
            <v>12640.576097949999</v>
          </cell>
          <cell r="E1313">
            <v>1942</v>
          </cell>
          <cell r="F1313">
            <v>26296.300044709998</v>
          </cell>
          <cell r="H1313">
            <v>1942</v>
          </cell>
          <cell r="I1313">
            <v>26296.300044709998</v>
          </cell>
        </row>
        <row r="1314">
          <cell r="B1314">
            <v>1943</v>
          </cell>
          <cell r="C1314">
            <v>3936.9203473800012</v>
          </cell>
          <cell r="E1314">
            <v>1943</v>
          </cell>
          <cell r="F1314">
            <v>8524.8545621400008</v>
          </cell>
          <cell r="H1314">
            <v>1943</v>
          </cell>
          <cell r="I1314">
            <v>8524.8545621400008</v>
          </cell>
        </row>
        <row r="1315">
          <cell r="B1315">
            <v>1944</v>
          </cell>
          <cell r="C1315">
            <v>1235.23451127</v>
          </cell>
          <cell r="E1315">
            <v>1944</v>
          </cell>
          <cell r="F1315">
            <v>2709.6166992400003</v>
          </cell>
          <cell r="H1315">
            <v>1944</v>
          </cell>
          <cell r="I1315">
            <v>2709.6166992400003</v>
          </cell>
        </row>
        <row r="1316">
          <cell r="B1316">
            <v>1946</v>
          </cell>
          <cell r="C1316">
            <v>2176.8103569500004</v>
          </cell>
          <cell r="E1316">
            <v>1946</v>
          </cell>
          <cell r="F1316">
            <v>4841.4071673900016</v>
          </cell>
          <cell r="H1316">
            <v>1946</v>
          </cell>
          <cell r="I1316">
            <v>4841.4071673900016</v>
          </cell>
        </row>
        <row r="1317">
          <cell r="B1317">
            <v>1949</v>
          </cell>
          <cell r="C1317">
            <v>2218.8163514700004</v>
          </cell>
          <cell r="E1317">
            <v>1949</v>
          </cell>
          <cell r="F1317">
            <v>4652.9430671299979</v>
          </cell>
          <cell r="H1317">
            <v>1949</v>
          </cell>
          <cell r="I1317">
            <v>4652.9430671299979</v>
          </cell>
        </row>
        <row r="1318">
          <cell r="B1318">
            <v>1951</v>
          </cell>
          <cell r="C1318">
            <v>2448.7016860200006</v>
          </cell>
          <cell r="E1318">
            <v>1951</v>
          </cell>
          <cell r="F1318">
            <v>4980.1093981199992</v>
          </cell>
          <cell r="H1318">
            <v>1951</v>
          </cell>
          <cell r="I1318">
            <v>4980.1093981199992</v>
          </cell>
        </row>
        <row r="1319">
          <cell r="B1319">
            <v>1953</v>
          </cell>
          <cell r="C1319">
            <v>2639.1543120199995</v>
          </cell>
          <cell r="E1319">
            <v>1953</v>
          </cell>
          <cell r="F1319">
            <v>5557.5925459999999</v>
          </cell>
          <cell r="H1319">
            <v>1953</v>
          </cell>
          <cell r="I1319">
            <v>5557.5925459999999</v>
          </cell>
        </row>
        <row r="1320">
          <cell r="B1320">
            <v>1954</v>
          </cell>
          <cell r="C1320">
            <v>1885.8887517399999</v>
          </cell>
          <cell r="E1320">
            <v>1954</v>
          </cell>
          <cell r="F1320">
            <v>3816.510609050003</v>
          </cell>
          <cell r="H1320">
            <v>1954</v>
          </cell>
          <cell r="I1320">
            <v>3816.510609050003</v>
          </cell>
        </row>
        <row r="1321">
          <cell r="B1321">
            <v>1955</v>
          </cell>
          <cell r="C1321">
            <v>2061.1780213500001</v>
          </cell>
          <cell r="E1321">
            <v>1955</v>
          </cell>
          <cell r="F1321">
            <v>4312.28231753</v>
          </cell>
          <cell r="H1321">
            <v>1955</v>
          </cell>
          <cell r="I1321">
            <v>4312.28231753</v>
          </cell>
        </row>
        <row r="1322">
          <cell r="B1322">
            <v>1957</v>
          </cell>
          <cell r="C1322">
            <v>3339.6068450499997</v>
          </cell>
          <cell r="E1322">
            <v>1957</v>
          </cell>
          <cell r="F1322">
            <v>6939.7277057000001</v>
          </cell>
          <cell r="H1322">
            <v>1957</v>
          </cell>
          <cell r="I1322">
            <v>6939.7277057000001</v>
          </cell>
        </row>
        <row r="1323">
          <cell r="B1323">
            <v>1958</v>
          </cell>
          <cell r="C1323">
            <v>3080.8291123499998</v>
          </cell>
          <cell r="E1323">
            <v>1958</v>
          </cell>
          <cell r="F1323">
            <v>6457.5198357099998</v>
          </cell>
          <cell r="H1323">
            <v>1958</v>
          </cell>
          <cell r="I1323">
            <v>6457.5198357099998</v>
          </cell>
        </row>
        <row r="1324">
          <cell r="B1324">
            <v>1959</v>
          </cell>
          <cell r="C1324">
            <v>2187.07099505</v>
          </cell>
          <cell r="E1324">
            <v>1959</v>
          </cell>
          <cell r="F1324">
            <v>4746.6185041799999</v>
          </cell>
          <cell r="H1324">
            <v>1959</v>
          </cell>
          <cell r="I1324">
            <v>4746.6185041799999</v>
          </cell>
        </row>
        <row r="1325">
          <cell r="B1325">
            <v>1960</v>
          </cell>
          <cell r="C1325">
            <v>2811.2128947199999</v>
          </cell>
          <cell r="E1325">
            <v>1960</v>
          </cell>
          <cell r="F1325">
            <v>6085.6961836299997</v>
          </cell>
          <cell r="H1325">
            <v>1960</v>
          </cell>
          <cell r="I1325">
            <v>6085.6961836299997</v>
          </cell>
        </row>
        <row r="1326">
          <cell r="B1326">
            <v>1962</v>
          </cell>
          <cell r="C1326">
            <v>759.56175053999982</v>
          </cell>
          <cell r="E1326">
            <v>1962</v>
          </cell>
          <cell r="F1326">
            <v>1636.1822980999996</v>
          </cell>
          <cell r="H1326">
            <v>1962</v>
          </cell>
          <cell r="I1326">
            <v>1636.1822980999996</v>
          </cell>
        </row>
        <row r="1327">
          <cell r="B1327">
            <v>1963</v>
          </cell>
          <cell r="C1327">
            <v>2165.0444743200001</v>
          </cell>
          <cell r="E1327">
            <v>1963</v>
          </cell>
          <cell r="F1327">
            <v>4563.5802287899996</v>
          </cell>
          <cell r="H1327">
            <v>1963</v>
          </cell>
          <cell r="I1327">
            <v>4563.5802287899996</v>
          </cell>
        </row>
        <row r="1328">
          <cell r="B1328">
            <v>1968</v>
          </cell>
          <cell r="C1328">
            <v>3575.9108335100013</v>
          </cell>
          <cell r="E1328">
            <v>1968</v>
          </cell>
          <cell r="F1328">
            <v>7569.2883371500029</v>
          </cell>
          <cell r="H1328">
            <v>1968</v>
          </cell>
          <cell r="I1328">
            <v>7569.2883371500029</v>
          </cell>
        </row>
        <row r="1329">
          <cell r="B1329">
            <v>1970</v>
          </cell>
          <cell r="C1329">
            <v>10680.455094870003</v>
          </cell>
          <cell r="E1329">
            <v>1970</v>
          </cell>
          <cell r="F1329">
            <v>22909.916030810014</v>
          </cell>
          <cell r="H1329">
            <v>1970</v>
          </cell>
          <cell r="I1329">
            <v>22909.916030810014</v>
          </cell>
        </row>
        <row r="1330">
          <cell r="B1330">
            <v>1971</v>
          </cell>
          <cell r="C1330">
            <v>1167.2358088800001</v>
          </cell>
          <cell r="E1330">
            <v>1971</v>
          </cell>
          <cell r="F1330">
            <v>2162.1703309999998</v>
          </cell>
          <cell r="H1330">
            <v>1971</v>
          </cell>
          <cell r="I1330">
            <v>2162.1703309999998</v>
          </cell>
        </row>
        <row r="1331">
          <cell r="B1331">
            <v>1972</v>
          </cell>
          <cell r="C1331">
            <v>2487.8821176900001</v>
          </cell>
          <cell r="E1331">
            <v>1972</v>
          </cell>
          <cell r="F1331">
            <v>5326.347740010001</v>
          </cell>
          <cell r="H1331">
            <v>1972</v>
          </cell>
          <cell r="I1331">
            <v>5326.347740010001</v>
          </cell>
        </row>
        <row r="1332">
          <cell r="B1332">
            <v>1973</v>
          </cell>
          <cell r="C1332">
            <v>4381.5263560200001</v>
          </cell>
          <cell r="E1332">
            <v>1973</v>
          </cell>
          <cell r="F1332">
            <v>8500.4310497000006</v>
          </cell>
          <cell r="H1332">
            <v>1973</v>
          </cell>
          <cell r="I1332">
            <v>8500.4310497000006</v>
          </cell>
        </row>
        <row r="1333">
          <cell r="B1333">
            <v>1974</v>
          </cell>
          <cell r="C1333">
            <v>325.63685714999991</v>
          </cell>
          <cell r="E1333">
            <v>1974</v>
          </cell>
          <cell r="F1333">
            <v>697.33507962999988</v>
          </cell>
          <cell r="H1333">
            <v>1974</v>
          </cell>
          <cell r="I1333">
            <v>697.33507962999988</v>
          </cell>
        </row>
        <row r="1334">
          <cell r="B1334">
            <v>1975</v>
          </cell>
          <cell r="C1334">
            <v>359.95611068999989</v>
          </cell>
          <cell r="E1334">
            <v>1975</v>
          </cell>
          <cell r="F1334">
            <v>1078.3108742800002</v>
          </cell>
          <cell r="H1334">
            <v>1975</v>
          </cell>
          <cell r="I1334">
            <v>1078.3108742800002</v>
          </cell>
        </row>
        <row r="1335">
          <cell r="B1335">
            <v>1977</v>
          </cell>
          <cell r="C1335">
            <v>714.26548186000014</v>
          </cell>
          <cell r="E1335">
            <v>1977</v>
          </cell>
          <cell r="F1335">
            <v>1399.2584792800001</v>
          </cell>
          <cell r="H1335">
            <v>1977</v>
          </cell>
          <cell r="I1335">
            <v>1399.2584792800001</v>
          </cell>
        </row>
        <row r="1336">
          <cell r="B1336">
            <v>1979</v>
          </cell>
          <cell r="C1336">
            <v>7632.3016919899983</v>
          </cell>
          <cell r="E1336">
            <v>1979</v>
          </cell>
          <cell r="F1336">
            <v>16180.653090420003</v>
          </cell>
          <cell r="H1336">
            <v>1979</v>
          </cell>
          <cell r="I1336">
            <v>16180.653090420003</v>
          </cell>
        </row>
        <row r="1337">
          <cell r="B1337">
            <v>1982</v>
          </cell>
          <cell r="C1337">
            <v>4342.6400771600001</v>
          </cell>
          <cell r="E1337">
            <v>1982</v>
          </cell>
          <cell r="F1337">
            <v>9178.7460732200016</v>
          </cell>
          <cell r="H1337">
            <v>1982</v>
          </cell>
          <cell r="I1337">
            <v>9178.7460732200016</v>
          </cell>
        </row>
        <row r="1338">
          <cell r="B1338">
            <v>1989</v>
          </cell>
          <cell r="C1338">
            <v>7227.5912011600012</v>
          </cell>
          <cell r="E1338">
            <v>1989</v>
          </cell>
          <cell r="F1338">
            <v>14753.517406180004</v>
          </cell>
          <cell r="H1338">
            <v>1989</v>
          </cell>
          <cell r="I1338">
            <v>14753.517406180004</v>
          </cell>
        </row>
        <row r="1339">
          <cell r="B1339">
            <v>1990</v>
          </cell>
          <cell r="C1339">
            <v>5834.7215373499985</v>
          </cell>
          <cell r="E1339">
            <v>1990</v>
          </cell>
          <cell r="F1339">
            <v>11984.283083509998</v>
          </cell>
          <cell r="H1339">
            <v>1990</v>
          </cell>
          <cell r="I1339">
            <v>11984.283083509998</v>
          </cell>
        </row>
        <row r="1340">
          <cell r="B1340">
            <v>1991</v>
          </cell>
          <cell r="C1340">
            <v>1924.0982786599998</v>
          </cell>
          <cell r="E1340">
            <v>1991</v>
          </cell>
          <cell r="F1340">
            <v>4311.2350873800015</v>
          </cell>
          <cell r="H1340">
            <v>1991</v>
          </cell>
          <cell r="I1340">
            <v>4311.2350873800015</v>
          </cell>
        </row>
        <row r="1341">
          <cell r="B1341">
            <v>1993</v>
          </cell>
          <cell r="C1341">
            <v>20549.64612514</v>
          </cell>
          <cell r="E1341">
            <v>1993</v>
          </cell>
          <cell r="F1341">
            <v>45162.197079089994</v>
          </cell>
          <cell r="H1341">
            <v>1993</v>
          </cell>
          <cell r="I1341">
            <v>45162.197079089994</v>
          </cell>
        </row>
        <row r="1342">
          <cell r="B1342">
            <v>1998</v>
          </cell>
          <cell r="C1342">
            <v>1438.4108986600004</v>
          </cell>
          <cell r="E1342">
            <v>1998</v>
          </cell>
          <cell r="F1342">
            <v>2895.47942302</v>
          </cell>
          <cell r="H1342">
            <v>1998</v>
          </cell>
          <cell r="I1342">
            <v>2895.47942302</v>
          </cell>
        </row>
        <row r="1343">
          <cell r="B1343">
            <v>2207</v>
          </cell>
          <cell r="C1343">
            <v>665.82290404999981</v>
          </cell>
          <cell r="E1343">
            <v>2207</v>
          </cell>
          <cell r="F1343">
            <v>1434.20759978</v>
          </cell>
          <cell r="H1343">
            <v>2207</v>
          </cell>
          <cell r="I1343">
            <v>1434.20759978</v>
          </cell>
        </row>
        <row r="1344">
          <cell r="B1344">
            <v>2209</v>
          </cell>
          <cell r="C1344">
            <v>4027.0504996900004</v>
          </cell>
          <cell r="E1344">
            <v>2209</v>
          </cell>
          <cell r="F1344">
            <v>8270.7314696599951</v>
          </cell>
          <cell r="H1344">
            <v>2209</v>
          </cell>
          <cell r="I1344">
            <v>8270.7314696599951</v>
          </cell>
        </row>
        <row r="1345">
          <cell r="B1345">
            <v>2210</v>
          </cell>
          <cell r="C1345">
            <v>4509.3162542999989</v>
          </cell>
          <cell r="E1345">
            <v>2210</v>
          </cell>
          <cell r="F1345">
            <v>9482.4801050900041</v>
          </cell>
          <cell r="H1345">
            <v>2210</v>
          </cell>
          <cell r="I1345">
            <v>9482.4801050900041</v>
          </cell>
        </row>
        <row r="1346">
          <cell r="B1346">
            <v>2211</v>
          </cell>
          <cell r="C1346">
            <v>12062.309714909999</v>
          </cell>
          <cell r="E1346">
            <v>2211</v>
          </cell>
          <cell r="F1346">
            <v>25506.541401460006</v>
          </cell>
          <cell r="H1346">
            <v>2211</v>
          </cell>
          <cell r="I1346">
            <v>25506.541401460006</v>
          </cell>
        </row>
        <row r="1347">
          <cell r="B1347">
            <v>2214</v>
          </cell>
          <cell r="C1347">
            <v>6693.7169911200008</v>
          </cell>
          <cell r="E1347">
            <v>2214</v>
          </cell>
          <cell r="F1347">
            <v>14020.061751650002</v>
          </cell>
          <cell r="H1347">
            <v>2214</v>
          </cell>
          <cell r="I1347">
            <v>14020.061751650002</v>
          </cell>
        </row>
        <row r="1348">
          <cell r="B1348">
            <v>2216</v>
          </cell>
          <cell r="C1348">
            <v>17946.614213270001</v>
          </cell>
          <cell r="E1348">
            <v>2216</v>
          </cell>
          <cell r="F1348">
            <v>38365.199899790001</v>
          </cell>
          <cell r="H1348">
            <v>2216</v>
          </cell>
          <cell r="I1348">
            <v>38365.199899790001</v>
          </cell>
        </row>
        <row r="1349">
          <cell r="B1349">
            <v>2220</v>
          </cell>
          <cell r="C1349">
            <v>10108.115532329997</v>
          </cell>
          <cell r="E1349">
            <v>2220</v>
          </cell>
          <cell r="F1349">
            <v>21181.566240090015</v>
          </cell>
          <cell r="H1349">
            <v>2220</v>
          </cell>
          <cell r="I1349">
            <v>21181.566240090015</v>
          </cell>
        </row>
        <row r="1350">
          <cell r="B1350">
            <v>2222</v>
          </cell>
          <cell r="C1350">
            <v>2989.7945955299997</v>
          </cell>
          <cell r="E1350">
            <v>2222</v>
          </cell>
          <cell r="F1350">
            <v>6147.9391347700002</v>
          </cell>
          <cell r="H1350">
            <v>2222</v>
          </cell>
          <cell r="I1350">
            <v>6147.9391347700002</v>
          </cell>
        </row>
        <row r="1351">
          <cell r="B1351">
            <v>2225</v>
          </cell>
          <cell r="C1351">
            <v>12154.982275019998</v>
          </cell>
          <cell r="E1351">
            <v>2225</v>
          </cell>
          <cell r="F1351">
            <v>26418.206357310009</v>
          </cell>
          <cell r="H1351">
            <v>2225</v>
          </cell>
          <cell r="I1351">
            <v>26418.206357310009</v>
          </cell>
        </row>
        <row r="1352">
          <cell r="B1352">
            <v>2233</v>
          </cell>
          <cell r="C1352">
            <v>3595.8707380400006</v>
          </cell>
          <cell r="E1352">
            <v>2233</v>
          </cell>
          <cell r="F1352">
            <v>7190.0457147700026</v>
          </cell>
          <cell r="H1352">
            <v>2233</v>
          </cell>
          <cell r="I1352">
            <v>7190.0457147700026</v>
          </cell>
        </row>
        <row r="1353">
          <cell r="B1353">
            <v>2236</v>
          </cell>
          <cell r="C1353">
            <v>2002.7611422499999</v>
          </cell>
          <cell r="E1353">
            <v>2236</v>
          </cell>
          <cell r="F1353">
            <v>4142.7180372600005</v>
          </cell>
          <cell r="H1353">
            <v>2236</v>
          </cell>
          <cell r="I1353">
            <v>4142.7180372600005</v>
          </cell>
        </row>
        <row r="1354">
          <cell r="B1354">
            <v>2241</v>
          </cell>
          <cell r="C1354">
            <v>7093.1155303299984</v>
          </cell>
          <cell r="E1354">
            <v>2241</v>
          </cell>
          <cell r="F1354">
            <v>14795.647412299993</v>
          </cell>
          <cell r="H1354">
            <v>2241</v>
          </cell>
          <cell r="I1354">
            <v>14795.647412299993</v>
          </cell>
        </row>
        <row r="1355">
          <cell r="B1355">
            <v>2242</v>
          </cell>
          <cell r="C1355">
            <v>9140.8021269199999</v>
          </cell>
          <cell r="E1355">
            <v>2242</v>
          </cell>
          <cell r="F1355">
            <v>19485.295133380005</v>
          </cell>
          <cell r="H1355">
            <v>2242</v>
          </cell>
          <cell r="I1355">
            <v>19485.295133380005</v>
          </cell>
        </row>
        <row r="1356">
          <cell r="B1356">
            <v>2243</v>
          </cell>
          <cell r="C1356">
            <v>2237.5268868899993</v>
          </cell>
          <cell r="E1356">
            <v>2243</v>
          </cell>
          <cell r="F1356">
            <v>4646.5618760100006</v>
          </cell>
          <cell r="H1356">
            <v>2243</v>
          </cell>
          <cell r="I1356">
            <v>4646.5618760100006</v>
          </cell>
        </row>
        <row r="1357">
          <cell r="B1357">
            <v>2244</v>
          </cell>
          <cell r="C1357">
            <v>14706.395142700005</v>
          </cell>
          <cell r="E1357">
            <v>2244</v>
          </cell>
          <cell r="F1357">
            <v>30509.222528170005</v>
          </cell>
          <cell r="H1357">
            <v>2244</v>
          </cell>
          <cell r="I1357">
            <v>30509.222528170005</v>
          </cell>
        </row>
        <row r="1358">
          <cell r="B1358">
            <v>2245</v>
          </cell>
          <cell r="C1358">
            <v>2641.0938121600002</v>
          </cell>
          <cell r="E1358">
            <v>2245</v>
          </cell>
          <cell r="F1358">
            <v>5607.9711318900017</v>
          </cell>
          <cell r="H1358">
            <v>2245</v>
          </cell>
          <cell r="I1358">
            <v>5607.9711318900017</v>
          </cell>
        </row>
        <row r="1359">
          <cell r="B1359">
            <v>2246</v>
          </cell>
          <cell r="C1359">
            <v>6852.5945829900011</v>
          </cell>
          <cell r="E1359">
            <v>2246</v>
          </cell>
          <cell r="F1359">
            <v>14103.736435209996</v>
          </cell>
          <cell r="H1359">
            <v>2246</v>
          </cell>
          <cell r="I1359">
            <v>14103.736435209996</v>
          </cell>
        </row>
        <row r="1360">
          <cell r="B1360">
            <v>2247</v>
          </cell>
          <cell r="C1360">
            <v>11854.388510330002</v>
          </cell>
          <cell r="E1360">
            <v>2247</v>
          </cell>
          <cell r="F1360">
            <v>25330.271733580001</v>
          </cell>
          <cell r="H1360">
            <v>2247</v>
          </cell>
          <cell r="I1360">
            <v>25330.271733580001</v>
          </cell>
        </row>
        <row r="1361">
          <cell r="B1361">
            <v>2248</v>
          </cell>
          <cell r="C1361">
            <v>972.8984404900001</v>
          </cell>
          <cell r="E1361">
            <v>2248</v>
          </cell>
          <cell r="F1361">
            <v>2016.4431963699999</v>
          </cell>
          <cell r="H1361">
            <v>2248</v>
          </cell>
          <cell r="I1361">
            <v>2016.4431963699999</v>
          </cell>
        </row>
        <row r="1362">
          <cell r="B1362">
            <v>2249</v>
          </cell>
          <cell r="C1362">
            <v>30458.20272858</v>
          </cell>
          <cell r="E1362">
            <v>2249</v>
          </cell>
          <cell r="F1362">
            <v>63823.043680649993</v>
          </cell>
          <cell r="H1362">
            <v>2249</v>
          </cell>
          <cell r="I1362">
            <v>63823.043680649993</v>
          </cell>
        </row>
        <row r="1363">
          <cell r="B1363">
            <v>2250</v>
          </cell>
          <cell r="C1363">
            <v>11146.369075360002</v>
          </cell>
          <cell r="E1363">
            <v>2250</v>
          </cell>
          <cell r="F1363">
            <v>26379.279680560008</v>
          </cell>
          <cell r="H1363">
            <v>2250</v>
          </cell>
          <cell r="I1363">
            <v>26379.279680560008</v>
          </cell>
        </row>
        <row r="1364">
          <cell r="B1364">
            <v>2251</v>
          </cell>
          <cell r="C1364">
            <v>4653.9658630499989</v>
          </cell>
          <cell r="E1364">
            <v>2251</v>
          </cell>
          <cell r="F1364">
            <v>9527.0864673499982</v>
          </cell>
          <cell r="H1364">
            <v>2251</v>
          </cell>
          <cell r="I1364">
            <v>9527.0864673499982</v>
          </cell>
        </row>
        <row r="1365">
          <cell r="B1365">
            <v>2253</v>
          </cell>
          <cell r="C1365">
            <v>18902.640007229998</v>
          </cell>
          <cell r="E1365">
            <v>2253</v>
          </cell>
          <cell r="F1365">
            <v>39279.303798709996</v>
          </cell>
          <cell r="H1365">
            <v>2253</v>
          </cell>
          <cell r="I1365">
            <v>39279.303798709996</v>
          </cell>
        </row>
        <row r="1366">
          <cell r="B1366">
            <v>2254</v>
          </cell>
          <cell r="C1366">
            <v>13885.883555690001</v>
          </cell>
          <cell r="E1366">
            <v>2254</v>
          </cell>
          <cell r="F1366">
            <v>29860.627386460004</v>
          </cell>
          <cell r="H1366">
            <v>2254</v>
          </cell>
          <cell r="I1366">
            <v>29860.627386460004</v>
          </cell>
        </row>
        <row r="1367">
          <cell r="B1367">
            <v>2255</v>
          </cell>
          <cell r="C1367">
            <v>11160.779074870001</v>
          </cell>
          <cell r="E1367">
            <v>2255</v>
          </cell>
          <cell r="F1367">
            <v>24172.60627100999</v>
          </cell>
          <cell r="H1367">
            <v>2255</v>
          </cell>
          <cell r="I1367">
            <v>24172.60627100999</v>
          </cell>
        </row>
        <row r="1368">
          <cell r="B1368">
            <v>2256</v>
          </cell>
          <cell r="C1368">
            <v>7653.0392820400002</v>
          </cell>
          <cell r="E1368">
            <v>2256</v>
          </cell>
          <cell r="F1368">
            <v>16031.835188080002</v>
          </cell>
          <cell r="H1368">
            <v>2256</v>
          </cell>
          <cell r="I1368">
            <v>16031.835188080002</v>
          </cell>
        </row>
        <row r="1369">
          <cell r="B1369">
            <v>2257</v>
          </cell>
          <cell r="C1369">
            <v>2337.9574675000008</v>
          </cell>
          <cell r="E1369">
            <v>2257</v>
          </cell>
          <cell r="F1369">
            <v>4588.6832299399994</v>
          </cell>
          <cell r="H1369">
            <v>2257</v>
          </cell>
          <cell r="I1369">
            <v>4588.6832299399994</v>
          </cell>
        </row>
        <row r="1370">
          <cell r="B1370">
            <v>2258</v>
          </cell>
          <cell r="C1370">
            <v>3525.2257327700008</v>
          </cell>
          <cell r="E1370">
            <v>2258</v>
          </cell>
          <cell r="F1370">
            <v>7269.2684996400012</v>
          </cell>
          <cell r="H1370">
            <v>2258</v>
          </cell>
          <cell r="I1370">
            <v>7269.2684996400012</v>
          </cell>
        </row>
        <row r="1371">
          <cell r="B1371">
            <v>2259</v>
          </cell>
          <cell r="C1371">
            <v>5453.8969457699995</v>
          </cell>
          <cell r="E1371">
            <v>2259</v>
          </cell>
          <cell r="F1371">
            <v>11421.653394499994</v>
          </cell>
          <cell r="H1371">
            <v>2259</v>
          </cell>
          <cell r="I1371">
            <v>11421.653394499994</v>
          </cell>
        </row>
        <row r="1372">
          <cell r="B1372">
            <v>2260</v>
          </cell>
          <cell r="C1372">
            <v>2457.6299243600001</v>
          </cell>
          <cell r="E1372">
            <v>2260</v>
          </cell>
          <cell r="F1372">
            <v>5138.3177942099992</v>
          </cell>
          <cell r="H1372">
            <v>2260</v>
          </cell>
          <cell r="I1372">
            <v>5138.3177942099992</v>
          </cell>
        </row>
        <row r="1373">
          <cell r="B1373">
            <v>2262</v>
          </cell>
          <cell r="C1373">
            <v>3777.2674282400003</v>
          </cell>
          <cell r="E1373">
            <v>2262</v>
          </cell>
          <cell r="F1373">
            <v>8187.5613440600027</v>
          </cell>
          <cell r="H1373">
            <v>2262</v>
          </cell>
          <cell r="I1373">
            <v>8187.5613440600027</v>
          </cell>
        </row>
        <row r="1374">
          <cell r="B1374">
            <v>2263</v>
          </cell>
          <cell r="C1374">
            <v>4023.0614847600004</v>
          </cell>
          <cell r="E1374">
            <v>2263</v>
          </cell>
          <cell r="F1374">
            <v>8502.9409050800023</v>
          </cell>
          <cell r="H1374">
            <v>2263</v>
          </cell>
          <cell r="I1374">
            <v>8502.9409050800023</v>
          </cell>
        </row>
        <row r="1375">
          <cell r="B1375">
            <v>2264</v>
          </cell>
          <cell r="C1375">
            <v>23043.881741859994</v>
          </cell>
          <cell r="E1375">
            <v>2264</v>
          </cell>
          <cell r="F1375">
            <v>48135.994846039997</v>
          </cell>
          <cell r="H1375">
            <v>2264</v>
          </cell>
          <cell r="I1375">
            <v>48135.994846039997</v>
          </cell>
        </row>
        <row r="1376">
          <cell r="B1376">
            <v>2265</v>
          </cell>
          <cell r="C1376">
            <v>15282.353482070006</v>
          </cell>
          <cell r="E1376">
            <v>2265</v>
          </cell>
          <cell r="F1376">
            <v>33133.851515510003</v>
          </cell>
          <cell r="H1376">
            <v>2265</v>
          </cell>
          <cell r="I1376">
            <v>33133.851515510003</v>
          </cell>
        </row>
        <row r="1377">
          <cell r="B1377">
            <v>2266</v>
          </cell>
          <cell r="C1377">
            <v>1886.1639043200005</v>
          </cell>
          <cell r="E1377">
            <v>2266</v>
          </cell>
          <cell r="F1377">
            <v>3968.9482391300003</v>
          </cell>
          <cell r="H1377">
            <v>2266</v>
          </cell>
          <cell r="I1377">
            <v>3968.9482391300003</v>
          </cell>
        </row>
        <row r="1378">
          <cell r="B1378">
            <v>2268</v>
          </cell>
          <cell r="C1378">
            <v>6366.8619755400032</v>
          </cell>
          <cell r="E1378">
            <v>2268</v>
          </cell>
          <cell r="F1378">
            <v>13512.976915390003</v>
          </cell>
          <cell r="H1378">
            <v>2268</v>
          </cell>
          <cell r="I1378">
            <v>13512.976915390003</v>
          </cell>
        </row>
        <row r="1379">
          <cell r="B1379">
            <v>2269</v>
          </cell>
          <cell r="C1379">
            <v>17621.498183579992</v>
          </cell>
          <cell r="E1379">
            <v>2269</v>
          </cell>
          <cell r="F1379">
            <v>36383.803333570002</v>
          </cell>
          <cell r="H1379">
            <v>2269</v>
          </cell>
          <cell r="I1379">
            <v>36383.803333570002</v>
          </cell>
        </row>
        <row r="1380">
          <cell r="B1380">
            <v>2270</v>
          </cell>
          <cell r="C1380">
            <v>11662.225733609999</v>
          </cell>
          <cell r="E1380">
            <v>2270</v>
          </cell>
          <cell r="F1380">
            <v>24074.785815380001</v>
          </cell>
          <cell r="H1380">
            <v>2270</v>
          </cell>
          <cell r="I1380">
            <v>24074.785815380001</v>
          </cell>
        </row>
        <row r="1381">
          <cell r="B1381">
            <v>2271</v>
          </cell>
          <cell r="C1381">
            <v>4988.0970002700005</v>
          </cell>
          <cell r="E1381">
            <v>2271</v>
          </cell>
          <cell r="F1381">
            <v>10821.633588420002</v>
          </cell>
          <cell r="H1381">
            <v>2271</v>
          </cell>
          <cell r="I1381">
            <v>10821.633588420002</v>
          </cell>
        </row>
        <row r="1382">
          <cell r="B1382">
            <v>2272</v>
          </cell>
          <cell r="C1382">
            <v>9503.0666520499999</v>
          </cell>
          <cell r="E1382">
            <v>2272</v>
          </cell>
          <cell r="F1382">
            <v>19420.758206179988</v>
          </cell>
          <cell r="H1382">
            <v>2272</v>
          </cell>
          <cell r="I1382">
            <v>19420.758206179988</v>
          </cell>
        </row>
        <row r="1383">
          <cell r="B1383">
            <v>2274</v>
          </cell>
          <cell r="C1383">
            <v>6362.4276927099991</v>
          </cell>
          <cell r="E1383">
            <v>2274</v>
          </cell>
          <cell r="F1383">
            <v>12280.73757992</v>
          </cell>
          <cell r="H1383">
            <v>2274</v>
          </cell>
          <cell r="I1383">
            <v>12280.73757992</v>
          </cell>
        </row>
        <row r="1384">
          <cell r="B1384">
            <v>2275</v>
          </cell>
          <cell r="C1384">
            <v>1387.44371497</v>
          </cell>
          <cell r="E1384">
            <v>2275</v>
          </cell>
          <cell r="F1384">
            <v>2819.1598336599995</v>
          </cell>
          <cell r="H1384">
            <v>2275</v>
          </cell>
          <cell r="I1384">
            <v>2819.1598336599995</v>
          </cell>
        </row>
        <row r="1385">
          <cell r="B1385">
            <v>2276</v>
          </cell>
          <cell r="C1385">
            <v>6187.571085839998</v>
          </cell>
          <cell r="E1385">
            <v>2276</v>
          </cell>
          <cell r="F1385">
            <v>12849.84834737</v>
          </cell>
          <cell r="H1385">
            <v>2276</v>
          </cell>
          <cell r="I1385">
            <v>12849.84834737</v>
          </cell>
        </row>
        <row r="1386">
          <cell r="B1386">
            <v>2277</v>
          </cell>
          <cell r="C1386">
            <v>3698.5847391100006</v>
          </cell>
          <cell r="E1386">
            <v>2277</v>
          </cell>
          <cell r="F1386">
            <v>7813.9525198999982</v>
          </cell>
          <cell r="H1386">
            <v>2277</v>
          </cell>
          <cell r="I1386">
            <v>7813.9525198999982</v>
          </cell>
        </row>
        <row r="1387">
          <cell r="B1387">
            <v>2278</v>
          </cell>
          <cell r="C1387">
            <v>2153.9177647800002</v>
          </cell>
          <cell r="E1387">
            <v>2278</v>
          </cell>
          <cell r="F1387">
            <v>4568.1717177200017</v>
          </cell>
          <cell r="H1387">
            <v>2278</v>
          </cell>
          <cell r="I1387">
            <v>4568.1717177200017</v>
          </cell>
        </row>
        <row r="1388">
          <cell r="B1388">
            <v>2279</v>
          </cell>
          <cell r="C1388">
            <v>8774.5165658499991</v>
          </cell>
          <cell r="E1388">
            <v>2279</v>
          </cell>
          <cell r="F1388">
            <v>19123.684181319997</v>
          </cell>
          <cell r="H1388">
            <v>2279</v>
          </cell>
          <cell r="I1388">
            <v>19123.684181319997</v>
          </cell>
        </row>
        <row r="1389">
          <cell r="B1389">
            <v>2281</v>
          </cell>
          <cell r="C1389">
            <v>10027.605325799999</v>
          </cell>
          <cell r="E1389">
            <v>2281</v>
          </cell>
          <cell r="F1389">
            <v>21412.580387800001</v>
          </cell>
          <cell r="H1389">
            <v>2281</v>
          </cell>
          <cell r="I1389">
            <v>21412.580387800001</v>
          </cell>
        </row>
        <row r="1390">
          <cell r="B1390">
            <v>2282</v>
          </cell>
          <cell r="C1390">
            <v>6397.6520764000006</v>
          </cell>
          <cell r="E1390">
            <v>2282</v>
          </cell>
          <cell r="F1390">
            <v>13634.050593579997</v>
          </cell>
          <cell r="H1390">
            <v>2282</v>
          </cell>
          <cell r="I1390">
            <v>13634.050593579997</v>
          </cell>
        </row>
        <row r="1391">
          <cell r="B1391">
            <v>2283</v>
          </cell>
          <cell r="C1391">
            <v>6051.7288054200008</v>
          </cell>
          <cell r="E1391">
            <v>2283</v>
          </cell>
          <cell r="F1391">
            <v>12753.7142207</v>
          </cell>
          <cell r="H1391">
            <v>2283</v>
          </cell>
          <cell r="I1391">
            <v>12753.7142207</v>
          </cell>
        </row>
        <row r="1392">
          <cell r="B1392">
            <v>2284</v>
          </cell>
          <cell r="C1392">
            <v>4851.9355414800002</v>
          </cell>
          <cell r="E1392">
            <v>2284</v>
          </cell>
          <cell r="F1392">
            <v>10188.403026110003</v>
          </cell>
          <cell r="H1392">
            <v>2284</v>
          </cell>
          <cell r="I1392">
            <v>10188.403026110003</v>
          </cell>
        </row>
        <row r="1393">
          <cell r="B1393">
            <v>2285</v>
          </cell>
          <cell r="C1393">
            <v>3974.4157308100002</v>
          </cell>
          <cell r="E1393">
            <v>2285</v>
          </cell>
          <cell r="F1393">
            <v>8407.1484752099987</v>
          </cell>
          <cell r="H1393">
            <v>2285</v>
          </cell>
          <cell r="I1393">
            <v>8407.1484752099987</v>
          </cell>
        </row>
        <row r="1394">
          <cell r="B1394">
            <v>2287</v>
          </cell>
          <cell r="C1394">
            <v>18079.78455516</v>
          </cell>
          <cell r="E1394">
            <v>2287</v>
          </cell>
          <cell r="F1394">
            <v>38246.253051130006</v>
          </cell>
          <cell r="H1394">
            <v>2287</v>
          </cell>
          <cell r="I1394">
            <v>38246.253051130006</v>
          </cell>
        </row>
        <row r="1395">
          <cell r="B1395">
            <v>2288</v>
          </cell>
          <cell r="C1395">
            <v>2277.5198015100004</v>
          </cell>
          <cell r="E1395">
            <v>2288</v>
          </cell>
          <cell r="F1395">
            <v>4713.2223939500018</v>
          </cell>
          <cell r="H1395">
            <v>2288</v>
          </cell>
          <cell r="I1395">
            <v>4713.2223939500018</v>
          </cell>
        </row>
        <row r="1396">
          <cell r="B1396">
            <v>2289</v>
          </cell>
          <cell r="C1396">
            <v>10109.731838629999</v>
          </cell>
          <cell r="E1396">
            <v>2289</v>
          </cell>
          <cell r="F1396">
            <v>20931.365347880015</v>
          </cell>
          <cell r="H1396">
            <v>2289</v>
          </cell>
          <cell r="I1396">
            <v>20931.365347880015</v>
          </cell>
        </row>
        <row r="1397">
          <cell r="B1397">
            <v>2290</v>
          </cell>
          <cell r="C1397">
            <v>7807.0846682000019</v>
          </cell>
          <cell r="E1397">
            <v>2290</v>
          </cell>
          <cell r="F1397">
            <v>17121.284427130002</v>
          </cell>
          <cell r="H1397">
            <v>2290</v>
          </cell>
          <cell r="I1397">
            <v>17121.284427130002</v>
          </cell>
        </row>
        <row r="1398">
          <cell r="B1398">
            <v>2291</v>
          </cell>
          <cell r="C1398">
            <v>2550.3511114600001</v>
          </cell>
          <cell r="E1398">
            <v>2291</v>
          </cell>
          <cell r="F1398">
            <v>5511.5046396499993</v>
          </cell>
          <cell r="H1398">
            <v>2291</v>
          </cell>
          <cell r="I1398">
            <v>5511.5046396499993</v>
          </cell>
        </row>
        <row r="1399">
          <cell r="B1399">
            <v>2292</v>
          </cell>
          <cell r="C1399">
            <v>31328.181003980008</v>
          </cell>
          <cell r="E1399">
            <v>2292</v>
          </cell>
          <cell r="F1399">
            <v>64124.86411344001</v>
          </cell>
          <cell r="H1399">
            <v>2292</v>
          </cell>
          <cell r="I1399">
            <v>64124.86411344001</v>
          </cell>
        </row>
        <row r="1400">
          <cell r="B1400">
            <v>2294</v>
          </cell>
          <cell r="C1400">
            <v>9888.5658509999976</v>
          </cell>
          <cell r="E1400">
            <v>2294</v>
          </cell>
          <cell r="F1400">
            <v>20350.042385419994</v>
          </cell>
          <cell r="H1400">
            <v>2294</v>
          </cell>
          <cell r="I1400">
            <v>20350.042385419994</v>
          </cell>
        </row>
        <row r="1401">
          <cell r="B1401">
            <v>2295</v>
          </cell>
          <cell r="C1401">
            <v>2398.1703747600004</v>
          </cell>
          <cell r="E1401">
            <v>2295</v>
          </cell>
          <cell r="F1401">
            <v>5118.5685456099982</v>
          </cell>
          <cell r="H1401">
            <v>2295</v>
          </cell>
          <cell r="I1401">
            <v>5118.5685456099982</v>
          </cell>
        </row>
        <row r="1402">
          <cell r="B1402">
            <v>2296</v>
          </cell>
          <cell r="C1402">
            <v>3140.66264903</v>
          </cell>
          <cell r="E1402">
            <v>2296</v>
          </cell>
          <cell r="F1402">
            <v>6337.1099159899995</v>
          </cell>
          <cell r="H1402">
            <v>2296</v>
          </cell>
          <cell r="I1402">
            <v>6337.1099159899995</v>
          </cell>
        </row>
        <row r="1403">
          <cell r="B1403">
            <v>2297</v>
          </cell>
          <cell r="C1403">
            <v>34615.00439818998</v>
          </cell>
          <cell r="E1403">
            <v>2297</v>
          </cell>
          <cell r="F1403">
            <v>71815.272729650009</v>
          </cell>
          <cell r="H1403">
            <v>2297</v>
          </cell>
          <cell r="I1403">
            <v>71815.272729650009</v>
          </cell>
        </row>
        <row r="1404">
          <cell r="B1404">
            <v>2298</v>
          </cell>
          <cell r="C1404">
            <v>4098.8870477099999</v>
          </cell>
          <cell r="E1404">
            <v>2298</v>
          </cell>
          <cell r="F1404">
            <v>8711.0784809500001</v>
          </cell>
          <cell r="H1404">
            <v>2298</v>
          </cell>
          <cell r="I1404">
            <v>8711.0784809500001</v>
          </cell>
        </row>
        <row r="1405">
          <cell r="B1405">
            <v>2299</v>
          </cell>
          <cell r="C1405">
            <v>10521.180370910006</v>
          </cell>
          <cell r="E1405">
            <v>2299</v>
          </cell>
          <cell r="F1405">
            <v>22231.031684650025</v>
          </cell>
          <cell r="H1405">
            <v>2299</v>
          </cell>
          <cell r="I1405">
            <v>22231.031684650025</v>
          </cell>
        </row>
        <row r="1406">
          <cell r="B1406">
            <v>2300</v>
          </cell>
          <cell r="C1406">
            <v>7546.8583666899995</v>
          </cell>
          <cell r="E1406">
            <v>2300</v>
          </cell>
          <cell r="F1406">
            <v>16898.282962220008</v>
          </cell>
          <cell r="H1406">
            <v>2300</v>
          </cell>
          <cell r="I1406">
            <v>16898.282962220008</v>
          </cell>
        </row>
        <row r="1407">
          <cell r="B1407">
            <v>2302</v>
          </cell>
          <cell r="C1407">
            <v>6088.0581745299996</v>
          </cell>
          <cell r="E1407">
            <v>2302</v>
          </cell>
          <cell r="F1407">
            <v>12765.144716470004</v>
          </cell>
          <cell r="H1407">
            <v>2302</v>
          </cell>
          <cell r="I1407">
            <v>12765.144716470004</v>
          </cell>
        </row>
        <row r="1408">
          <cell r="B1408">
            <v>2303</v>
          </cell>
          <cell r="C1408">
            <v>3766.8809499199983</v>
          </cell>
          <cell r="E1408">
            <v>2303</v>
          </cell>
          <cell r="F1408">
            <v>8321.4650327700019</v>
          </cell>
          <cell r="H1408">
            <v>2303</v>
          </cell>
          <cell r="I1408">
            <v>8321.4650327700019</v>
          </cell>
        </row>
        <row r="1409">
          <cell r="B1409">
            <v>2304</v>
          </cell>
          <cell r="C1409">
            <v>9533.7239844900014</v>
          </cell>
          <cell r="E1409">
            <v>2304</v>
          </cell>
          <cell r="F1409">
            <v>20397.477647889998</v>
          </cell>
          <cell r="H1409">
            <v>2304</v>
          </cell>
          <cell r="I1409">
            <v>20397.477647889998</v>
          </cell>
        </row>
        <row r="1410">
          <cell r="B1410">
            <v>2305</v>
          </cell>
          <cell r="C1410">
            <v>12042.42711018</v>
          </cell>
          <cell r="E1410">
            <v>2305</v>
          </cell>
          <cell r="F1410">
            <v>25247.39763041999</v>
          </cell>
          <cell r="H1410">
            <v>2305</v>
          </cell>
          <cell r="I1410">
            <v>25247.39763041999</v>
          </cell>
        </row>
        <row r="1411">
          <cell r="B1411">
            <v>2306</v>
          </cell>
          <cell r="C1411">
            <v>10247.147010629997</v>
          </cell>
          <cell r="E1411">
            <v>2306</v>
          </cell>
          <cell r="F1411">
            <v>22063.098705020002</v>
          </cell>
          <cell r="H1411">
            <v>2306</v>
          </cell>
          <cell r="I1411">
            <v>22063.098705020002</v>
          </cell>
        </row>
        <row r="1412">
          <cell r="B1412">
            <v>2307</v>
          </cell>
          <cell r="C1412">
            <v>11376.329111190003</v>
          </cell>
          <cell r="E1412">
            <v>2307</v>
          </cell>
          <cell r="F1412">
            <v>27660.534200549999</v>
          </cell>
          <cell r="H1412">
            <v>2307</v>
          </cell>
          <cell r="I1412">
            <v>27660.534200549999</v>
          </cell>
        </row>
        <row r="1413">
          <cell r="B1413">
            <v>2308</v>
          </cell>
          <cell r="C1413">
            <v>23967.497054250005</v>
          </cell>
          <cell r="E1413">
            <v>2308</v>
          </cell>
          <cell r="F1413">
            <v>49398.776160289992</v>
          </cell>
          <cell r="H1413">
            <v>2308</v>
          </cell>
          <cell r="I1413">
            <v>49398.776160289992</v>
          </cell>
        </row>
        <row r="1414">
          <cell r="B1414">
            <v>2309</v>
          </cell>
          <cell r="C1414">
            <v>9394.0989695200024</v>
          </cell>
          <cell r="E1414">
            <v>2309</v>
          </cell>
          <cell r="F1414">
            <v>19515.359925300003</v>
          </cell>
          <cell r="H1414">
            <v>2309</v>
          </cell>
          <cell r="I1414">
            <v>19515.359925300003</v>
          </cell>
        </row>
        <row r="1415">
          <cell r="B1415">
            <v>2310</v>
          </cell>
          <cell r="C1415">
            <v>4501.4509005800019</v>
          </cell>
          <cell r="E1415">
            <v>2310</v>
          </cell>
          <cell r="F1415">
            <v>9110.1743268999999</v>
          </cell>
          <cell r="H1415">
            <v>2310</v>
          </cell>
          <cell r="I1415">
            <v>9110.1743268999999</v>
          </cell>
        </row>
        <row r="1416">
          <cell r="B1416">
            <v>2311</v>
          </cell>
          <cell r="C1416">
            <v>2240.2456962900001</v>
          </cell>
          <cell r="E1416">
            <v>2311</v>
          </cell>
          <cell r="F1416">
            <v>4971.2517191000006</v>
          </cell>
          <cell r="H1416">
            <v>2311</v>
          </cell>
          <cell r="I1416">
            <v>4971.2517191000006</v>
          </cell>
        </row>
        <row r="1417">
          <cell r="B1417">
            <v>2312</v>
          </cell>
          <cell r="C1417">
            <v>3685.43195315</v>
          </cell>
          <cell r="E1417">
            <v>2312</v>
          </cell>
          <cell r="F1417">
            <v>7654.4019920399996</v>
          </cell>
          <cell r="H1417">
            <v>2312</v>
          </cell>
          <cell r="I1417">
            <v>7654.4019920399996</v>
          </cell>
        </row>
        <row r="1418">
          <cell r="B1418">
            <v>2313</v>
          </cell>
          <cell r="C1418">
            <v>12229.674502430002</v>
          </cell>
          <cell r="E1418">
            <v>2313</v>
          </cell>
          <cell r="F1418">
            <v>24537.989645069996</v>
          </cell>
          <cell r="H1418">
            <v>2313</v>
          </cell>
          <cell r="I1418">
            <v>24537.989645069996</v>
          </cell>
        </row>
        <row r="1419">
          <cell r="B1419">
            <v>2314</v>
          </cell>
          <cell r="C1419">
            <v>2066.2439769099997</v>
          </cell>
          <cell r="E1419">
            <v>2314</v>
          </cell>
          <cell r="F1419">
            <v>4508.8655548400002</v>
          </cell>
          <cell r="H1419">
            <v>2314</v>
          </cell>
          <cell r="I1419">
            <v>4508.8655548400002</v>
          </cell>
        </row>
        <row r="1420">
          <cell r="B1420">
            <v>2315</v>
          </cell>
          <cell r="C1420">
            <v>2355.9903401799997</v>
          </cell>
          <cell r="E1420">
            <v>2315</v>
          </cell>
          <cell r="F1420">
            <v>5105.3040717099993</v>
          </cell>
          <cell r="H1420">
            <v>2315</v>
          </cell>
          <cell r="I1420">
            <v>5105.3040717099993</v>
          </cell>
        </row>
        <row r="1421">
          <cell r="B1421">
            <v>2316</v>
          </cell>
          <cell r="C1421">
            <v>5219.5487656300002</v>
          </cell>
          <cell r="E1421">
            <v>2316</v>
          </cell>
          <cell r="F1421">
            <v>10708.169561750006</v>
          </cell>
          <cell r="H1421">
            <v>2316</v>
          </cell>
          <cell r="I1421">
            <v>10708.169561750006</v>
          </cell>
        </row>
        <row r="1422">
          <cell r="B1422">
            <v>2317</v>
          </cell>
          <cell r="C1422">
            <v>4692.2991728500001</v>
          </cell>
          <cell r="E1422">
            <v>2317</v>
          </cell>
          <cell r="F1422">
            <v>10050.564978069999</v>
          </cell>
          <cell r="H1422">
            <v>2317</v>
          </cell>
          <cell r="I1422">
            <v>10050.564978069999</v>
          </cell>
        </row>
        <row r="1423">
          <cell r="B1423">
            <v>2318</v>
          </cell>
          <cell r="C1423">
            <v>1794.1601728900002</v>
          </cell>
          <cell r="E1423">
            <v>2318</v>
          </cell>
          <cell r="F1423">
            <v>3707.8993626700017</v>
          </cell>
          <cell r="H1423">
            <v>2318</v>
          </cell>
          <cell r="I1423">
            <v>3707.8993626700017</v>
          </cell>
        </row>
        <row r="1424">
          <cell r="B1424">
            <v>2319</v>
          </cell>
          <cell r="C1424">
            <v>5334.9173154400005</v>
          </cell>
          <cell r="E1424">
            <v>2319</v>
          </cell>
          <cell r="F1424">
            <v>10978.085178960006</v>
          </cell>
          <cell r="H1424">
            <v>2319</v>
          </cell>
          <cell r="I1424">
            <v>10978.085178960006</v>
          </cell>
        </row>
        <row r="1425">
          <cell r="B1425">
            <v>2320</v>
          </cell>
          <cell r="C1425">
            <v>12213.464470479998</v>
          </cell>
          <cell r="E1425">
            <v>2320</v>
          </cell>
          <cell r="F1425">
            <v>25521.47333443</v>
          </cell>
          <cell r="H1425">
            <v>2320</v>
          </cell>
          <cell r="I1425">
            <v>25521.47333443</v>
          </cell>
        </row>
        <row r="1426">
          <cell r="B1426">
            <v>2321</v>
          </cell>
          <cell r="C1426">
            <v>3095.0387793200002</v>
          </cell>
          <cell r="E1426">
            <v>2321</v>
          </cell>
          <cell r="F1426">
            <v>6681.6963076500033</v>
          </cell>
          <cell r="H1426">
            <v>2321</v>
          </cell>
          <cell r="I1426">
            <v>6681.6963076500033</v>
          </cell>
        </row>
        <row r="1427">
          <cell r="B1427">
            <v>2322</v>
          </cell>
          <cell r="C1427">
            <v>1141.44577235</v>
          </cell>
          <cell r="E1427">
            <v>2322</v>
          </cell>
          <cell r="F1427">
            <v>2481.7309384300002</v>
          </cell>
          <cell r="H1427">
            <v>2322</v>
          </cell>
          <cell r="I1427">
            <v>2481.7309384300002</v>
          </cell>
        </row>
        <row r="1428">
          <cell r="B1428">
            <v>2323</v>
          </cell>
          <cell r="C1428">
            <v>6623.4904966699987</v>
          </cell>
          <cell r="E1428">
            <v>2323</v>
          </cell>
          <cell r="F1428">
            <v>14092.973183010001</v>
          </cell>
          <cell r="H1428">
            <v>2323</v>
          </cell>
          <cell r="I1428">
            <v>14092.973183010001</v>
          </cell>
        </row>
        <row r="1429">
          <cell r="B1429">
            <v>2324</v>
          </cell>
          <cell r="C1429">
            <v>3137.7091414799993</v>
          </cell>
          <cell r="E1429">
            <v>2324</v>
          </cell>
          <cell r="F1429">
            <v>7014.5613850199998</v>
          </cell>
          <cell r="H1429">
            <v>2324</v>
          </cell>
          <cell r="I1429">
            <v>7014.5613850199998</v>
          </cell>
        </row>
        <row r="1430">
          <cell r="B1430">
            <v>2325</v>
          </cell>
          <cell r="C1430">
            <v>2439.7274040399998</v>
          </cell>
          <cell r="E1430">
            <v>2325</v>
          </cell>
          <cell r="F1430">
            <v>5083.1758953399985</v>
          </cell>
          <cell r="H1430">
            <v>2325</v>
          </cell>
          <cell r="I1430">
            <v>5083.1758953399985</v>
          </cell>
        </row>
        <row r="1431">
          <cell r="B1431">
            <v>2326</v>
          </cell>
          <cell r="C1431">
            <v>2383.5393573599999</v>
          </cell>
          <cell r="E1431">
            <v>2326</v>
          </cell>
          <cell r="F1431">
            <v>5090.5108746599999</v>
          </cell>
          <cell r="H1431">
            <v>2326</v>
          </cell>
          <cell r="I1431">
            <v>5090.5108746599999</v>
          </cell>
        </row>
        <row r="1432">
          <cell r="B1432">
            <v>2327</v>
          </cell>
          <cell r="C1432">
            <v>6227.9693006700008</v>
          </cell>
          <cell r="E1432">
            <v>2327</v>
          </cell>
          <cell r="F1432">
            <v>13390.149781429996</v>
          </cell>
          <cell r="H1432">
            <v>2327</v>
          </cell>
          <cell r="I1432">
            <v>13390.149781429996</v>
          </cell>
        </row>
        <row r="1433">
          <cell r="B1433">
            <v>2328</v>
          </cell>
          <cell r="C1433">
            <v>10735.732956919994</v>
          </cell>
          <cell r="E1433">
            <v>2328</v>
          </cell>
          <cell r="F1433">
            <v>21733.012058800014</v>
          </cell>
          <cell r="H1433">
            <v>2328</v>
          </cell>
          <cell r="I1433">
            <v>21733.012058800014</v>
          </cell>
        </row>
        <row r="1434">
          <cell r="B1434">
            <v>2329</v>
          </cell>
          <cell r="C1434">
            <v>5452.5558807099997</v>
          </cell>
          <cell r="E1434">
            <v>2329</v>
          </cell>
          <cell r="F1434">
            <v>11372.951774420002</v>
          </cell>
          <cell r="H1434">
            <v>2329</v>
          </cell>
          <cell r="I1434">
            <v>11372.951774420002</v>
          </cell>
        </row>
        <row r="1435">
          <cell r="B1435">
            <v>2330</v>
          </cell>
          <cell r="C1435">
            <v>7060.6083085599985</v>
          </cell>
          <cell r="E1435">
            <v>2330</v>
          </cell>
          <cell r="F1435">
            <v>14804.184880119998</v>
          </cell>
          <cell r="H1435">
            <v>2330</v>
          </cell>
          <cell r="I1435">
            <v>14804.184880119998</v>
          </cell>
        </row>
        <row r="1436">
          <cell r="B1436">
            <v>2331</v>
          </cell>
          <cell r="C1436">
            <v>4206.7815770400002</v>
          </cell>
          <cell r="E1436">
            <v>2331</v>
          </cell>
          <cell r="F1436">
            <v>9099.5188054300015</v>
          </cell>
          <cell r="H1436">
            <v>2331</v>
          </cell>
          <cell r="I1436">
            <v>9099.5188054300015</v>
          </cell>
        </row>
        <row r="1437">
          <cell r="B1437">
            <v>2332</v>
          </cell>
          <cell r="C1437">
            <v>17774.849665999998</v>
          </cell>
          <cell r="E1437">
            <v>2332</v>
          </cell>
          <cell r="F1437">
            <v>35976.239185620012</v>
          </cell>
          <cell r="H1437">
            <v>2332</v>
          </cell>
          <cell r="I1437">
            <v>35976.239185620012</v>
          </cell>
        </row>
        <row r="1438">
          <cell r="B1438">
            <v>2333</v>
          </cell>
          <cell r="C1438">
            <v>3173.4083045400002</v>
          </cell>
          <cell r="E1438">
            <v>2333</v>
          </cell>
          <cell r="F1438">
            <v>6828.5754636400006</v>
          </cell>
          <cell r="H1438">
            <v>2333</v>
          </cell>
          <cell r="I1438">
            <v>6828.5754636400006</v>
          </cell>
        </row>
        <row r="1439">
          <cell r="B1439">
            <v>2334</v>
          </cell>
          <cell r="C1439">
            <v>7943.3976477400001</v>
          </cell>
          <cell r="E1439">
            <v>2334</v>
          </cell>
          <cell r="F1439">
            <v>16549.818073270002</v>
          </cell>
          <cell r="H1439">
            <v>2334</v>
          </cell>
          <cell r="I1439">
            <v>16549.818073270002</v>
          </cell>
        </row>
        <row r="1440">
          <cell r="B1440">
            <v>2335</v>
          </cell>
          <cell r="C1440">
            <v>804.62469105999992</v>
          </cell>
          <cell r="E1440">
            <v>2335</v>
          </cell>
          <cell r="F1440">
            <v>1847.3404047099998</v>
          </cell>
          <cell r="H1440">
            <v>2335</v>
          </cell>
          <cell r="I1440">
            <v>1847.3404047099998</v>
          </cell>
        </row>
        <row r="1441">
          <cell r="B1441">
            <v>2336</v>
          </cell>
          <cell r="C1441">
            <v>2879.3712754899993</v>
          </cell>
          <cell r="E1441">
            <v>2336</v>
          </cell>
          <cell r="F1441">
            <v>6606.5743466399981</v>
          </cell>
          <cell r="H1441">
            <v>2336</v>
          </cell>
          <cell r="I1441">
            <v>6606.5743466399981</v>
          </cell>
        </row>
        <row r="1442">
          <cell r="B1442">
            <v>2337</v>
          </cell>
          <cell r="C1442">
            <v>10596.262063350005</v>
          </cell>
          <cell r="E1442">
            <v>2337</v>
          </cell>
          <cell r="F1442">
            <v>20244.533986920007</v>
          </cell>
          <cell r="H1442">
            <v>2337</v>
          </cell>
          <cell r="I1442">
            <v>20244.533986920007</v>
          </cell>
        </row>
        <row r="1443">
          <cell r="B1443">
            <v>2338</v>
          </cell>
          <cell r="C1443">
            <v>6874.2278727200001</v>
          </cell>
          <cell r="E1443">
            <v>2338</v>
          </cell>
          <cell r="F1443">
            <v>14967.1467328</v>
          </cell>
          <cell r="H1443">
            <v>2338</v>
          </cell>
          <cell r="I1443">
            <v>14967.1467328</v>
          </cell>
        </row>
        <row r="1444">
          <cell r="B1444">
            <v>2339</v>
          </cell>
          <cell r="C1444">
            <v>31056.81676003</v>
          </cell>
          <cell r="E1444">
            <v>2339</v>
          </cell>
          <cell r="F1444">
            <v>67062.095341070002</v>
          </cell>
          <cell r="H1444">
            <v>2339</v>
          </cell>
          <cell r="I1444">
            <v>67062.095341070002</v>
          </cell>
        </row>
        <row r="1445">
          <cell r="B1445">
            <v>2340</v>
          </cell>
          <cell r="C1445">
            <v>9162.3584112300014</v>
          </cell>
          <cell r="E1445">
            <v>2340</v>
          </cell>
          <cell r="F1445">
            <v>19404.056088540001</v>
          </cell>
          <cell r="H1445">
            <v>2340</v>
          </cell>
          <cell r="I1445">
            <v>19404.056088540001</v>
          </cell>
        </row>
        <row r="1446">
          <cell r="B1446">
            <v>2341</v>
          </cell>
          <cell r="C1446">
            <v>8269.395523860001</v>
          </cell>
          <cell r="E1446">
            <v>2341</v>
          </cell>
          <cell r="F1446">
            <v>16479.812694130003</v>
          </cell>
          <cell r="H1446">
            <v>2341</v>
          </cell>
          <cell r="I1446">
            <v>16479.812694130003</v>
          </cell>
        </row>
        <row r="1447">
          <cell r="B1447">
            <v>2342</v>
          </cell>
          <cell r="C1447">
            <v>5099.3276762999994</v>
          </cell>
          <cell r="E1447">
            <v>2342</v>
          </cell>
          <cell r="F1447">
            <v>10837.381880969997</v>
          </cell>
          <cell r="H1447">
            <v>2342</v>
          </cell>
          <cell r="I1447">
            <v>10837.381880969997</v>
          </cell>
        </row>
        <row r="1448">
          <cell r="B1448">
            <v>2343</v>
          </cell>
          <cell r="C1448">
            <v>12456.895417239999</v>
          </cell>
          <cell r="E1448">
            <v>2343</v>
          </cell>
          <cell r="F1448">
            <v>30813.034165249985</v>
          </cell>
          <cell r="H1448">
            <v>2343</v>
          </cell>
          <cell r="I1448">
            <v>30813.034165249985</v>
          </cell>
        </row>
        <row r="1449">
          <cell r="B1449">
            <v>2344</v>
          </cell>
          <cell r="C1449">
            <v>22028.841660909999</v>
          </cell>
          <cell r="E1449">
            <v>2344</v>
          </cell>
          <cell r="F1449">
            <v>36847.214785270007</v>
          </cell>
          <cell r="H1449">
            <v>2344</v>
          </cell>
          <cell r="I1449">
            <v>36847.214785270007</v>
          </cell>
        </row>
        <row r="1450">
          <cell r="B1450">
            <v>2345</v>
          </cell>
          <cell r="C1450">
            <v>9419.1257709599977</v>
          </cell>
          <cell r="E1450">
            <v>2345</v>
          </cell>
          <cell r="F1450">
            <v>19262.067272859997</v>
          </cell>
          <cell r="H1450">
            <v>2345</v>
          </cell>
          <cell r="I1450">
            <v>19262.067272859997</v>
          </cell>
        </row>
        <row r="1451">
          <cell r="B1451">
            <v>2346</v>
          </cell>
          <cell r="C1451">
            <v>1095.7937782199997</v>
          </cell>
          <cell r="E1451">
            <v>2346</v>
          </cell>
          <cell r="F1451">
            <v>2346.7206035099994</v>
          </cell>
          <cell r="H1451">
            <v>2346</v>
          </cell>
          <cell r="I1451">
            <v>2346.7206035099994</v>
          </cell>
        </row>
        <row r="1452">
          <cell r="B1452">
            <v>2347</v>
          </cell>
          <cell r="C1452">
            <v>5230.1272500800005</v>
          </cell>
          <cell r="E1452">
            <v>2347</v>
          </cell>
          <cell r="F1452">
            <v>10922.359798089999</v>
          </cell>
          <cell r="H1452">
            <v>2347</v>
          </cell>
          <cell r="I1452">
            <v>10922.359798089999</v>
          </cell>
        </row>
        <row r="1453">
          <cell r="B1453">
            <v>2348</v>
          </cell>
          <cell r="C1453">
            <v>5445.2996226600008</v>
          </cell>
          <cell r="E1453">
            <v>2348</v>
          </cell>
          <cell r="F1453">
            <v>12833.636568899998</v>
          </cell>
          <cell r="H1453">
            <v>2348</v>
          </cell>
          <cell r="I1453">
            <v>12833.636568899998</v>
          </cell>
        </row>
        <row r="1454">
          <cell r="B1454">
            <v>2349</v>
          </cell>
          <cell r="C1454">
            <v>4379.6246094300004</v>
          </cell>
          <cell r="E1454">
            <v>2349</v>
          </cell>
          <cell r="F1454">
            <v>9267.0348046399995</v>
          </cell>
          <cell r="H1454">
            <v>2349</v>
          </cell>
          <cell r="I1454">
            <v>9267.0348046399995</v>
          </cell>
        </row>
        <row r="1455">
          <cell r="B1455">
            <v>2350</v>
          </cell>
          <cell r="C1455">
            <v>2363.5720777299998</v>
          </cell>
          <cell r="E1455">
            <v>2350</v>
          </cell>
          <cell r="F1455">
            <v>5141.4931448700017</v>
          </cell>
          <cell r="H1455">
            <v>2350</v>
          </cell>
          <cell r="I1455">
            <v>5141.4931448700017</v>
          </cell>
        </row>
        <row r="1456">
          <cell r="B1456">
            <v>2351</v>
          </cell>
          <cell r="C1456">
            <v>2454.8693021599997</v>
          </cell>
          <cell r="E1456">
            <v>2351</v>
          </cell>
          <cell r="F1456">
            <v>4990.4447471099993</v>
          </cell>
          <cell r="H1456">
            <v>2351</v>
          </cell>
          <cell r="I1456">
            <v>4990.4447471099993</v>
          </cell>
        </row>
        <row r="1457">
          <cell r="B1457">
            <v>2352</v>
          </cell>
          <cell r="C1457">
            <v>621.57782856999995</v>
          </cell>
          <cell r="E1457">
            <v>2352</v>
          </cell>
          <cell r="F1457">
            <v>1321.8825401199999</v>
          </cell>
          <cell r="H1457">
            <v>2352</v>
          </cell>
          <cell r="I1457">
            <v>1321.8825401199999</v>
          </cell>
        </row>
        <row r="1458">
          <cell r="B1458">
            <v>2353</v>
          </cell>
          <cell r="C1458">
            <v>3333.2491784300005</v>
          </cell>
          <cell r="E1458">
            <v>2353</v>
          </cell>
          <cell r="F1458">
            <v>6816.7833396200003</v>
          </cell>
          <cell r="H1458">
            <v>2353</v>
          </cell>
          <cell r="I1458">
            <v>6816.7833396200003</v>
          </cell>
        </row>
        <row r="1459">
          <cell r="B1459">
            <v>2354</v>
          </cell>
          <cell r="C1459">
            <v>1755.4365118399999</v>
          </cell>
          <cell r="E1459">
            <v>2354</v>
          </cell>
          <cell r="F1459">
            <v>3889.724484229997</v>
          </cell>
          <cell r="H1459">
            <v>2354</v>
          </cell>
          <cell r="I1459">
            <v>3889.724484229997</v>
          </cell>
        </row>
        <row r="1460">
          <cell r="B1460">
            <v>2355</v>
          </cell>
          <cell r="C1460">
            <v>2586.67298635</v>
          </cell>
          <cell r="E1460">
            <v>2355</v>
          </cell>
          <cell r="F1460">
            <v>5681.9959528600002</v>
          </cell>
          <cell r="H1460">
            <v>2355</v>
          </cell>
          <cell r="I1460">
            <v>5681.9959528600002</v>
          </cell>
        </row>
        <row r="1461">
          <cell r="B1461">
            <v>2356</v>
          </cell>
          <cell r="C1461">
            <v>4172.3040382400004</v>
          </cell>
          <cell r="E1461">
            <v>2356</v>
          </cell>
          <cell r="F1461">
            <v>8862.3692962999994</v>
          </cell>
          <cell r="H1461">
            <v>2356</v>
          </cell>
          <cell r="I1461">
            <v>8862.3692962999994</v>
          </cell>
        </row>
        <row r="1462">
          <cell r="B1462">
            <v>2357</v>
          </cell>
          <cell r="C1462">
            <v>3644.0416462699991</v>
          </cell>
          <cell r="E1462">
            <v>2357</v>
          </cell>
          <cell r="F1462">
            <v>7769.0437908200001</v>
          </cell>
          <cell r="H1462">
            <v>2357</v>
          </cell>
          <cell r="I1462">
            <v>7769.0437908200001</v>
          </cell>
        </row>
        <row r="1463">
          <cell r="B1463">
            <v>2358</v>
          </cell>
          <cell r="C1463">
            <v>2673.0242881200002</v>
          </cell>
          <cell r="E1463">
            <v>2358</v>
          </cell>
          <cell r="F1463">
            <v>5624.4096148999997</v>
          </cell>
          <cell r="H1463">
            <v>2358</v>
          </cell>
          <cell r="I1463">
            <v>5624.4096148999997</v>
          </cell>
        </row>
        <row r="1464">
          <cell r="B1464">
            <v>2359</v>
          </cell>
          <cell r="C1464">
            <v>1688.1095075400005</v>
          </cell>
          <cell r="E1464">
            <v>2359</v>
          </cell>
          <cell r="F1464">
            <v>3860.2401830999993</v>
          </cell>
          <cell r="H1464">
            <v>2359</v>
          </cell>
          <cell r="I1464">
            <v>3860.2401830999993</v>
          </cell>
        </row>
        <row r="1465">
          <cell r="B1465">
            <v>2360</v>
          </cell>
          <cell r="C1465">
            <v>1966.5965339599998</v>
          </cell>
          <cell r="E1465">
            <v>2360</v>
          </cell>
          <cell r="F1465">
            <v>4304.2577432400003</v>
          </cell>
          <cell r="H1465">
            <v>2360</v>
          </cell>
          <cell r="I1465">
            <v>4304.2577432400003</v>
          </cell>
        </row>
        <row r="1466">
          <cell r="B1466">
            <v>2361</v>
          </cell>
          <cell r="C1466">
            <v>2180.78894713</v>
          </cell>
          <cell r="E1466">
            <v>2361</v>
          </cell>
          <cell r="F1466">
            <v>4455.0011369800013</v>
          </cell>
          <cell r="H1466">
            <v>2361</v>
          </cell>
          <cell r="I1466">
            <v>4455.0011369800013</v>
          </cell>
        </row>
        <row r="1467">
          <cell r="B1467">
            <v>2362</v>
          </cell>
          <cell r="C1467">
            <v>3454.7451927299999</v>
          </cell>
          <cell r="E1467">
            <v>2362</v>
          </cell>
          <cell r="F1467">
            <v>6979.5877183199982</v>
          </cell>
          <cell r="H1467">
            <v>2362</v>
          </cell>
          <cell r="I1467">
            <v>6979.5877183199982</v>
          </cell>
        </row>
        <row r="1468">
          <cell r="B1468">
            <v>2363</v>
          </cell>
          <cell r="C1468">
            <v>2537.91956828</v>
          </cell>
          <cell r="E1468">
            <v>2363</v>
          </cell>
          <cell r="F1468">
            <v>5345.4750491600007</v>
          </cell>
          <cell r="H1468">
            <v>2363</v>
          </cell>
          <cell r="I1468">
            <v>5345.4750491600007</v>
          </cell>
        </row>
        <row r="1469">
          <cell r="B1469">
            <v>2364</v>
          </cell>
          <cell r="C1469">
            <v>3260.8101450299991</v>
          </cell>
          <cell r="E1469">
            <v>2364</v>
          </cell>
          <cell r="F1469">
            <v>6789.540875749999</v>
          </cell>
          <cell r="H1469">
            <v>2364</v>
          </cell>
          <cell r="I1469">
            <v>6789.540875749999</v>
          </cell>
        </row>
        <row r="1470">
          <cell r="B1470">
            <v>2365</v>
          </cell>
          <cell r="C1470">
            <v>5422.2993325899988</v>
          </cell>
          <cell r="E1470">
            <v>2365</v>
          </cell>
          <cell r="F1470">
            <v>11027.343247069999</v>
          </cell>
          <cell r="H1470">
            <v>2365</v>
          </cell>
          <cell r="I1470">
            <v>11027.343247069999</v>
          </cell>
        </row>
        <row r="1471">
          <cell r="B1471">
            <v>2366</v>
          </cell>
          <cell r="C1471">
            <v>843.98884551000003</v>
          </cell>
          <cell r="E1471">
            <v>2366</v>
          </cell>
          <cell r="F1471">
            <v>2038.69652939</v>
          </cell>
          <cell r="H1471">
            <v>2366</v>
          </cell>
          <cell r="I1471">
            <v>2038.69652939</v>
          </cell>
        </row>
        <row r="1472">
          <cell r="B1472">
            <v>2367</v>
          </cell>
          <cell r="C1472">
            <v>4265.4305000700006</v>
          </cell>
          <cell r="E1472">
            <v>2367</v>
          </cell>
          <cell r="F1472">
            <v>9005.9482514499996</v>
          </cell>
          <cell r="H1472">
            <v>2367</v>
          </cell>
          <cell r="I1472">
            <v>9005.9482514499996</v>
          </cell>
        </row>
        <row r="1473">
          <cell r="B1473">
            <v>2368</v>
          </cell>
          <cell r="C1473">
            <v>871.42046659000016</v>
          </cell>
          <cell r="E1473">
            <v>2368</v>
          </cell>
          <cell r="F1473">
            <v>1690.7220964699995</v>
          </cell>
          <cell r="H1473">
            <v>2368</v>
          </cell>
          <cell r="I1473">
            <v>1690.7220964699995</v>
          </cell>
        </row>
        <row r="1474">
          <cell r="B1474">
            <v>2369</v>
          </cell>
          <cell r="C1474">
            <v>1353.0449055299998</v>
          </cell>
          <cell r="E1474">
            <v>2369</v>
          </cell>
          <cell r="F1474">
            <v>3159.2971982999998</v>
          </cell>
          <cell r="H1474">
            <v>2369</v>
          </cell>
          <cell r="I1474">
            <v>3159.2971982999998</v>
          </cell>
        </row>
        <row r="1475">
          <cell r="B1475">
            <v>2370</v>
          </cell>
          <cell r="C1475">
            <v>2276.4164197599998</v>
          </cell>
          <cell r="E1475">
            <v>2370</v>
          </cell>
          <cell r="F1475">
            <v>4614.6750301699994</v>
          </cell>
          <cell r="H1475">
            <v>2370</v>
          </cell>
          <cell r="I1475">
            <v>4614.6750301699994</v>
          </cell>
        </row>
        <row r="1476">
          <cell r="B1476">
            <v>2371</v>
          </cell>
          <cell r="C1476">
            <v>4622.6815606399987</v>
          </cell>
          <cell r="E1476">
            <v>2371</v>
          </cell>
          <cell r="F1476">
            <v>9273.1405364899965</v>
          </cell>
          <cell r="H1476">
            <v>2371</v>
          </cell>
          <cell r="I1476">
            <v>9273.1405364899965</v>
          </cell>
        </row>
        <row r="1477">
          <cell r="B1477">
            <v>2372</v>
          </cell>
          <cell r="C1477">
            <v>2543.3351664400002</v>
          </cell>
          <cell r="E1477">
            <v>2372</v>
          </cell>
          <cell r="F1477">
            <v>5291.099330250001</v>
          </cell>
          <cell r="H1477">
            <v>2372</v>
          </cell>
          <cell r="I1477">
            <v>5291.099330250001</v>
          </cell>
        </row>
        <row r="1478">
          <cell r="B1478">
            <v>2373</v>
          </cell>
          <cell r="C1478">
            <v>4845.1538390499991</v>
          </cell>
          <cell r="E1478">
            <v>2373</v>
          </cell>
          <cell r="F1478">
            <v>10469.161958120001</v>
          </cell>
          <cell r="H1478">
            <v>2373</v>
          </cell>
          <cell r="I1478">
            <v>10469.161958120001</v>
          </cell>
        </row>
        <row r="1479">
          <cell r="B1479">
            <v>2374</v>
          </cell>
          <cell r="C1479">
            <v>2283.7100576899998</v>
          </cell>
          <cell r="E1479">
            <v>2374</v>
          </cell>
          <cell r="F1479">
            <v>4543.4003482099997</v>
          </cell>
          <cell r="H1479">
            <v>2374</v>
          </cell>
          <cell r="I1479">
            <v>4543.4003482099997</v>
          </cell>
        </row>
        <row r="1480">
          <cell r="B1480">
            <v>2375</v>
          </cell>
          <cell r="C1480">
            <v>2534.1426372399997</v>
          </cell>
          <cell r="E1480">
            <v>2375</v>
          </cell>
          <cell r="F1480">
            <v>5641.5035957700002</v>
          </cell>
          <cell r="H1480">
            <v>2375</v>
          </cell>
          <cell r="I1480">
            <v>5641.5035957700002</v>
          </cell>
        </row>
        <row r="1481">
          <cell r="B1481">
            <v>2376</v>
          </cell>
          <cell r="C1481">
            <v>2745.7967854999997</v>
          </cell>
          <cell r="E1481">
            <v>2376</v>
          </cell>
          <cell r="F1481">
            <v>5781.7148709400017</v>
          </cell>
          <cell r="H1481">
            <v>2376</v>
          </cell>
          <cell r="I1481">
            <v>5781.7148709400017</v>
          </cell>
        </row>
        <row r="1482">
          <cell r="B1482">
            <v>2377</v>
          </cell>
          <cell r="C1482">
            <v>2130.5515511399999</v>
          </cell>
          <cell r="E1482">
            <v>2377</v>
          </cell>
          <cell r="F1482">
            <v>4666.2245494899998</v>
          </cell>
          <cell r="H1482">
            <v>2377</v>
          </cell>
          <cell r="I1482">
            <v>4666.2245494899998</v>
          </cell>
        </row>
        <row r="1483">
          <cell r="B1483">
            <v>2378</v>
          </cell>
          <cell r="C1483">
            <v>2439.9679782099993</v>
          </cell>
          <cell r="E1483">
            <v>2378</v>
          </cell>
          <cell r="F1483">
            <v>5089.7680044799972</v>
          </cell>
          <cell r="H1483">
            <v>2378</v>
          </cell>
          <cell r="I1483">
            <v>5089.7680044799972</v>
          </cell>
        </row>
        <row r="1484">
          <cell r="B1484">
            <v>2379</v>
          </cell>
          <cell r="C1484">
            <v>2028.8427621499995</v>
          </cell>
          <cell r="E1484">
            <v>2379</v>
          </cell>
          <cell r="F1484">
            <v>4200.9377490900024</v>
          </cell>
          <cell r="H1484">
            <v>2379</v>
          </cell>
          <cell r="I1484">
            <v>4200.9377490900024</v>
          </cell>
        </row>
        <row r="1485">
          <cell r="B1485">
            <v>2380</v>
          </cell>
          <cell r="C1485">
            <v>2522.6247930700001</v>
          </cell>
          <cell r="E1485">
            <v>2380</v>
          </cell>
          <cell r="F1485">
            <v>5459.2417187399979</v>
          </cell>
          <cell r="H1485">
            <v>2380</v>
          </cell>
          <cell r="I1485">
            <v>5459.2417187399979</v>
          </cell>
        </row>
        <row r="1486">
          <cell r="B1486">
            <v>2381</v>
          </cell>
          <cell r="C1486">
            <v>3526.4797629299997</v>
          </cell>
          <cell r="E1486">
            <v>2381</v>
          </cell>
          <cell r="F1486">
            <v>7264.1705445900016</v>
          </cell>
          <cell r="H1486">
            <v>2381</v>
          </cell>
          <cell r="I1486">
            <v>7264.1705445900016</v>
          </cell>
        </row>
        <row r="1487">
          <cell r="B1487">
            <v>2382</v>
          </cell>
          <cell r="C1487">
            <v>2401.9392492100001</v>
          </cell>
          <cell r="E1487">
            <v>2382</v>
          </cell>
          <cell r="F1487">
            <v>5046.6667783600005</v>
          </cell>
          <cell r="H1487">
            <v>2382</v>
          </cell>
          <cell r="I1487">
            <v>5046.6667783600005</v>
          </cell>
        </row>
        <row r="1488">
          <cell r="B1488">
            <v>2383</v>
          </cell>
          <cell r="C1488">
            <v>1238.39105599</v>
          </cell>
          <cell r="E1488">
            <v>2383</v>
          </cell>
          <cell r="F1488">
            <v>2762.2532653299991</v>
          </cell>
          <cell r="H1488">
            <v>2383</v>
          </cell>
          <cell r="I1488">
            <v>2762.2532653299991</v>
          </cell>
        </row>
        <row r="1489">
          <cell r="B1489">
            <v>2384</v>
          </cell>
          <cell r="C1489">
            <v>7354.3429698499995</v>
          </cell>
          <cell r="E1489">
            <v>2384</v>
          </cell>
          <cell r="F1489">
            <v>16124.429644150001</v>
          </cell>
          <cell r="H1489">
            <v>2384</v>
          </cell>
          <cell r="I1489">
            <v>16124.429644150001</v>
          </cell>
        </row>
        <row r="1490">
          <cell r="B1490">
            <v>2385</v>
          </cell>
          <cell r="C1490">
            <v>1235.7287293499999</v>
          </cell>
          <cell r="E1490">
            <v>2385</v>
          </cell>
          <cell r="F1490">
            <v>2278.4308488699994</v>
          </cell>
          <cell r="H1490">
            <v>2385</v>
          </cell>
          <cell r="I1490">
            <v>2278.4308488699994</v>
          </cell>
        </row>
        <row r="1491">
          <cell r="B1491">
            <v>2386</v>
          </cell>
          <cell r="C1491">
            <v>4877.5944188599979</v>
          </cell>
          <cell r="E1491">
            <v>2386</v>
          </cell>
          <cell r="F1491">
            <v>10539.16201996</v>
          </cell>
          <cell r="H1491">
            <v>2386</v>
          </cell>
          <cell r="I1491">
            <v>10539.16201996</v>
          </cell>
        </row>
        <row r="1492">
          <cell r="B1492">
            <v>2387</v>
          </cell>
          <cell r="C1492">
            <v>1013.9558104199998</v>
          </cell>
          <cell r="E1492">
            <v>2387</v>
          </cell>
          <cell r="F1492">
            <v>2251.6874163399998</v>
          </cell>
          <cell r="H1492">
            <v>2387</v>
          </cell>
          <cell r="I1492">
            <v>2251.6874163399998</v>
          </cell>
        </row>
        <row r="1493">
          <cell r="B1493">
            <v>2388</v>
          </cell>
          <cell r="C1493">
            <v>2121.3159795699999</v>
          </cell>
          <cell r="E1493">
            <v>2388</v>
          </cell>
          <cell r="F1493">
            <v>4299.2157660599996</v>
          </cell>
          <cell r="H1493">
            <v>2388</v>
          </cell>
          <cell r="I1493">
            <v>4299.2157660599996</v>
          </cell>
        </row>
        <row r="1494">
          <cell r="B1494">
            <v>2389</v>
          </cell>
          <cell r="C1494">
            <v>2114.5092220399997</v>
          </cell>
          <cell r="E1494">
            <v>2389</v>
          </cell>
          <cell r="F1494">
            <v>4504.1807281300007</v>
          </cell>
          <cell r="H1494">
            <v>2389</v>
          </cell>
          <cell r="I1494">
            <v>4504.1807281300007</v>
          </cell>
        </row>
        <row r="1495">
          <cell r="B1495">
            <v>2390</v>
          </cell>
          <cell r="C1495">
            <v>9361.577052030003</v>
          </cell>
          <cell r="E1495">
            <v>2390</v>
          </cell>
          <cell r="F1495">
            <v>23395.845144569987</v>
          </cell>
          <cell r="H1495">
            <v>2390</v>
          </cell>
          <cell r="I1495">
            <v>23395.845144569987</v>
          </cell>
        </row>
        <row r="1496">
          <cell r="B1496">
            <v>2391</v>
          </cell>
          <cell r="C1496">
            <v>1764.5894650700002</v>
          </cell>
          <cell r="E1496">
            <v>2391</v>
          </cell>
          <cell r="F1496">
            <v>3745.7927874999996</v>
          </cell>
          <cell r="H1496">
            <v>2391</v>
          </cell>
          <cell r="I1496">
            <v>3745.7927874999996</v>
          </cell>
        </row>
        <row r="1497">
          <cell r="B1497">
            <v>2392</v>
          </cell>
          <cell r="C1497">
            <v>623.60181141999999</v>
          </cell>
          <cell r="E1497">
            <v>2392</v>
          </cell>
          <cell r="F1497">
            <v>1300.5559645400001</v>
          </cell>
          <cell r="H1497">
            <v>2392</v>
          </cell>
          <cell r="I1497">
            <v>1300.5559645400001</v>
          </cell>
        </row>
        <row r="1498">
          <cell r="B1498">
            <v>2393</v>
          </cell>
          <cell r="C1498">
            <v>701.58559555000011</v>
          </cell>
          <cell r="E1498">
            <v>2393</v>
          </cell>
          <cell r="F1498">
            <v>1488.2741162099996</v>
          </cell>
          <cell r="H1498">
            <v>2393</v>
          </cell>
          <cell r="I1498">
            <v>1488.2741162099996</v>
          </cell>
        </row>
        <row r="1499">
          <cell r="B1499">
            <v>2394</v>
          </cell>
          <cell r="C1499">
            <v>731.26665916000002</v>
          </cell>
          <cell r="E1499">
            <v>2394</v>
          </cell>
          <cell r="F1499">
            <v>1534.7697386800003</v>
          </cell>
          <cell r="H1499">
            <v>2394</v>
          </cell>
          <cell r="I1499">
            <v>1534.7697386800003</v>
          </cell>
        </row>
        <row r="1500">
          <cell r="B1500">
            <v>2395</v>
          </cell>
          <cell r="C1500">
            <v>1936.14972536</v>
          </cell>
          <cell r="E1500">
            <v>2395</v>
          </cell>
          <cell r="F1500">
            <v>3690.43817829</v>
          </cell>
          <cell r="H1500">
            <v>2395</v>
          </cell>
          <cell r="I1500">
            <v>3690.43817829</v>
          </cell>
        </row>
        <row r="1501">
          <cell r="B1501">
            <v>2396</v>
          </cell>
          <cell r="C1501">
            <v>1937.3653584500003</v>
          </cell>
          <cell r="E1501">
            <v>2396</v>
          </cell>
          <cell r="F1501">
            <v>4070.9826726500014</v>
          </cell>
          <cell r="H1501">
            <v>2396</v>
          </cell>
          <cell r="I1501">
            <v>4070.9826726500014</v>
          </cell>
        </row>
        <row r="1502">
          <cell r="B1502">
            <v>2397</v>
          </cell>
          <cell r="C1502">
            <v>2470.4791516700002</v>
          </cell>
          <cell r="E1502">
            <v>2397</v>
          </cell>
          <cell r="F1502">
            <v>4937.8006009600022</v>
          </cell>
          <cell r="H1502">
            <v>2397</v>
          </cell>
          <cell r="I1502">
            <v>4937.8006009600022</v>
          </cell>
        </row>
        <row r="1503">
          <cell r="B1503">
            <v>2398</v>
          </cell>
          <cell r="C1503">
            <v>4522.8351569500001</v>
          </cell>
          <cell r="E1503">
            <v>2398</v>
          </cell>
          <cell r="F1503">
            <v>10045.332721890003</v>
          </cell>
          <cell r="H1503">
            <v>2398</v>
          </cell>
          <cell r="I1503">
            <v>10045.332721890003</v>
          </cell>
        </row>
        <row r="1504">
          <cell r="B1504">
            <v>2399</v>
          </cell>
          <cell r="C1504">
            <v>5365.6112910100001</v>
          </cell>
          <cell r="E1504">
            <v>2399</v>
          </cell>
          <cell r="F1504">
            <v>10417.635027190005</v>
          </cell>
          <cell r="H1504">
            <v>2399</v>
          </cell>
          <cell r="I1504">
            <v>10417.635027190005</v>
          </cell>
        </row>
        <row r="1505">
          <cell r="B1505">
            <v>2400</v>
          </cell>
          <cell r="C1505">
            <v>2208.7768925300002</v>
          </cell>
          <cell r="E1505">
            <v>2400</v>
          </cell>
          <cell r="F1505">
            <v>4724.3392940500007</v>
          </cell>
          <cell r="H1505">
            <v>2400</v>
          </cell>
          <cell r="I1505">
            <v>4724.3392940500007</v>
          </cell>
        </row>
        <row r="1506">
          <cell r="B1506">
            <v>2401</v>
          </cell>
          <cell r="C1506">
            <v>1061.1675697400001</v>
          </cell>
          <cell r="E1506">
            <v>2401</v>
          </cell>
          <cell r="F1506">
            <v>2130.2082578900004</v>
          </cell>
          <cell r="H1506">
            <v>2401</v>
          </cell>
          <cell r="I1506">
            <v>2130.2082578900004</v>
          </cell>
        </row>
        <row r="1507">
          <cell r="B1507">
            <v>2402</v>
          </cell>
          <cell r="C1507">
            <v>606.73616389999995</v>
          </cell>
          <cell r="E1507">
            <v>2402</v>
          </cell>
          <cell r="F1507">
            <v>1129.3069022899997</v>
          </cell>
          <cell r="H1507">
            <v>2402</v>
          </cell>
          <cell r="I1507">
            <v>1129.3069022899997</v>
          </cell>
        </row>
        <row r="1508">
          <cell r="B1508">
            <v>2403</v>
          </cell>
          <cell r="C1508">
            <v>11934.369621620001</v>
          </cell>
          <cell r="E1508">
            <v>2403</v>
          </cell>
          <cell r="F1508">
            <v>26020.659000469997</v>
          </cell>
          <cell r="H1508">
            <v>2403</v>
          </cell>
          <cell r="I1508">
            <v>26020.659000469997</v>
          </cell>
        </row>
        <row r="1509">
          <cell r="B1509">
            <v>2404</v>
          </cell>
          <cell r="C1509">
            <v>1576.0016163500004</v>
          </cell>
          <cell r="E1509">
            <v>2404</v>
          </cell>
          <cell r="F1509">
            <v>3245.5813898999991</v>
          </cell>
          <cell r="H1509">
            <v>2404</v>
          </cell>
          <cell r="I1509">
            <v>3245.5813898999991</v>
          </cell>
        </row>
        <row r="1510">
          <cell r="B1510">
            <v>2405</v>
          </cell>
          <cell r="C1510">
            <v>1148.3417290600003</v>
          </cell>
          <cell r="E1510">
            <v>2405</v>
          </cell>
          <cell r="F1510">
            <v>2549.9407013700002</v>
          </cell>
          <cell r="H1510">
            <v>2405</v>
          </cell>
          <cell r="I1510">
            <v>2549.9407013700002</v>
          </cell>
        </row>
        <row r="1511">
          <cell r="B1511">
            <v>2406</v>
          </cell>
          <cell r="C1511">
            <v>1265.4011845299997</v>
          </cell>
          <cell r="E1511">
            <v>2406</v>
          </cell>
          <cell r="F1511">
            <v>2559.4511900399993</v>
          </cell>
          <cell r="H1511">
            <v>2406</v>
          </cell>
          <cell r="I1511">
            <v>2559.4511900399993</v>
          </cell>
        </row>
        <row r="1512">
          <cell r="B1512">
            <v>2407</v>
          </cell>
          <cell r="C1512">
            <v>1903.5418515199999</v>
          </cell>
          <cell r="E1512">
            <v>2407</v>
          </cell>
          <cell r="F1512">
            <v>3868.0280655099996</v>
          </cell>
          <cell r="H1512">
            <v>2407</v>
          </cell>
          <cell r="I1512">
            <v>3868.0280655099996</v>
          </cell>
        </row>
        <row r="1513">
          <cell r="B1513">
            <v>2408</v>
          </cell>
          <cell r="C1513">
            <v>1527.8184003199997</v>
          </cell>
          <cell r="E1513">
            <v>2408</v>
          </cell>
          <cell r="F1513">
            <v>2928.0481710900003</v>
          </cell>
          <cell r="H1513">
            <v>2408</v>
          </cell>
          <cell r="I1513">
            <v>2928.0481710900003</v>
          </cell>
        </row>
        <row r="1514">
          <cell r="B1514">
            <v>2409</v>
          </cell>
          <cell r="C1514">
            <v>750.11320884999998</v>
          </cell>
          <cell r="E1514">
            <v>2409</v>
          </cell>
          <cell r="F1514">
            <v>1730.87567083</v>
          </cell>
          <cell r="H1514">
            <v>2409</v>
          </cell>
          <cell r="I1514">
            <v>1730.87567083</v>
          </cell>
        </row>
        <row r="1515">
          <cell r="B1515">
            <v>2410</v>
          </cell>
          <cell r="C1515">
            <v>3671.9782235699995</v>
          </cell>
          <cell r="E1515">
            <v>2410</v>
          </cell>
          <cell r="F1515">
            <v>7624.8148290300014</v>
          </cell>
          <cell r="H1515">
            <v>2410</v>
          </cell>
          <cell r="I1515">
            <v>7624.8148290300014</v>
          </cell>
        </row>
        <row r="1516">
          <cell r="B1516">
            <v>2411</v>
          </cell>
          <cell r="C1516">
            <v>1694.28586681</v>
          </cell>
          <cell r="E1516">
            <v>2411</v>
          </cell>
          <cell r="F1516">
            <v>3488.14225803</v>
          </cell>
          <cell r="H1516">
            <v>2411</v>
          </cell>
          <cell r="I1516">
            <v>3488.14225803</v>
          </cell>
        </row>
        <row r="1517">
          <cell r="B1517">
            <v>2412</v>
          </cell>
          <cell r="C1517">
            <v>1108.9784740300001</v>
          </cell>
          <cell r="E1517">
            <v>2412</v>
          </cell>
          <cell r="F1517">
            <v>2312.2122393600007</v>
          </cell>
          <cell r="H1517">
            <v>2412</v>
          </cell>
          <cell r="I1517">
            <v>2312.2122393600007</v>
          </cell>
        </row>
        <row r="1518">
          <cell r="B1518">
            <v>2413</v>
          </cell>
          <cell r="C1518">
            <v>2255.4060526000003</v>
          </cell>
          <cell r="E1518">
            <v>2413</v>
          </cell>
          <cell r="F1518">
            <v>4525.1855323600003</v>
          </cell>
          <cell r="H1518">
            <v>2413</v>
          </cell>
          <cell r="I1518">
            <v>4525.1855323600003</v>
          </cell>
        </row>
        <row r="1519">
          <cell r="B1519">
            <v>2414</v>
          </cell>
          <cell r="C1519">
            <v>2354.7025738299994</v>
          </cell>
          <cell r="E1519">
            <v>2414</v>
          </cell>
          <cell r="F1519">
            <v>4690.2620749900007</v>
          </cell>
          <cell r="H1519">
            <v>2414</v>
          </cell>
          <cell r="I1519">
            <v>4690.2620749900007</v>
          </cell>
        </row>
        <row r="1520">
          <cell r="B1520">
            <v>2415</v>
          </cell>
          <cell r="C1520">
            <v>1273.58308605</v>
          </cell>
          <cell r="E1520">
            <v>2415</v>
          </cell>
          <cell r="F1520">
            <v>2842.7179815099989</v>
          </cell>
          <cell r="H1520">
            <v>2415</v>
          </cell>
          <cell r="I1520">
            <v>2842.7179815099989</v>
          </cell>
        </row>
        <row r="1521">
          <cell r="B1521">
            <v>2416</v>
          </cell>
          <cell r="C1521">
            <v>691.08380674000011</v>
          </cell>
          <cell r="E1521">
            <v>2416</v>
          </cell>
          <cell r="F1521">
            <v>1575.3960679800002</v>
          </cell>
          <cell r="H1521">
            <v>2416</v>
          </cell>
          <cell r="I1521">
            <v>1575.3960679800002</v>
          </cell>
        </row>
        <row r="1522">
          <cell r="B1522">
            <v>2417</v>
          </cell>
          <cell r="C1522">
            <v>1452.11165557</v>
          </cell>
          <cell r="E1522">
            <v>2417</v>
          </cell>
          <cell r="F1522">
            <v>4058.9031998700011</v>
          </cell>
          <cell r="H1522">
            <v>2417</v>
          </cell>
          <cell r="I1522">
            <v>4058.9031998700011</v>
          </cell>
        </row>
        <row r="1523">
          <cell r="B1523">
            <v>2418</v>
          </cell>
          <cell r="C1523">
            <v>2805.59512498</v>
          </cell>
          <cell r="E1523">
            <v>2418</v>
          </cell>
          <cell r="F1523">
            <v>5809.7478469599982</v>
          </cell>
          <cell r="H1523">
            <v>2418</v>
          </cell>
          <cell r="I1523">
            <v>5809.7478469599982</v>
          </cell>
        </row>
        <row r="1524">
          <cell r="B1524">
            <v>2419</v>
          </cell>
          <cell r="C1524">
            <v>1369.2522392900003</v>
          </cell>
          <cell r="E1524">
            <v>2419</v>
          </cell>
          <cell r="F1524">
            <v>2788.47457282</v>
          </cell>
          <cell r="H1524">
            <v>2419</v>
          </cell>
          <cell r="I1524">
            <v>2788.47457282</v>
          </cell>
        </row>
        <row r="1525">
          <cell r="B1525">
            <v>2420</v>
          </cell>
          <cell r="C1525">
            <v>1675.4972885600002</v>
          </cell>
          <cell r="E1525">
            <v>2420</v>
          </cell>
          <cell r="F1525">
            <v>3479.8432735299994</v>
          </cell>
          <cell r="H1525">
            <v>2420</v>
          </cell>
          <cell r="I1525">
            <v>3479.8432735299994</v>
          </cell>
        </row>
        <row r="1526">
          <cell r="B1526">
            <v>2421</v>
          </cell>
          <cell r="C1526">
            <v>2488.2580607999998</v>
          </cell>
          <cell r="E1526">
            <v>2421</v>
          </cell>
          <cell r="F1526">
            <v>4432.4862253999991</v>
          </cell>
          <cell r="H1526">
            <v>2421</v>
          </cell>
          <cell r="I1526">
            <v>4432.4862253999991</v>
          </cell>
        </row>
        <row r="1527">
          <cell r="B1527">
            <v>2422</v>
          </cell>
          <cell r="C1527">
            <v>465.51855719000002</v>
          </cell>
          <cell r="E1527">
            <v>2422</v>
          </cell>
          <cell r="F1527">
            <v>1048.3492610999999</v>
          </cell>
          <cell r="H1527">
            <v>2422</v>
          </cell>
          <cell r="I1527">
            <v>1048.3492610999999</v>
          </cell>
        </row>
        <row r="1528">
          <cell r="B1528">
            <v>2423</v>
          </cell>
          <cell r="C1528">
            <v>1065.2219476600003</v>
          </cell>
          <cell r="E1528">
            <v>2423</v>
          </cell>
          <cell r="F1528">
            <v>2183.2913641200007</v>
          </cell>
          <cell r="H1528">
            <v>2423</v>
          </cell>
          <cell r="I1528">
            <v>2183.2913641200007</v>
          </cell>
        </row>
        <row r="1529">
          <cell r="B1529">
            <v>2424</v>
          </cell>
          <cell r="C1529">
            <v>2581.7693236999999</v>
          </cell>
          <cell r="E1529">
            <v>2424</v>
          </cell>
          <cell r="F1529">
            <v>5663.1531303399997</v>
          </cell>
          <cell r="H1529">
            <v>2424</v>
          </cell>
          <cell r="I1529">
            <v>5663.1531303399997</v>
          </cell>
        </row>
        <row r="1530">
          <cell r="B1530">
            <v>2425</v>
          </cell>
          <cell r="C1530">
            <v>1196.8837485799997</v>
          </cell>
          <cell r="E1530">
            <v>2425</v>
          </cell>
          <cell r="F1530">
            <v>2449.6831250099995</v>
          </cell>
          <cell r="H1530">
            <v>2425</v>
          </cell>
          <cell r="I1530">
            <v>2449.6831250099995</v>
          </cell>
        </row>
        <row r="1531">
          <cell r="B1531">
            <v>2426</v>
          </cell>
          <cell r="C1531">
            <v>1806.1623199699995</v>
          </cell>
          <cell r="E1531">
            <v>2426</v>
          </cell>
          <cell r="F1531">
            <v>3772.2008181800011</v>
          </cell>
          <cell r="H1531">
            <v>2426</v>
          </cell>
          <cell r="I1531">
            <v>3772.2008181800011</v>
          </cell>
        </row>
        <row r="1532">
          <cell r="B1532">
            <v>2427</v>
          </cell>
          <cell r="C1532">
            <v>1803.8659021699998</v>
          </cell>
          <cell r="E1532">
            <v>2427</v>
          </cell>
          <cell r="F1532">
            <v>3710.4132192199986</v>
          </cell>
          <cell r="H1532">
            <v>2427</v>
          </cell>
          <cell r="I1532">
            <v>3710.4132192199986</v>
          </cell>
        </row>
        <row r="1533">
          <cell r="B1533">
            <v>2428</v>
          </cell>
          <cell r="C1533">
            <v>3241.4987997300004</v>
          </cell>
          <cell r="E1533">
            <v>2428</v>
          </cell>
          <cell r="F1533">
            <v>6051.401065609999</v>
          </cell>
          <cell r="H1533">
            <v>2428</v>
          </cell>
          <cell r="I1533">
            <v>6051.401065609999</v>
          </cell>
        </row>
        <row r="1534">
          <cell r="B1534">
            <v>2429</v>
          </cell>
          <cell r="C1534">
            <v>1559.5111186599997</v>
          </cell>
          <cell r="E1534">
            <v>2429</v>
          </cell>
          <cell r="F1534">
            <v>3363.3819800799984</v>
          </cell>
          <cell r="H1534">
            <v>2429</v>
          </cell>
          <cell r="I1534">
            <v>3363.3819800799984</v>
          </cell>
        </row>
        <row r="1535">
          <cell r="B1535">
            <v>2430</v>
          </cell>
          <cell r="C1535">
            <v>3849.7389631700003</v>
          </cell>
          <cell r="E1535">
            <v>2430</v>
          </cell>
          <cell r="F1535">
            <v>7887.9098216500015</v>
          </cell>
          <cell r="H1535">
            <v>2430</v>
          </cell>
          <cell r="I1535">
            <v>7887.9098216500015</v>
          </cell>
        </row>
        <row r="1536">
          <cell r="B1536">
            <v>2431</v>
          </cell>
          <cell r="C1536">
            <v>2337.7756535099998</v>
          </cell>
          <cell r="E1536">
            <v>2431</v>
          </cell>
          <cell r="F1536">
            <v>5166.1469446300007</v>
          </cell>
          <cell r="H1536">
            <v>2431</v>
          </cell>
          <cell r="I1536">
            <v>5166.1469446300007</v>
          </cell>
        </row>
        <row r="1537">
          <cell r="B1537">
            <v>2432</v>
          </cell>
          <cell r="C1537">
            <v>10896.790599530004</v>
          </cell>
          <cell r="E1537">
            <v>2432</v>
          </cell>
          <cell r="F1537">
            <v>25201.057073169995</v>
          </cell>
          <cell r="H1537">
            <v>2432</v>
          </cell>
          <cell r="I1537">
            <v>25201.057073169995</v>
          </cell>
        </row>
        <row r="1538">
          <cell r="B1538">
            <v>2433</v>
          </cell>
          <cell r="C1538">
            <v>10079.451440819998</v>
          </cell>
          <cell r="E1538">
            <v>2433</v>
          </cell>
          <cell r="F1538">
            <v>16041.12588487</v>
          </cell>
          <cell r="H1538">
            <v>2433</v>
          </cell>
          <cell r="I1538">
            <v>16041.12588487</v>
          </cell>
        </row>
        <row r="1539">
          <cell r="B1539">
            <v>2434</v>
          </cell>
          <cell r="C1539">
            <v>877.27702236000027</v>
          </cell>
          <cell r="E1539">
            <v>2434</v>
          </cell>
          <cell r="F1539">
            <v>1824.9025726599991</v>
          </cell>
          <cell r="H1539">
            <v>2434</v>
          </cell>
          <cell r="I1539">
            <v>1824.9025726599991</v>
          </cell>
        </row>
        <row r="1540">
          <cell r="B1540">
            <v>2435</v>
          </cell>
          <cell r="C1540">
            <v>189.58647376000002</v>
          </cell>
          <cell r="E1540">
            <v>2435</v>
          </cell>
          <cell r="F1540">
            <v>360.47062455000008</v>
          </cell>
          <cell r="H1540">
            <v>2435</v>
          </cell>
          <cell r="I1540">
            <v>360.47062455000008</v>
          </cell>
        </row>
        <row r="1541">
          <cell r="B1541">
            <v>2436</v>
          </cell>
          <cell r="C1541">
            <v>1029.6728021699996</v>
          </cell>
          <cell r="E1541">
            <v>2436</v>
          </cell>
          <cell r="F1541">
            <v>2026.0960104899996</v>
          </cell>
          <cell r="H1541">
            <v>2436</v>
          </cell>
          <cell r="I1541">
            <v>2026.0960104899996</v>
          </cell>
        </row>
        <row r="1542">
          <cell r="B1542">
            <v>2437</v>
          </cell>
          <cell r="C1542">
            <v>1061.6611454400004</v>
          </cell>
          <cell r="E1542">
            <v>2437</v>
          </cell>
          <cell r="F1542">
            <v>2121.39316727</v>
          </cell>
          <cell r="H1542">
            <v>2437</v>
          </cell>
          <cell r="I1542">
            <v>2121.39316727</v>
          </cell>
        </row>
        <row r="1543">
          <cell r="B1543">
            <v>2438</v>
          </cell>
          <cell r="C1543">
            <v>224.70296078000001</v>
          </cell>
          <cell r="E1543">
            <v>2438</v>
          </cell>
          <cell r="F1543">
            <v>501.43905907000021</v>
          </cell>
          <cell r="H1543">
            <v>2438</v>
          </cell>
          <cell r="I1543">
            <v>501.43905907000021</v>
          </cell>
        </row>
        <row r="1544">
          <cell r="B1544">
            <v>2439</v>
          </cell>
          <cell r="C1544">
            <v>1160.5128063299996</v>
          </cell>
          <cell r="E1544">
            <v>2439</v>
          </cell>
          <cell r="F1544">
            <v>1801.5608720500006</v>
          </cell>
          <cell r="H1544">
            <v>2439</v>
          </cell>
          <cell r="I1544">
            <v>1801.5608720500006</v>
          </cell>
        </row>
        <row r="1545">
          <cell r="B1545">
            <v>2440</v>
          </cell>
          <cell r="C1545">
            <v>1478.6942763900001</v>
          </cell>
          <cell r="E1545">
            <v>2440</v>
          </cell>
          <cell r="F1545">
            <v>2811.3300167999996</v>
          </cell>
          <cell r="H1545">
            <v>2440</v>
          </cell>
          <cell r="I1545">
            <v>2811.3300167999996</v>
          </cell>
        </row>
        <row r="1546">
          <cell r="B1546">
            <v>2441</v>
          </cell>
          <cell r="C1546">
            <v>18393.039679470006</v>
          </cell>
          <cell r="E1546">
            <v>2441</v>
          </cell>
          <cell r="F1546">
            <v>38118.277098789993</v>
          </cell>
          <cell r="H1546">
            <v>2441</v>
          </cell>
          <cell r="I1546">
            <v>38118.277098789993</v>
          </cell>
        </row>
        <row r="1547">
          <cell r="B1547">
            <v>2442</v>
          </cell>
          <cell r="C1547">
            <v>11578.114928469997</v>
          </cell>
          <cell r="E1547">
            <v>2442</v>
          </cell>
          <cell r="F1547">
            <v>24658.507962989999</v>
          </cell>
          <cell r="H1547">
            <v>2442</v>
          </cell>
          <cell r="I1547">
            <v>24658.507962989999</v>
          </cell>
        </row>
        <row r="1548">
          <cell r="B1548">
            <v>2443</v>
          </cell>
          <cell r="C1548">
            <v>10249.712122060004</v>
          </cell>
          <cell r="E1548">
            <v>2443</v>
          </cell>
          <cell r="F1548">
            <v>22300.662552270001</v>
          </cell>
          <cell r="H1548">
            <v>2443</v>
          </cell>
          <cell r="I1548">
            <v>22300.662552270001</v>
          </cell>
        </row>
        <row r="1549">
          <cell r="B1549">
            <v>2444</v>
          </cell>
          <cell r="C1549">
            <v>17253.720387130004</v>
          </cell>
          <cell r="E1549">
            <v>2444</v>
          </cell>
          <cell r="F1549">
            <v>36251.511171680009</v>
          </cell>
          <cell r="H1549">
            <v>2444</v>
          </cell>
          <cell r="I1549">
            <v>36251.511171680009</v>
          </cell>
        </row>
        <row r="1550">
          <cell r="B1550">
            <v>2445</v>
          </cell>
          <cell r="C1550">
            <v>11191.347061480001</v>
          </cell>
          <cell r="E1550">
            <v>2445</v>
          </cell>
          <cell r="F1550">
            <v>22520.051135439993</v>
          </cell>
          <cell r="H1550">
            <v>2445</v>
          </cell>
          <cell r="I1550">
            <v>22520.051135439993</v>
          </cell>
        </row>
        <row r="1551">
          <cell r="B1551">
            <v>2446</v>
          </cell>
          <cell r="C1551">
            <v>77382.372182830019</v>
          </cell>
          <cell r="E1551">
            <v>2446</v>
          </cell>
          <cell r="F1551">
            <v>162569.94286847004</v>
          </cell>
          <cell r="H1551">
            <v>2446</v>
          </cell>
          <cell r="I1551">
            <v>162569.94286847004</v>
          </cell>
        </row>
        <row r="1552">
          <cell r="B1552">
            <v>2447</v>
          </cell>
          <cell r="C1552">
            <v>11875.438518460001</v>
          </cell>
          <cell r="E1552">
            <v>2447</v>
          </cell>
          <cell r="F1552">
            <v>24777.366803230001</v>
          </cell>
          <cell r="H1552">
            <v>2447</v>
          </cell>
          <cell r="I1552">
            <v>24777.366803230001</v>
          </cell>
        </row>
        <row r="1553">
          <cell r="B1553">
            <v>2448</v>
          </cell>
          <cell r="C1553">
            <v>1201.3014097200003</v>
          </cell>
          <cell r="E1553">
            <v>2448</v>
          </cell>
          <cell r="F1553">
            <v>2667.7075947999992</v>
          </cell>
          <cell r="H1553">
            <v>2448</v>
          </cell>
          <cell r="I1553">
            <v>2667.7075947999992</v>
          </cell>
        </row>
        <row r="1554">
          <cell r="B1554">
            <v>2449</v>
          </cell>
          <cell r="C1554">
            <v>823.47320371000023</v>
          </cell>
          <cell r="E1554">
            <v>2449</v>
          </cell>
          <cell r="F1554">
            <v>1375.3180205899998</v>
          </cell>
          <cell r="H1554">
            <v>2449</v>
          </cell>
          <cell r="I1554">
            <v>1375.3180205899998</v>
          </cell>
        </row>
        <row r="1555">
          <cell r="B1555">
            <v>2450</v>
          </cell>
          <cell r="C1555">
            <v>437.33235767999997</v>
          </cell>
          <cell r="E1555">
            <v>2450</v>
          </cell>
          <cell r="F1555">
            <v>840.46698573000026</v>
          </cell>
          <cell r="H1555">
            <v>2450</v>
          </cell>
          <cell r="I1555">
            <v>840.46698573000026</v>
          </cell>
        </row>
        <row r="1556">
          <cell r="B1556">
            <v>2451</v>
          </cell>
          <cell r="C1556">
            <v>616.52266528000018</v>
          </cell>
          <cell r="E1556">
            <v>2451</v>
          </cell>
          <cell r="F1556">
            <v>1162.0379660599997</v>
          </cell>
          <cell r="H1556">
            <v>2451</v>
          </cell>
          <cell r="I1556">
            <v>1162.0379660599997</v>
          </cell>
        </row>
        <row r="1557">
          <cell r="B1557">
            <v>2452</v>
          </cell>
          <cell r="C1557">
            <v>1143.3458311100001</v>
          </cell>
          <cell r="E1557">
            <v>2452</v>
          </cell>
          <cell r="F1557">
            <v>2179.8725183899996</v>
          </cell>
          <cell r="H1557">
            <v>2452</v>
          </cell>
          <cell r="I1557">
            <v>2179.8725183899996</v>
          </cell>
        </row>
        <row r="1558">
          <cell r="B1558">
            <v>2453</v>
          </cell>
          <cell r="C1558">
            <v>2611.7808553699997</v>
          </cell>
          <cell r="E1558">
            <v>2453</v>
          </cell>
          <cell r="F1558">
            <v>4821.1940699899997</v>
          </cell>
          <cell r="H1558">
            <v>2453</v>
          </cell>
          <cell r="I1558">
            <v>4821.1940699899997</v>
          </cell>
        </row>
        <row r="1559">
          <cell r="B1559">
            <v>2454</v>
          </cell>
          <cell r="C1559">
            <v>164.19285520000005</v>
          </cell>
          <cell r="E1559">
            <v>2454</v>
          </cell>
          <cell r="F1559">
            <v>299.91076926</v>
          </cell>
          <cell r="H1559">
            <v>2454</v>
          </cell>
          <cell r="I1559">
            <v>299.91076926</v>
          </cell>
        </row>
        <row r="1560">
          <cell r="B1560">
            <v>2455</v>
          </cell>
          <cell r="C1560">
            <v>706.76016045000006</v>
          </cell>
          <cell r="E1560">
            <v>2455</v>
          </cell>
          <cell r="F1560">
            <v>2002.0372960800003</v>
          </cell>
          <cell r="H1560">
            <v>2455</v>
          </cell>
          <cell r="I1560">
            <v>2002.0372960800003</v>
          </cell>
        </row>
        <row r="1561">
          <cell r="B1561">
            <v>2456</v>
          </cell>
          <cell r="C1561">
            <v>1349.8347337499999</v>
          </cell>
          <cell r="E1561">
            <v>2456</v>
          </cell>
          <cell r="F1561">
            <v>2781.1038552800005</v>
          </cell>
          <cell r="H1561">
            <v>2456</v>
          </cell>
          <cell r="I1561">
            <v>2781.1038552800005</v>
          </cell>
        </row>
        <row r="1562">
          <cell r="B1562">
            <v>2457</v>
          </cell>
          <cell r="C1562">
            <v>1000.62955404</v>
          </cell>
          <cell r="E1562">
            <v>2457</v>
          </cell>
          <cell r="F1562">
            <v>2050.7730381599999</v>
          </cell>
          <cell r="H1562">
            <v>2457</v>
          </cell>
          <cell r="I1562">
            <v>2050.7730381599999</v>
          </cell>
        </row>
        <row r="1563">
          <cell r="B1563">
            <v>2458</v>
          </cell>
          <cell r="C1563">
            <v>86.751768649999988</v>
          </cell>
          <cell r="E1563">
            <v>2458</v>
          </cell>
          <cell r="F1563">
            <v>209.00730696000002</v>
          </cell>
          <cell r="H1563">
            <v>2458</v>
          </cell>
          <cell r="I1563">
            <v>209.00730696000002</v>
          </cell>
        </row>
        <row r="1564">
          <cell r="B1564">
            <v>2459</v>
          </cell>
          <cell r="C1564">
            <v>426.00878571000004</v>
          </cell>
          <cell r="E1564">
            <v>2459</v>
          </cell>
          <cell r="F1564">
            <v>1247.4653988600001</v>
          </cell>
          <cell r="H1564">
            <v>2459</v>
          </cell>
          <cell r="I1564">
            <v>1247.4653988600001</v>
          </cell>
        </row>
        <row r="1565">
          <cell r="B1565">
            <v>2460</v>
          </cell>
          <cell r="C1565">
            <v>1662.4885341000004</v>
          </cell>
          <cell r="E1565">
            <v>2460</v>
          </cell>
          <cell r="F1565">
            <v>2862.6728045500004</v>
          </cell>
          <cell r="H1565">
            <v>2460</v>
          </cell>
          <cell r="I1565">
            <v>2862.6728045500004</v>
          </cell>
        </row>
        <row r="1566">
          <cell r="B1566">
            <v>2461</v>
          </cell>
          <cell r="C1566">
            <v>384.43906501000004</v>
          </cell>
          <cell r="E1566">
            <v>2461</v>
          </cell>
          <cell r="F1566">
            <v>753.8529347399998</v>
          </cell>
          <cell r="H1566">
            <v>2461</v>
          </cell>
          <cell r="I1566">
            <v>753.8529347399998</v>
          </cell>
        </row>
        <row r="1567">
          <cell r="B1567">
            <v>2463</v>
          </cell>
          <cell r="C1567">
            <v>769.47919862000003</v>
          </cell>
          <cell r="E1567">
            <v>2463</v>
          </cell>
          <cell r="F1567">
            <v>1320.2260451900001</v>
          </cell>
          <cell r="H1567">
            <v>2463</v>
          </cell>
          <cell r="I1567">
            <v>1320.2260451900001</v>
          </cell>
        </row>
        <row r="1568">
          <cell r="B1568">
            <v>2464</v>
          </cell>
          <cell r="C1568">
            <v>603.98294321000003</v>
          </cell>
          <cell r="E1568">
            <v>2464</v>
          </cell>
          <cell r="F1568">
            <v>1013.0735941800002</v>
          </cell>
          <cell r="H1568">
            <v>2464</v>
          </cell>
          <cell r="I1568">
            <v>1013.0735941800002</v>
          </cell>
        </row>
        <row r="1569">
          <cell r="B1569">
            <v>2465</v>
          </cell>
          <cell r="C1569">
            <v>627.07329037999989</v>
          </cell>
          <cell r="E1569">
            <v>2465</v>
          </cell>
          <cell r="F1569">
            <v>1084.7655752999997</v>
          </cell>
          <cell r="H1569">
            <v>2465</v>
          </cell>
          <cell r="I1569">
            <v>1084.7655752999997</v>
          </cell>
        </row>
        <row r="1570">
          <cell r="B1570">
            <v>2466</v>
          </cell>
          <cell r="C1570">
            <v>1349.4932449400001</v>
          </cell>
          <cell r="E1570">
            <v>2466</v>
          </cell>
          <cell r="F1570">
            <v>3365.1695813300016</v>
          </cell>
          <cell r="H1570">
            <v>2466</v>
          </cell>
          <cell r="I1570">
            <v>3365.1695813300016</v>
          </cell>
        </row>
        <row r="1571">
          <cell r="B1571">
            <v>2467</v>
          </cell>
          <cell r="C1571">
            <v>275.43923856000004</v>
          </cell>
          <cell r="E1571">
            <v>2467</v>
          </cell>
          <cell r="F1571">
            <v>418.98513152000027</v>
          </cell>
          <cell r="H1571">
            <v>2467</v>
          </cell>
          <cell r="I1571">
            <v>418.98513152000027</v>
          </cell>
        </row>
        <row r="1572">
          <cell r="B1572">
            <v>2468</v>
          </cell>
          <cell r="C1572">
            <v>250.89938235000002</v>
          </cell>
          <cell r="E1572">
            <v>2468</v>
          </cell>
          <cell r="F1572">
            <v>349.64458167000009</v>
          </cell>
          <cell r="H1572">
            <v>2468</v>
          </cell>
          <cell r="I1572">
            <v>349.64458167000009</v>
          </cell>
        </row>
        <row r="1573">
          <cell r="B1573">
            <v>2469</v>
          </cell>
          <cell r="C1573">
            <v>89.253695369999988</v>
          </cell>
          <cell r="E1573">
            <v>2469</v>
          </cell>
          <cell r="F1573">
            <v>138.22961863999998</v>
          </cell>
          <cell r="H1573">
            <v>2469</v>
          </cell>
          <cell r="I1573">
            <v>138.22961863999998</v>
          </cell>
        </row>
        <row r="1574">
          <cell r="B1574">
            <v>2470</v>
          </cell>
          <cell r="C1574">
            <v>180.59511048999997</v>
          </cell>
          <cell r="E1574">
            <v>2470</v>
          </cell>
          <cell r="F1574">
            <v>292.40768642</v>
          </cell>
          <cell r="H1574">
            <v>2470</v>
          </cell>
          <cell r="I1574">
            <v>292.40768642</v>
          </cell>
        </row>
        <row r="1575">
          <cell r="B1575">
            <v>2471</v>
          </cell>
          <cell r="C1575">
            <v>291.92750933999992</v>
          </cell>
          <cell r="E1575">
            <v>2471</v>
          </cell>
          <cell r="F1575">
            <v>462.28237669999987</v>
          </cell>
          <cell r="H1575">
            <v>2471</v>
          </cell>
          <cell r="I1575">
            <v>462.28237669999987</v>
          </cell>
        </row>
        <row r="1576">
          <cell r="B1576">
            <v>2472</v>
          </cell>
          <cell r="C1576">
            <v>1312.3695069</v>
          </cell>
          <cell r="E1576">
            <v>2472</v>
          </cell>
          <cell r="F1576">
            <v>2703.2398706500003</v>
          </cell>
          <cell r="H1576">
            <v>2472</v>
          </cell>
          <cell r="I1576">
            <v>2703.2398706500003</v>
          </cell>
        </row>
        <row r="1577">
          <cell r="B1577">
            <v>2473</v>
          </cell>
          <cell r="C1577">
            <v>52.728327999999998</v>
          </cell>
          <cell r="E1577">
            <v>2473</v>
          </cell>
          <cell r="F1577">
            <v>65.101196999999999</v>
          </cell>
          <cell r="H1577">
            <v>2473</v>
          </cell>
          <cell r="I1577">
            <v>65.101196999999999</v>
          </cell>
        </row>
        <row r="1578">
          <cell r="B1578">
            <v>2474</v>
          </cell>
          <cell r="C1578">
            <v>14.378831040000003</v>
          </cell>
          <cell r="E1578">
            <v>2474</v>
          </cell>
          <cell r="F1578">
            <v>16.482216300000005</v>
          </cell>
          <cell r="H1578">
            <v>2474</v>
          </cell>
          <cell r="I1578">
            <v>16.482216300000005</v>
          </cell>
        </row>
        <row r="1579">
          <cell r="B1579">
            <v>2475</v>
          </cell>
          <cell r="C1579">
            <v>588.5536321699999</v>
          </cell>
          <cell r="E1579">
            <v>2475</v>
          </cell>
          <cell r="F1579">
            <v>1124.6318558500002</v>
          </cell>
          <cell r="H1579">
            <v>2475</v>
          </cell>
          <cell r="I1579">
            <v>1124.6318558500002</v>
          </cell>
        </row>
        <row r="1580">
          <cell r="B1580">
            <v>2476</v>
          </cell>
          <cell r="C1580">
            <v>899.16177314999959</v>
          </cell>
          <cell r="E1580">
            <v>2476</v>
          </cell>
          <cell r="F1580">
            <v>1229.5875116299992</v>
          </cell>
          <cell r="H1580">
            <v>2476</v>
          </cell>
          <cell r="I1580">
            <v>1229.5875116299992</v>
          </cell>
        </row>
        <row r="1581">
          <cell r="B1581">
            <v>2477</v>
          </cell>
          <cell r="C1581">
            <v>242.19935809999998</v>
          </cell>
          <cell r="E1581">
            <v>2477</v>
          </cell>
          <cell r="F1581">
            <v>267.82105410000003</v>
          </cell>
          <cell r="H1581">
            <v>2477</v>
          </cell>
          <cell r="I1581">
            <v>267.82105410000003</v>
          </cell>
        </row>
        <row r="1582">
          <cell r="B1582">
            <v>2478</v>
          </cell>
          <cell r="C1582">
            <v>828.35276348000002</v>
          </cell>
          <cell r="E1582">
            <v>2478</v>
          </cell>
          <cell r="F1582">
            <v>839.02926348000005</v>
          </cell>
          <cell r="H1582">
            <v>2478</v>
          </cell>
          <cell r="I1582">
            <v>839.02926348000005</v>
          </cell>
        </row>
        <row r="1583">
          <cell r="B1583">
            <v>2480</v>
          </cell>
          <cell r="C1583">
            <v>2.8E-3</v>
          </cell>
          <cell r="E1583">
            <v>2480</v>
          </cell>
          <cell r="F1583">
            <v>5.8999999999999999E-3</v>
          </cell>
          <cell r="H1583">
            <v>2480</v>
          </cell>
          <cell r="I1583">
            <v>5.8999999999999999E-3</v>
          </cell>
        </row>
        <row r="1584">
          <cell r="B1584">
            <v>2481</v>
          </cell>
          <cell r="C1584">
            <v>1.4E-2</v>
          </cell>
          <cell r="E1584">
            <v>2481</v>
          </cell>
          <cell r="F1584">
            <v>2.9499999999999998E-2</v>
          </cell>
          <cell r="H1584">
            <v>2481</v>
          </cell>
          <cell r="I1584">
            <v>2.9499999999999998E-2</v>
          </cell>
        </row>
        <row r="1585">
          <cell r="B1585">
            <v>2482</v>
          </cell>
          <cell r="C1585">
            <v>102.68388920000002</v>
          </cell>
          <cell r="E1585">
            <v>2482</v>
          </cell>
          <cell r="F1585">
            <v>117.58294965000002</v>
          </cell>
          <cell r="H1585">
            <v>2482</v>
          </cell>
          <cell r="I1585">
            <v>117.58294965000002</v>
          </cell>
        </row>
        <row r="1586">
          <cell r="B1586">
            <v>2486</v>
          </cell>
          <cell r="C1586">
            <v>645.18845299000009</v>
          </cell>
          <cell r="E1586">
            <v>2486</v>
          </cell>
          <cell r="F1586">
            <v>661.31744785000012</v>
          </cell>
          <cell r="H1586">
            <v>2486</v>
          </cell>
          <cell r="I1586">
            <v>661.31744785000012</v>
          </cell>
        </row>
        <row r="1587">
          <cell r="B1587">
            <v>2487</v>
          </cell>
          <cell r="C1587">
            <v>75.85465852999998</v>
          </cell>
          <cell r="E1587">
            <v>2487</v>
          </cell>
          <cell r="F1587">
            <v>82.205912529999992</v>
          </cell>
          <cell r="H1587">
            <v>2487</v>
          </cell>
          <cell r="I1587">
            <v>82.205912529999992</v>
          </cell>
        </row>
        <row r="1588">
          <cell r="B1588">
            <v>2494</v>
          </cell>
          <cell r="C1588">
            <v>2.8E-3</v>
          </cell>
          <cell r="E1588">
            <v>2494</v>
          </cell>
          <cell r="F1588">
            <v>5.8999999999999999E-3</v>
          </cell>
          <cell r="H1588">
            <v>2494</v>
          </cell>
          <cell r="I1588">
            <v>5.8999999999999999E-3</v>
          </cell>
        </row>
        <row r="1589">
          <cell r="B1589">
            <v>2495</v>
          </cell>
          <cell r="C1589">
            <v>0.7</v>
          </cell>
          <cell r="E1589">
            <v>2495</v>
          </cell>
          <cell r="F1589">
            <v>1.325</v>
          </cell>
          <cell r="H1589">
            <v>2495</v>
          </cell>
          <cell r="I1589">
            <v>1.325</v>
          </cell>
        </row>
        <row r="1590">
          <cell r="B1590">
            <v>2496</v>
          </cell>
          <cell r="C1590">
            <v>177.26615572000003</v>
          </cell>
          <cell r="E1590">
            <v>2496</v>
          </cell>
          <cell r="F1590">
            <v>291.09843971999993</v>
          </cell>
          <cell r="H1590">
            <v>2496</v>
          </cell>
          <cell r="I1590">
            <v>291.09843971999993</v>
          </cell>
        </row>
        <row r="1591">
          <cell r="B1591">
            <v>2497</v>
          </cell>
          <cell r="C1591">
            <v>0</v>
          </cell>
          <cell r="E1591">
            <v>2497</v>
          </cell>
          <cell r="F1591">
            <v>3.5000000000000001E-3</v>
          </cell>
          <cell r="H1591">
            <v>2497</v>
          </cell>
          <cell r="I1591">
            <v>3.5000000000000001E-3</v>
          </cell>
        </row>
        <row r="1592">
          <cell r="B1592">
            <v>2498</v>
          </cell>
          <cell r="C1592">
            <v>0.71338400000000002</v>
          </cell>
          <cell r="E1592">
            <v>2498</v>
          </cell>
          <cell r="F1592">
            <v>1.1346339999999999</v>
          </cell>
          <cell r="H1592">
            <v>2498</v>
          </cell>
          <cell r="I1592">
            <v>1.1346339999999999</v>
          </cell>
        </row>
        <row r="1593">
          <cell r="B1593">
            <v>5000</v>
          </cell>
          <cell r="C1593">
            <v>11796.396757270002</v>
          </cell>
          <cell r="E1593">
            <v>5000</v>
          </cell>
          <cell r="F1593">
            <v>25748.826174440022</v>
          </cell>
          <cell r="H1593">
            <v>5000</v>
          </cell>
          <cell r="I1593">
            <v>25748.826174440022</v>
          </cell>
        </row>
        <row r="1594">
          <cell r="B1594">
            <v>5001</v>
          </cell>
          <cell r="C1594">
            <v>7293.9230439600005</v>
          </cell>
          <cell r="E1594">
            <v>5001</v>
          </cell>
          <cell r="F1594">
            <v>15702.534298679997</v>
          </cell>
          <cell r="H1594">
            <v>5001</v>
          </cell>
          <cell r="I1594">
            <v>15702.534298679997</v>
          </cell>
        </row>
        <row r="1595">
          <cell r="B1595">
            <v>5002</v>
          </cell>
          <cell r="C1595">
            <v>7219.2530646200003</v>
          </cell>
          <cell r="E1595">
            <v>5002</v>
          </cell>
          <cell r="F1595">
            <v>13420.140989610003</v>
          </cell>
          <cell r="H1595">
            <v>5002</v>
          </cell>
          <cell r="I1595">
            <v>13420.140989610003</v>
          </cell>
        </row>
        <row r="1596">
          <cell r="B1596">
            <v>5003</v>
          </cell>
          <cell r="C1596">
            <v>5465.6768095400012</v>
          </cell>
          <cell r="E1596">
            <v>5003</v>
          </cell>
          <cell r="F1596">
            <v>11444.85740587</v>
          </cell>
          <cell r="H1596">
            <v>5003</v>
          </cell>
          <cell r="I1596">
            <v>11444.85740587</v>
          </cell>
        </row>
        <row r="1597">
          <cell r="B1597">
            <v>5004</v>
          </cell>
          <cell r="C1597">
            <v>5371.1455027000011</v>
          </cell>
          <cell r="E1597">
            <v>5004</v>
          </cell>
          <cell r="F1597">
            <v>10732.665603990001</v>
          </cell>
          <cell r="H1597">
            <v>5004</v>
          </cell>
          <cell r="I1597">
            <v>10732.665603990001</v>
          </cell>
        </row>
        <row r="1598">
          <cell r="B1598">
            <v>5005</v>
          </cell>
          <cell r="C1598">
            <v>5438.1030180700018</v>
          </cell>
          <cell r="E1598">
            <v>5005</v>
          </cell>
          <cell r="F1598">
            <v>11859.5507695</v>
          </cell>
          <cell r="H1598">
            <v>5005</v>
          </cell>
          <cell r="I1598">
            <v>11859.5507695</v>
          </cell>
        </row>
        <row r="1599">
          <cell r="B1599">
            <v>5006</v>
          </cell>
          <cell r="C1599">
            <v>17851.134833789987</v>
          </cell>
          <cell r="E1599">
            <v>5006</v>
          </cell>
          <cell r="F1599">
            <v>32806.12809364999</v>
          </cell>
          <cell r="H1599">
            <v>5006</v>
          </cell>
          <cell r="I1599">
            <v>32806.12809364999</v>
          </cell>
        </row>
        <row r="1600">
          <cell r="B1600">
            <v>5007</v>
          </cell>
          <cell r="C1600">
            <v>5190.376944829999</v>
          </cell>
          <cell r="E1600">
            <v>5007</v>
          </cell>
          <cell r="F1600">
            <v>10757.613194809999</v>
          </cell>
          <cell r="H1600">
            <v>5007</v>
          </cell>
          <cell r="I1600">
            <v>10757.613194809999</v>
          </cell>
        </row>
        <row r="1601">
          <cell r="B1601">
            <v>5008</v>
          </cell>
          <cell r="C1601">
            <v>3776.7923499500007</v>
          </cell>
          <cell r="E1601">
            <v>5008</v>
          </cell>
          <cell r="F1601">
            <v>7815.6190656399904</v>
          </cell>
          <cell r="H1601">
            <v>5008</v>
          </cell>
          <cell r="I1601">
            <v>7815.6190656399904</v>
          </cell>
        </row>
        <row r="1602">
          <cell r="B1602">
            <v>5009</v>
          </cell>
          <cell r="C1602">
            <v>23109.692496299987</v>
          </cell>
          <cell r="E1602">
            <v>5009</v>
          </cell>
          <cell r="F1602">
            <v>49907.832654190002</v>
          </cell>
          <cell r="H1602">
            <v>5009</v>
          </cell>
          <cell r="I1602">
            <v>49907.832654190002</v>
          </cell>
        </row>
        <row r="1603">
          <cell r="B1603">
            <v>5010</v>
          </cell>
          <cell r="C1603">
            <v>10018.144298450001</v>
          </cell>
          <cell r="E1603">
            <v>5010</v>
          </cell>
          <cell r="F1603">
            <v>21155.81750414001</v>
          </cell>
          <cell r="H1603">
            <v>5010</v>
          </cell>
          <cell r="I1603">
            <v>21155.81750414001</v>
          </cell>
        </row>
        <row r="1604">
          <cell r="B1604">
            <v>5011</v>
          </cell>
          <cell r="C1604">
            <v>2223.4290219099998</v>
          </cell>
          <cell r="E1604">
            <v>5011</v>
          </cell>
          <cell r="F1604">
            <v>4889.6871826199995</v>
          </cell>
          <cell r="H1604">
            <v>5011</v>
          </cell>
          <cell r="I1604">
            <v>4889.6871826199995</v>
          </cell>
        </row>
        <row r="1605">
          <cell r="B1605">
            <v>5012</v>
          </cell>
          <cell r="C1605">
            <v>19062.200976099997</v>
          </cell>
          <cell r="E1605">
            <v>5012</v>
          </cell>
          <cell r="F1605">
            <v>39493.768704529997</v>
          </cell>
          <cell r="H1605">
            <v>5012</v>
          </cell>
          <cell r="I1605">
            <v>39493.768704529997</v>
          </cell>
        </row>
        <row r="1606">
          <cell r="B1606">
            <v>5013</v>
          </cell>
          <cell r="C1606">
            <v>5200.7455816399988</v>
          </cell>
          <cell r="E1606">
            <v>5013</v>
          </cell>
          <cell r="F1606">
            <v>11666.339033269993</v>
          </cell>
          <cell r="H1606">
            <v>5013</v>
          </cell>
          <cell r="I1606">
            <v>11666.339033269993</v>
          </cell>
        </row>
        <row r="1607">
          <cell r="B1607">
            <v>5014</v>
          </cell>
          <cell r="C1607">
            <v>3529.4547768200009</v>
          </cell>
          <cell r="E1607">
            <v>5014</v>
          </cell>
          <cell r="F1607">
            <v>7417.7884069999991</v>
          </cell>
          <cell r="H1607">
            <v>5014</v>
          </cell>
          <cell r="I1607">
            <v>7417.7884069999991</v>
          </cell>
        </row>
        <row r="1608">
          <cell r="B1608">
            <v>5015</v>
          </cell>
          <cell r="C1608">
            <v>4873.6711761199995</v>
          </cell>
          <cell r="E1608">
            <v>5015</v>
          </cell>
          <cell r="F1608">
            <v>10329.271603939987</v>
          </cell>
          <cell r="H1608">
            <v>5015</v>
          </cell>
          <cell r="I1608">
            <v>10329.271603939987</v>
          </cell>
        </row>
        <row r="1609">
          <cell r="B1609">
            <v>5016</v>
          </cell>
          <cell r="C1609">
            <v>8046.5685728800008</v>
          </cell>
          <cell r="E1609">
            <v>5016</v>
          </cell>
          <cell r="F1609">
            <v>17806.715596959995</v>
          </cell>
          <cell r="H1609">
            <v>5016</v>
          </cell>
          <cell r="I1609">
            <v>17806.715596959995</v>
          </cell>
        </row>
        <row r="1610">
          <cell r="B1610">
            <v>5017</v>
          </cell>
          <cell r="C1610">
            <v>6896.1724721000046</v>
          </cell>
          <cell r="E1610">
            <v>5017</v>
          </cell>
          <cell r="F1610">
            <v>14520.067219280005</v>
          </cell>
          <cell r="H1610">
            <v>5017</v>
          </cell>
          <cell r="I1610">
            <v>14520.067219280005</v>
          </cell>
        </row>
        <row r="1611">
          <cell r="B1611">
            <v>5018</v>
          </cell>
          <cell r="C1611">
            <v>3174.3467091000002</v>
          </cell>
          <cell r="E1611">
            <v>5018</v>
          </cell>
          <cell r="F1611">
            <v>6255.0427836400049</v>
          </cell>
          <cell r="H1611">
            <v>5018</v>
          </cell>
          <cell r="I1611">
            <v>6255.0427836400049</v>
          </cell>
        </row>
        <row r="1612">
          <cell r="B1612">
            <v>5019</v>
          </cell>
          <cell r="C1612">
            <v>2456.5211030599994</v>
          </cell>
          <cell r="E1612">
            <v>5019</v>
          </cell>
          <cell r="F1612">
            <v>5722.2482867300005</v>
          </cell>
          <cell r="H1612">
            <v>5019</v>
          </cell>
          <cell r="I1612">
            <v>5722.2482867300005</v>
          </cell>
        </row>
        <row r="1613">
          <cell r="B1613">
            <v>5020</v>
          </cell>
          <cell r="C1613">
            <v>4332.3410561500014</v>
          </cell>
          <cell r="E1613">
            <v>5020</v>
          </cell>
          <cell r="F1613">
            <v>8675.8503098300025</v>
          </cell>
          <cell r="H1613">
            <v>5020</v>
          </cell>
          <cell r="I1613">
            <v>8675.8503098300025</v>
          </cell>
        </row>
        <row r="1614">
          <cell r="B1614">
            <v>5021</v>
          </cell>
          <cell r="C1614">
            <v>2946.0388139000002</v>
          </cell>
          <cell r="E1614">
            <v>5021</v>
          </cell>
          <cell r="F1614">
            <v>5957.7782690100003</v>
          </cell>
          <cell r="H1614">
            <v>5021</v>
          </cell>
          <cell r="I1614">
            <v>5957.7782690100003</v>
          </cell>
        </row>
        <row r="1615">
          <cell r="B1615">
            <v>5022</v>
          </cell>
          <cell r="C1615">
            <v>9562.4763258099993</v>
          </cell>
          <cell r="E1615">
            <v>5022</v>
          </cell>
          <cell r="F1615">
            <v>20576.978699129999</v>
          </cell>
          <cell r="H1615">
            <v>5022</v>
          </cell>
          <cell r="I1615">
            <v>20576.978699129999</v>
          </cell>
        </row>
        <row r="1616">
          <cell r="B1616">
            <v>5023</v>
          </cell>
          <cell r="C1616">
            <v>6528.7572857600026</v>
          </cell>
          <cell r="E1616">
            <v>5023</v>
          </cell>
          <cell r="F1616">
            <v>13328.245818730004</v>
          </cell>
          <cell r="H1616">
            <v>5023</v>
          </cell>
          <cell r="I1616">
            <v>13328.245818730004</v>
          </cell>
        </row>
        <row r="1617">
          <cell r="B1617">
            <v>5024</v>
          </cell>
          <cell r="C1617">
            <v>13783.527465199997</v>
          </cell>
          <cell r="E1617">
            <v>5024</v>
          </cell>
          <cell r="F1617">
            <v>30465.934188809999</v>
          </cell>
          <cell r="H1617">
            <v>5024</v>
          </cell>
          <cell r="I1617">
            <v>30465.934188809999</v>
          </cell>
        </row>
        <row r="1618">
          <cell r="B1618">
            <v>5025</v>
          </cell>
          <cell r="C1618">
            <v>6650.7915655000024</v>
          </cell>
          <cell r="E1618">
            <v>5025</v>
          </cell>
          <cell r="F1618">
            <v>13874.227626109994</v>
          </cell>
          <cell r="H1618">
            <v>5025</v>
          </cell>
          <cell r="I1618">
            <v>13874.227626109994</v>
          </cell>
        </row>
        <row r="1619">
          <cell r="B1619">
            <v>5026</v>
          </cell>
          <cell r="C1619">
            <v>5822.8953352699991</v>
          </cell>
          <cell r="E1619">
            <v>5026</v>
          </cell>
          <cell r="F1619">
            <v>11902.144668620002</v>
          </cell>
          <cell r="H1619">
            <v>5026</v>
          </cell>
          <cell r="I1619">
            <v>11902.144668620002</v>
          </cell>
        </row>
        <row r="1620">
          <cell r="B1620">
            <v>5027</v>
          </cell>
          <cell r="C1620">
            <v>3526.2609974099992</v>
          </cell>
          <cell r="E1620">
            <v>5027</v>
          </cell>
          <cell r="F1620">
            <v>7289.6367457600045</v>
          </cell>
          <cell r="H1620">
            <v>5027</v>
          </cell>
          <cell r="I1620">
            <v>7289.6367457600045</v>
          </cell>
        </row>
        <row r="1621">
          <cell r="B1621">
            <v>5028</v>
          </cell>
          <cell r="C1621">
            <v>5985.2655062199992</v>
          </cell>
          <cell r="E1621">
            <v>5028</v>
          </cell>
          <cell r="F1621">
            <v>12865.130272319997</v>
          </cell>
          <cell r="H1621">
            <v>5028</v>
          </cell>
          <cell r="I1621">
            <v>12865.130272319997</v>
          </cell>
        </row>
        <row r="1622">
          <cell r="B1622">
            <v>5029</v>
          </cell>
          <cell r="C1622">
            <v>2032.6947689799995</v>
          </cell>
          <cell r="E1622">
            <v>5029</v>
          </cell>
          <cell r="F1622">
            <v>5120.6291344199981</v>
          </cell>
          <cell r="H1622">
            <v>5029</v>
          </cell>
          <cell r="I1622">
            <v>5120.6291344199981</v>
          </cell>
        </row>
        <row r="1623">
          <cell r="B1623">
            <v>5030</v>
          </cell>
          <cell r="C1623">
            <v>15120.572845379995</v>
          </cell>
          <cell r="E1623">
            <v>5030</v>
          </cell>
          <cell r="F1623">
            <v>31805.61385587999</v>
          </cell>
          <cell r="H1623">
            <v>5030</v>
          </cell>
          <cell r="I1623">
            <v>31805.61385587999</v>
          </cell>
        </row>
        <row r="1624">
          <cell r="B1624">
            <v>5031</v>
          </cell>
          <cell r="C1624">
            <v>3300.2718628899997</v>
          </cell>
          <cell r="E1624">
            <v>5031</v>
          </cell>
          <cell r="F1624">
            <v>7004.3082770099991</v>
          </cell>
          <cell r="H1624">
            <v>5031</v>
          </cell>
          <cell r="I1624">
            <v>7004.3082770099991</v>
          </cell>
        </row>
        <row r="1625">
          <cell r="B1625">
            <v>5032</v>
          </cell>
          <cell r="C1625">
            <v>7542.2331001799985</v>
          </cell>
          <cell r="E1625">
            <v>5032</v>
          </cell>
          <cell r="F1625">
            <v>15169.425433320019</v>
          </cell>
          <cell r="H1625">
            <v>5032</v>
          </cell>
          <cell r="I1625">
            <v>15169.425433320019</v>
          </cell>
        </row>
        <row r="1626">
          <cell r="B1626">
            <v>5033</v>
          </cell>
          <cell r="C1626">
            <v>7245.6861022000012</v>
          </cell>
          <cell r="E1626">
            <v>5033</v>
          </cell>
          <cell r="F1626">
            <v>13045.175214999997</v>
          </cell>
          <cell r="H1626">
            <v>5033</v>
          </cell>
          <cell r="I1626">
            <v>13045.175214999997</v>
          </cell>
        </row>
        <row r="1627">
          <cell r="B1627">
            <v>5034</v>
          </cell>
          <cell r="C1627">
            <v>9970.6598496000006</v>
          </cell>
          <cell r="E1627">
            <v>5034</v>
          </cell>
          <cell r="F1627">
            <v>20094.952903279998</v>
          </cell>
          <cell r="H1627">
            <v>5034</v>
          </cell>
          <cell r="I1627">
            <v>20094.952903279998</v>
          </cell>
        </row>
        <row r="1628">
          <cell r="B1628">
            <v>5035</v>
          </cell>
          <cell r="C1628">
            <v>5104.3791462599993</v>
          </cell>
          <cell r="E1628">
            <v>5035</v>
          </cell>
          <cell r="F1628">
            <v>11392.82078077</v>
          </cell>
          <cell r="H1628">
            <v>5035</v>
          </cell>
          <cell r="I1628">
            <v>11392.82078077</v>
          </cell>
        </row>
        <row r="1629">
          <cell r="B1629">
            <v>5036</v>
          </cell>
          <cell r="C1629">
            <v>4987.3944656099993</v>
          </cell>
          <cell r="E1629">
            <v>5036</v>
          </cell>
          <cell r="F1629">
            <v>10563.351527140001</v>
          </cell>
          <cell r="H1629">
            <v>5036</v>
          </cell>
          <cell r="I1629">
            <v>10563.351527140001</v>
          </cell>
        </row>
        <row r="1630">
          <cell r="B1630">
            <v>5037</v>
          </cell>
          <cell r="C1630">
            <v>2592.3653583299988</v>
          </cell>
          <cell r="E1630">
            <v>5037</v>
          </cell>
          <cell r="F1630">
            <v>5743.466698270001</v>
          </cell>
          <cell r="H1630">
            <v>5037</v>
          </cell>
          <cell r="I1630">
            <v>5743.466698270001</v>
          </cell>
        </row>
        <row r="1631">
          <cell r="B1631">
            <v>5038</v>
          </cell>
          <cell r="C1631">
            <v>4467.9072082399998</v>
          </cell>
          <cell r="E1631">
            <v>5038</v>
          </cell>
          <cell r="F1631">
            <v>9327.8684509300019</v>
          </cell>
          <cell r="H1631">
            <v>5038</v>
          </cell>
          <cell r="I1631">
            <v>9327.8684509300019</v>
          </cell>
        </row>
        <row r="1632">
          <cell r="B1632">
            <v>5039</v>
          </cell>
          <cell r="C1632">
            <v>4558.5312907199996</v>
          </cell>
          <cell r="E1632">
            <v>5039</v>
          </cell>
          <cell r="F1632">
            <v>9164.2480581599993</v>
          </cell>
          <cell r="H1632">
            <v>5039</v>
          </cell>
          <cell r="I1632">
            <v>9164.2480581599993</v>
          </cell>
        </row>
        <row r="1633">
          <cell r="B1633">
            <v>5040</v>
          </cell>
          <cell r="C1633">
            <v>1803.5572308599997</v>
          </cell>
          <cell r="E1633">
            <v>5040</v>
          </cell>
          <cell r="F1633">
            <v>3579.1783818900008</v>
          </cell>
          <cell r="H1633">
            <v>5040</v>
          </cell>
          <cell r="I1633">
            <v>3579.1783818900008</v>
          </cell>
        </row>
        <row r="1634">
          <cell r="B1634">
            <v>5041</v>
          </cell>
          <cell r="C1634">
            <v>4004.4761402899994</v>
          </cell>
          <cell r="E1634">
            <v>5041</v>
          </cell>
          <cell r="F1634">
            <v>7517.1049611299986</v>
          </cell>
          <cell r="H1634">
            <v>5041</v>
          </cell>
          <cell r="I1634">
            <v>7517.1049611299986</v>
          </cell>
        </row>
        <row r="1635">
          <cell r="B1635">
            <v>5042</v>
          </cell>
          <cell r="C1635">
            <v>2770.4630940800002</v>
          </cell>
          <cell r="E1635">
            <v>5042</v>
          </cell>
          <cell r="F1635">
            <v>6355.2852531300005</v>
          </cell>
          <cell r="H1635">
            <v>5042</v>
          </cell>
          <cell r="I1635">
            <v>6355.2852531300005</v>
          </cell>
        </row>
        <row r="1636">
          <cell r="B1636">
            <v>5043</v>
          </cell>
          <cell r="C1636">
            <v>1116.0280071500003</v>
          </cell>
          <cell r="E1636">
            <v>5043</v>
          </cell>
          <cell r="F1636">
            <v>2111.4369848899992</v>
          </cell>
          <cell r="H1636">
            <v>5043</v>
          </cell>
          <cell r="I1636">
            <v>2111.4369848899992</v>
          </cell>
        </row>
        <row r="1637">
          <cell r="B1637">
            <v>9001</v>
          </cell>
          <cell r="C1637">
            <v>22814.304416420004</v>
          </cell>
          <cell r="E1637">
            <v>9001</v>
          </cell>
          <cell r="F1637">
            <v>52728.002840180001</v>
          </cell>
          <cell r="H1637">
            <v>9001</v>
          </cell>
          <cell r="I1637">
            <v>52728.002840180001</v>
          </cell>
        </row>
        <row r="1638">
          <cell r="B1638">
            <v>2462</v>
          </cell>
          <cell r="C1638">
            <v>54.315201980000005</v>
          </cell>
          <cell r="E1638">
            <v>2462</v>
          </cell>
          <cell r="F1638">
            <v>55.818771980000001</v>
          </cell>
          <cell r="H1638">
            <v>2462</v>
          </cell>
          <cell r="I1638">
            <v>55.818771980000001</v>
          </cell>
        </row>
      </sheetData>
      <sheetData sheetId="7"/>
      <sheetData sheetId="8"/>
      <sheetData sheetId="9">
        <row r="4">
          <cell r="R4" t="str">
            <v>p</v>
          </cell>
        </row>
      </sheetData>
      <sheetData sheetId="10"/>
      <sheetData sheetId="11">
        <row r="3">
          <cell r="B3">
            <v>42427</v>
          </cell>
        </row>
      </sheetData>
      <sheetData sheetId="12"/>
      <sheetData sheetId="13">
        <row r="1">
          <cell r="M1" t="str">
            <v>New Base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Wise"/>
      <sheetName val="Region Summary"/>
      <sheetName val="Area Wise"/>
      <sheetName val="Br.Wise"/>
      <sheetName val="Br.Wise-New"/>
      <sheetName val="YTD-Average"/>
      <sheetName val="Retail Lending"/>
      <sheetName val="Agri"/>
      <sheetName val="Commercial"/>
      <sheetName val="Snap-Shot"/>
      <sheetName val="Play-Area"/>
      <sheetName val="Credit Card"/>
      <sheetName val="Debit Card"/>
      <sheetName val="Auto"/>
      <sheetName val="No.Of Account"/>
      <sheetName val="Banca"/>
      <sheetName val="P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G3">
            <v>42209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-Agri"/>
      <sheetName val="BM"/>
      <sheetName val="AM"/>
      <sheetName val="SAMM"/>
      <sheetName val="BM Details"/>
      <sheetName val="AM Details"/>
      <sheetName val="Range"/>
      <sheetName val="SAM Details"/>
      <sheetName val="Link_WorkingBrwise"/>
      <sheetName val="Link_WorkingAreas"/>
      <sheetName val="Area"/>
      <sheetName val="Sheet1"/>
      <sheetName val="Final Branch and Area Allow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2012 - 2015"/>
      <sheetName val="LoV"/>
    </sheetNames>
    <sheetDataSet>
      <sheetData sheetId="0">
        <row r="2">
          <cell r="C2" t="str">
            <v>Total Distribution</v>
          </cell>
        </row>
      </sheetData>
      <sheetData sheetId="1"/>
      <sheetData sheetId="2">
        <row r="1">
          <cell r="B1" t="str">
            <v>Total Distribution</v>
          </cell>
        </row>
        <row r="2">
          <cell r="B2" t="str">
            <v>---------------------------------</v>
          </cell>
        </row>
        <row r="3">
          <cell r="B3" t="str">
            <v>Direct Reports</v>
          </cell>
        </row>
        <row r="4">
          <cell r="B4" t="str">
            <v>Karachi</v>
          </cell>
        </row>
        <row r="5">
          <cell r="B5" t="str">
            <v>Gujrat</v>
          </cell>
        </row>
        <row r="6">
          <cell r="B6" t="str">
            <v>Sialkot</v>
          </cell>
        </row>
        <row r="7">
          <cell r="B7" t="str">
            <v>Quetta</v>
          </cell>
        </row>
        <row r="8">
          <cell r="B8" t="str">
            <v>---------------------------------</v>
          </cell>
        </row>
        <row r="9">
          <cell r="B9" t="str">
            <v>Islambad &amp; Jhelum</v>
          </cell>
        </row>
        <row r="10">
          <cell r="B10" t="str">
            <v>Islamabad</v>
          </cell>
        </row>
        <row r="11">
          <cell r="B11" t="str">
            <v>Jhelum</v>
          </cell>
        </row>
        <row r="12">
          <cell r="B12" t="str">
            <v>---------------------------------</v>
          </cell>
        </row>
        <row r="13">
          <cell r="B13" t="str">
            <v>Lahore &amp; Gujrawala</v>
          </cell>
        </row>
        <row r="14">
          <cell r="B14" t="str">
            <v>Lahore</v>
          </cell>
        </row>
        <row r="15">
          <cell r="B15" t="str">
            <v>Gujranwala</v>
          </cell>
        </row>
        <row r="16">
          <cell r="B16" t="str">
            <v>---------------------------------</v>
          </cell>
        </row>
        <row r="17">
          <cell r="B17" t="str">
            <v>Mul, Sah &amp; Bahawalpur</v>
          </cell>
        </row>
        <row r="18">
          <cell r="B18" t="str">
            <v>Multan</v>
          </cell>
        </row>
        <row r="19">
          <cell r="B19" t="str">
            <v>Sahiwal</v>
          </cell>
        </row>
        <row r="20">
          <cell r="B20" t="str">
            <v>Bahawalpur</v>
          </cell>
        </row>
        <row r="21">
          <cell r="B21" t="str">
            <v>---------------------------------</v>
          </cell>
        </row>
        <row r="22">
          <cell r="B22" t="str">
            <v>Peshawar &amp; Mardan</v>
          </cell>
        </row>
        <row r="23">
          <cell r="B23" t="str">
            <v>Peshawar</v>
          </cell>
        </row>
        <row r="24">
          <cell r="B24" t="str">
            <v>Mardan</v>
          </cell>
        </row>
        <row r="25">
          <cell r="B25" t="str">
            <v>---------------------------------</v>
          </cell>
        </row>
        <row r="26">
          <cell r="B26" t="str">
            <v>Fasialabad &amp; Sargodha</v>
          </cell>
        </row>
        <row r="27">
          <cell r="B27" t="str">
            <v>Faisalabad</v>
          </cell>
        </row>
        <row r="28">
          <cell r="B28" t="str">
            <v>Sargodha</v>
          </cell>
        </row>
        <row r="29">
          <cell r="B29" t="str">
            <v>---------------------------------</v>
          </cell>
        </row>
        <row r="30">
          <cell r="B30" t="str">
            <v>Mir &amp; Muzafferabad</v>
          </cell>
        </row>
        <row r="31">
          <cell r="B31" t="str">
            <v>Mirpur</v>
          </cell>
        </row>
        <row r="32">
          <cell r="B32" t="str">
            <v>Muzaffarabad</v>
          </cell>
        </row>
        <row r="33">
          <cell r="B33" t="str">
            <v>---------------------------------</v>
          </cell>
        </row>
        <row r="34">
          <cell r="B34" t="str">
            <v>Hyderabad &amp; Sukkur</v>
          </cell>
        </row>
        <row r="35">
          <cell r="B35" t="str">
            <v>Hyderabad</v>
          </cell>
        </row>
        <row r="36">
          <cell r="B36" t="str">
            <v>Sukkur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Wise"/>
      <sheetName val="Region Summary Original"/>
      <sheetName val="CorporateBr"/>
      <sheetName val="Region Summary"/>
      <sheetName val="Area Wise"/>
      <sheetName val="Br.Wise"/>
      <sheetName val="Br.Wise-New"/>
      <sheetName val="YTD-Average"/>
      <sheetName val="Retail Lending"/>
      <sheetName val="Agri"/>
      <sheetName val="Commercial"/>
      <sheetName val="Snap-Shot"/>
      <sheetName val="Play-Area"/>
      <sheetName val="Credit Card"/>
      <sheetName val="Debit Card"/>
      <sheetName val="Auto"/>
      <sheetName val="No.Of Account"/>
      <sheetName val="Banca"/>
      <sheetName val="P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G3">
            <v>42255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"/>
      <sheetName val="Region (2)"/>
      <sheetName val="Region Wise - Net"/>
      <sheetName val="Region Wise - Gross"/>
      <sheetName val="Sheet5"/>
      <sheetName val="Region Wise - Graph"/>
      <sheetName val="Sheet1"/>
      <sheetName val="Area Wise - Gross"/>
      <sheetName val="Check"/>
      <sheetName val="Branch Wise Continue Incentive"/>
      <sheetName val="Branch Wise - Net"/>
      <sheetName val="Area Wise - Net"/>
      <sheetName val="Branch Wise - Gross"/>
      <sheetName val="SAM"/>
      <sheetName val="Sheet3"/>
      <sheetName val="Sheet4"/>
      <sheetName val="Number of Accounts"/>
      <sheetName val="Region-YTD"/>
      <sheetName val="Issuance-MoM"/>
      <sheetName val="Debit-MoM"/>
      <sheetName val="br.Issuance"/>
      <sheetName val="Br.Debit"/>
      <sheetName val="designated brnach"/>
      <sheetName val="BranchCount"/>
      <sheetName val="ContinueIncentive"/>
      <sheetName val="Sheet2"/>
    </sheetNames>
    <sheetDataSet>
      <sheetData sheetId="0"/>
      <sheetData sheetId="1"/>
      <sheetData sheetId="2"/>
      <sheetData sheetId="3">
        <row r="3">
          <cell r="B3" t="str">
            <v>29th dec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s"/>
      <sheetName val="Weights"/>
      <sheetName val="Main One Pager"/>
      <sheetName val="Area Master"/>
      <sheetName val="Branch Master"/>
    </sheetNames>
    <sheetDataSet>
      <sheetData sheetId="0">
        <row r="3">
          <cell r="B3" t="str">
            <v>Regions</v>
          </cell>
        </row>
      </sheetData>
      <sheetData sheetId="1"/>
      <sheetData sheetId="2">
        <row r="4">
          <cell r="D4" t="str">
            <v>Muzaffarabad</v>
          </cell>
        </row>
      </sheetData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Wise"/>
      <sheetName val="Region Summary Original"/>
      <sheetName val="CorporateBrYehWala"/>
      <sheetName val="CorporateRawData"/>
      <sheetName val="CorporatePivot"/>
      <sheetName val="Corporate Summary"/>
      <sheetName val="Region Summary"/>
      <sheetName val="Area Wise"/>
      <sheetName val="Br.Wise"/>
      <sheetName val="Br.Wise-New"/>
      <sheetName val="YTD-Average"/>
      <sheetName val="Retail Lending"/>
      <sheetName val="Agri"/>
      <sheetName val="Commercial"/>
      <sheetName val="Snap-Shot"/>
      <sheetName val="Play-Area"/>
      <sheetName val="Credit Card"/>
      <sheetName val="Debit Card"/>
      <sheetName val="Auto"/>
      <sheetName val="No.Of Account"/>
      <sheetName val="Banca"/>
      <sheetName val="PIL"/>
      <sheetName val="ClearingEffect Regionwise"/>
      <sheetName val="ClearingEffect Branchwise"/>
      <sheetName val="Br.Wise-New (forClearanceSheet)"/>
      <sheetName val="Link tBranch"/>
      <sheetName val="RegionReporting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C8">
            <v>84196.598161909889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G3">
            <v>42369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638">
          <cell r="G1638">
            <v>805.56081405999998</v>
          </cell>
        </row>
      </sheetData>
      <sheetData sheetId="24"/>
      <sheetData sheetId="25"/>
      <sheetData sheetId="26">
        <row r="1">
          <cell r="A1" t="str">
            <v>Karachi</v>
          </cell>
          <cell r="B1" t="str">
            <v>Direct Report</v>
          </cell>
        </row>
        <row r="2">
          <cell r="A2" t="str">
            <v>Lahore</v>
          </cell>
          <cell r="B2" t="str">
            <v>Direct Report</v>
          </cell>
        </row>
        <row r="3">
          <cell r="A3" t="str">
            <v>Islamabad</v>
          </cell>
          <cell r="B3" t="str">
            <v>Direct Report</v>
          </cell>
        </row>
        <row r="4">
          <cell r="A4" t="str">
            <v>Faisalabad</v>
          </cell>
          <cell r="B4" t="str">
            <v>Direct Report</v>
          </cell>
        </row>
        <row r="5">
          <cell r="A5" t="str">
            <v>Gujranwala</v>
          </cell>
          <cell r="B5" t="str">
            <v>Direct Report</v>
          </cell>
        </row>
        <row r="6">
          <cell r="A6" t="str">
            <v>Gujrat</v>
          </cell>
          <cell r="B6" t="str">
            <v>Direct Report</v>
          </cell>
        </row>
        <row r="7">
          <cell r="A7" t="str">
            <v>Jhelum</v>
          </cell>
          <cell r="B7" t="str">
            <v>Direct Report</v>
          </cell>
        </row>
        <row r="8">
          <cell r="A8" t="str">
            <v>Sahiwal</v>
          </cell>
          <cell r="B8" t="str">
            <v>Direct Report</v>
          </cell>
        </row>
        <row r="9">
          <cell r="A9" t="str">
            <v>Sargodha</v>
          </cell>
          <cell r="B9" t="str">
            <v>Direct Report</v>
          </cell>
        </row>
        <row r="10">
          <cell r="A10" t="str">
            <v>Sialkot</v>
          </cell>
          <cell r="B10" t="str">
            <v>Direct Report</v>
          </cell>
        </row>
        <row r="11">
          <cell r="A11" t="str">
            <v>Quetta</v>
          </cell>
          <cell r="B11" t="str">
            <v>Direct Report</v>
          </cell>
        </row>
        <row r="12">
          <cell r="A12" t="str">
            <v>Hyderabad</v>
          </cell>
          <cell r="B12" t="str">
            <v>Hyderabad &amp; Sukkur</v>
          </cell>
        </row>
        <row r="13">
          <cell r="A13" t="str">
            <v>Sukkur</v>
          </cell>
          <cell r="B13" t="str">
            <v>Hyderabad &amp; Sukkur</v>
          </cell>
        </row>
        <row r="14">
          <cell r="A14" t="str">
            <v>Mirpur</v>
          </cell>
          <cell r="B14" t="str">
            <v>Mirpur &amp; Muzaffarabad</v>
          </cell>
        </row>
        <row r="15">
          <cell r="A15" t="str">
            <v>Muzaffarabad</v>
          </cell>
          <cell r="B15" t="str">
            <v>Mirpur &amp; Muzaffarabad</v>
          </cell>
        </row>
        <row r="16">
          <cell r="A16" t="str">
            <v>Bahawalpur</v>
          </cell>
          <cell r="B16" t="str">
            <v>Multan &amp; Bahawalpur</v>
          </cell>
        </row>
        <row r="17">
          <cell r="A17" t="str">
            <v>Multan</v>
          </cell>
          <cell r="B17" t="str">
            <v>Multan &amp; Bahawalpur</v>
          </cell>
        </row>
        <row r="18">
          <cell r="A18" t="str">
            <v>Mardan</v>
          </cell>
          <cell r="B18" t="str">
            <v>Peshawar &amp; Mardan</v>
          </cell>
        </row>
        <row r="19">
          <cell r="A19" t="str">
            <v>Peshawar</v>
          </cell>
          <cell r="B19" t="str">
            <v>Peshawar &amp; Mardan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 wise"/>
      <sheetName val="Area wise"/>
      <sheetName val="Branch wise"/>
      <sheetName val="Target"/>
      <sheetName val="MoM Targets"/>
      <sheetName val="2015 Final Working"/>
      <sheetName val="WorkingPivot"/>
      <sheetName val="ControlSheet"/>
      <sheetName val="Working2015"/>
    </sheetNames>
    <sheetDataSet>
      <sheetData sheetId="0"/>
      <sheetData sheetId="1"/>
      <sheetData sheetId="2"/>
      <sheetData sheetId="3">
        <row r="3">
          <cell r="C3" t="str">
            <v>Actual 2016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 t="str">
            <v>Moving Targets to be Communicated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2015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 t="str">
            <v>Target 2016</v>
          </cell>
          <cell r="AN3">
            <v>0</v>
          </cell>
          <cell r="AO3">
            <v>0</v>
          </cell>
          <cell r="AP3">
            <v>0</v>
          </cell>
          <cell r="AQ3" t="str">
            <v>Initial Target 2016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 t="str">
            <v xml:space="preserve">Surplus / Deficit 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 t="str">
            <v>Total Deficit</v>
          </cell>
          <cell r="BP3" t="str">
            <v>Prorated Deficit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 t="str">
            <v>Volume Deficit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</row>
        <row r="4">
          <cell r="B4">
            <v>0</v>
          </cell>
          <cell r="C4" t="str">
            <v>Jan</v>
          </cell>
          <cell r="D4" t="str">
            <v>Feb</v>
          </cell>
          <cell r="E4" t="str">
            <v>Mar</v>
          </cell>
          <cell r="F4" t="str">
            <v>Apr</v>
          </cell>
          <cell r="G4" t="str">
            <v>May</v>
          </cell>
          <cell r="H4" t="str">
            <v>Jun</v>
          </cell>
          <cell r="I4" t="str">
            <v>Jul</v>
          </cell>
          <cell r="J4" t="str">
            <v>Aug</v>
          </cell>
          <cell r="K4" t="str">
            <v>Sep</v>
          </cell>
          <cell r="L4" t="str">
            <v>Oct</v>
          </cell>
          <cell r="M4" t="str">
            <v>Nov</v>
          </cell>
          <cell r="N4" t="str">
            <v>Dec</v>
          </cell>
          <cell r="O4" t="str">
            <v>Jan</v>
          </cell>
          <cell r="P4" t="str">
            <v>Feb</v>
          </cell>
          <cell r="Q4" t="str">
            <v>Mar</v>
          </cell>
          <cell r="R4" t="str">
            <v>Apr</v>
          </cell>
          <cell r="S4" t="str">
            <v>May</v>
          </cell>
          <cell r="T4" t="str">
            <v>Jun</v>
          </cell>
          <cell r="U4" t="str">
            <v>Jul</v>
          </cell>
          <cell r="V4" t="str">
            <v>Aug</v>
          </cell>
          <cell r="W4" t="str">
            <v>Sep</v>
          </cell>
          <cell r="X4" t="str">
            <v>Oct</v>
          </cell>
          <cell r="Y4" t="str">
            <v>Nov</v>
          </cell>
          <cell r="Z4" t="str">
            <v>Dec</v>
          </cell>
          <cell r="AA4" t="str">
            <v>Jan</v>
          </cell>
          <cell r="AB4" t="str">
            <v>Feb</v>
          </cell>
          <cell r="AC4" t="str">
            <v>Mar</v>
          </cell>
          <cell r="AD4" t="str">
            <v>Apr</v>
          </cell>
          <cell r="AE4" t="str">
            <v>May</v>
          </cell>
          <cell r="AF4" t="str">
            <v>Jun</v>
          </cell>
          <cell r="AG4" t="str">
            <v>Jul</v>
          </cell>
          <cell r="AH4" t="str">
            <v>Aug</v>
          </cell>
          <cell r="AI4" t="str">
            <v>Sep</v>
          </cell>
          <cell r="AJ4" t="str">
            <v>Oct</v>
          </cell>
          <cell r="AK4" t="str">
            <v>Nov</v>
          </cell>
          <cell r="AL4" t="str">
            <v>Dec</v>
          </cell>
          <cell r="AM4" t="str">
            <v>Base</v>
          </cell>
          <cell r="AN4" t="str">
            <v>Target</v>
          </cell>
          <cell r="AO4" t="str">
            <v>Growth</v>
          </cell>
          <cell r="AP4" t="str">
            <v>Growth %</v>
          </cell>
          <cell r="AQ4" t="str">
            <v>Jan</v>
          </cell>
          <cell r="AR4" t="str">
            <v>Feb</v>
          </cell>
          <cell r="AS4" t="str">
            <v>Mar</v>
          </cell>
          <cell r="AT4" t="str">
            <v>Apr</v>
          </cell>
          <cell r="AU4" t="str">
            <v>May</v>
          </cell>
          <cell r="AV4" t="str">
            <v>Jun</v>
          </cell>
          <cell r="AW4" t="str">
            <v>Jul</v>
          </cell>
          <cell r="AX4" t="str">
            <v>Aug</v>
          </cell>
          <cell r="AY4" t="str">
            <v>Sep</v>
          </cell>
          <cell r="AZ4" t="str">
            <v>Oct</v>
          </cell>
          <cell r="BA4" t="str">
            <v>Nov</v>
          </cell>
          <cell r="BB4" t="str">
            <v>Dec</v>
          </cell>
          <cell r="BC4" t="str">
            <v>Jan</v>
          </cell>
          <cell r="BD4" t="str">
            <v>Feb</v>
          </cell>
          <cell r="BE4" t="str">
            <v>Mar</v>
          </cell>
          <cell r="BF4" t="str">
            <v>Apr</v>
          </cell>
          <cell r="BG4" t="str">
            <v>May</v>
          </cell>
          <cell r="BH4" t="str">
            <v>Jun</v>
          </cell>
          <cell r="BI4" t="str">
            <v>Jul</v>
          </cell>
          <cell r="BJ4" t="str">
            <v>Aug</v>
          </cell>
          <cell r="BK4" t="str">
            <v>Sep</v>
          </cell>
          <cell r="BL4" t="str">
            <v>Oct</v>
          </cell>
          <cell r="BM4" t="str">
            <v>Nov</v>
          </cell>
          <cell r="BN4" t="str">
            <v>Dec</v>
          </cell>
          <cell r="BO4">
            <v>0</v>
          </cell>
          <cell r="BP4" t="str">
            <v>Jan</v>
          </cell>
          <cell r="BQ4" t="str">
            <v>Feb</v>
          </cell>
          <cell r="BR4" t="str">
            <v>Mar</v>
          </cell>
          <cell r="BS4" t="str">
            <v>Apr</v>
          </cell>
          <cell r="BT4" t="str">
            <v>May</v>
          </cell>
          <cell r="BU4" t="str">
            <v>Jun</v>
          </cell>
          <cell r="BV4" t="str">
            <v>Jul</v>
          </cell>
          <cell r="BW4" t="str">
            <v>Aug</v>
          </cell>
          <cell r="BX4" t="str">
            <v>Sep</v>
          </cell>
          <cell r="BY4" t="str">
            <v>Oct</v>
          </cell>
          <cell r="BZ4" t="str">
            <v>Nov</v>
          </cell>
          <cell r="CA4" t="str">
            <v>Dec</v>
          </cell>
          <cell r="CB4" t="str">
            <v>Jan</v>
          </cell>
          <cell r="CC4" t="str">
            <v>Feb</v>
          </cell>
          <cell r="CD4" t="str">
            <v>Mar</v>
          </cell>
          <cell r="CE4" t="str">
            <v>Apr</v>
          </cell>
          <cell r="CF4" t="str">
            <v>May</v>
          </cell>
          <cell r="CG4" t="str">
            <v>Jun</v>
          </cell>
          <cell r="CH4" t="str">
            <v>Jul</v>
          </cell>
          <cell r="CI4" t="str">
            <v>Aug</v>
          </cell>
          <cell r="CJ4" t="str">
            <v>Sep</v>
          </cell>
          <cell r="CK4" t="str">
            <v>Oct</v>
          </cell>
          <cell r="CL4" t="str">
            <v>Nov</v>
          </cell>
          <cell r="CM4" t="str">
            <v>Dec</v>
          </cell>
        </row>
        <row r="5">
          <cell r="B5" t="str">
            <v>Karachi</v>
          </cell>
          <cell r="C5">
            <v>70001.615570994865</v>
          </cell>
          <cell r="D5">
            <v>69403.565696628008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72508.030761333765</v>
          </cell>
          <cell r="P5">
            <v>73368.881699682825</v>
          </cell>
          <cell r="Q5">
            <v>74344.493734292701</v>
          </cell>
          <cell r="R5">
            <v>76284.114395744313</v>
          </cell>
          <cell r="S5">
            <v>78560.321647349701</v>
          </cell>
          <cell r="T5">
            <v>80674.383174415387</v>
          </cell>
          <cell r="U5">
            <v>85864.237819067377</v>
          </cell>
          <cell r="V5">
            <v>79216.613958494097</v>
          </cell>
          <cell r="W5">
            <v>81007.566106529979</v>
          </cell>
          <cell r="X5">
            <v>79573.146730418724</v>
          </cell>
          <cell r="Y5">
            <v>80505.926670612593</v>
          </cell>
          <cell r="Z5">
            <v>83694.802778096564</v>
          </cell>
          <cell r="AA5">
            <v>61215.653087141167</v>
          </cell>
          <cell r="AB5">
            <v>61748.391530601184</v>
          </cell>
          <cell r="AC5">
            <v>62281.2123800974</v>
          </cell>
          <cell r="AD5">
            <v>63906.10644130977</v>
          </cell>
          <cell r="AE5">
            <v>65812.971901514815</v>
          </cell>
          <cell r="AF5">
            <v>67584.001716074403</v>
          </cell>
          <cell r="AG5">
            <v>71931.740507606592</v>
          </cell>
          <cell r="AH5">
            <v>66362.772952819243</v>
          </cell>
          <cell r="AI5">
            <v>67863.121741164854</v>
          </cell>
          <cell r="AJ5">
            <v>66661.454027547705</v>
          </cell>
          <cell r="AK5">
            <v>67442.879290415716</v>
          </cell>
          <cell r="AL5">
            <v>70114.32219261436</v>
          </cell>
          <cell r="AM5">
            <v>66105.814183713301</v>
          </cell>
          <cell r="AN5">
            <v>78300.273975881966</v>
          </cell>
          <cell r="AO5">
            <v>12194.459792168665</v>
          </cell>
          <cell r="AP5">
            <v>0.18446879359626817</v>
          </cell>
          <cell r="AQ5">
            <v>72508.030761333765</v>
          </cell>
          <cell r="AR5">
            <v>73139.042822761199</v>
          </cell>
          <cell r="AS5">
            <v>73770.152491566929</v>
          </cell>
          <cell r="AT5">
            <v>75694.788799972885</v>
          </cell>
          <cell r="AU5">
            <v>77953.411431172339</v>
          </cell>
          <cell r="AV5">
            <v>80051.140979046759</v>
          </cell>
          <cell r="AW5">
            <v>85200.901900324592</v>
          </cell>
          <cell r="AX5">
            <v>78604.633619128857</v>
          </cell>
          <cell r="AY5">
            <v>80381.749938434208</v>
          </cell>
          <cell r="AZ5">
            <v>78958.412031382511</v>
          </cell>
          <cell r="BA5">
            <v>79883.985869777433</v>
          </cell>
          <cell r="BB5">
            <v>83048.226621305977</v>
          </cell>
          <cell r="BC5">
            <v>-4.0944024345717367E-2</v>
          </cell>
          <cell r="BD5">
            <v>-6.0495132481013292E-2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-0.10143915682673066</v>
          </cell>
          <cell r="BP5">
            <v>0</v>
          </cell>
          <cell r="BQ5">
            <v>3.7221840314288516E-3</v>
          </cell>
          <cell r="BR5">
            <v>9.2217415297027872E-3</v>
          </cell>
          <cell r="BS5">
            <v>9.2217415297027872E-3</v>
          </cell>
          <cell r="BT5">
            <v>9.2217415297027872E-3</v>
          </cell>
          <cell r="BU5">
            <v>9.2217415297027872E-3</v>
          </cell>
          <cell r="BV5">
            <v>9.2217415297027872E-3</v>
          </cell>
          <cell r="BW5">
            <v>9.2217415297027872E-3</v>
          </cell>
          <cell r="BX5">
            <v>9.2217415297027872E-3</v>
          </cell>
          <cell r="BY5">
            <v>9.2217415297027872E-3</v>
          </cell>
          <cell r="BZ5">
            <v>9.2217415297027872E-3</v>
          </cell>
          <cell r="CA5">
            <v>9.2217415297027872E-3</v>
          </cell>
          <cell r="CB5">
            <v>0</v>
          </cell>
          <cell r="CC5">
            <v>229.83887692162534</v>
          </cell>
          <cell r="CD5">
            <v>574.34124272577174</v>
          </cell>
          <cell r="CE5">
            <v>589.3255957714282</v>
          </cell>
          <cell r="CF5">
            <v>606.9102161773626</v>
          </cell>
          <cell r="CG5">
            <v>623.24219536862802</v>
          </cell>
          <cell r="CH5">
            <v>663.335918742785</v>
          </cell>
          <cell r="CI5">
            <v>611.98033936524007</v>
          </cell>
          <cell r="CJ5">
            <v>625.81616809577099</v>
          </cell>
          <cell r="CK5">
            <v>614.73469903621299</v>
          </cell>
          <cell r="CL5">
            <v>621.94080083516019</v>
          </cell>
          <cell r="CM5">
            <v>646.57615679058654</v>
          </cell>
        </row>
        <row r="6">
          <cell r="B6" t="str">
            <v>Gujrat</v>
          </cell>
          <cell r="C6">
            <v>13253.526201336552</v>
          </cell>
          <cell r="D6">
            <v>13192.724291376002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12964.541500347801</v>
          </cell>
          <cell r="P6">
            <v>12780.287151322951</v>
          </cell>
          <cell r="Q6">
            <v>12872.899225761803</v>
          </cell>
          <cell r="R6">
            <v>13224.221672104681</v>
          </cell>
          <cell r="S6">
            <v>13917.876783163823</v>
          </cell>
          <cell r="T6">
            <v>14238.871187047473</v>
          </cell>
          <cell r="U6">
            <v>14935.613726070258</v>
          </cell>
          <cell r="V6">
            <v>15049.333443265792</v>
          </cell>
          <cell r="W6">
            <v>15337.928611251125</v>
          </cell>
          <cell r="X6">
            <v>15607.611948374919</v>
          </cell>
          <cell r="Y6">
            <v>15788.958962000221</v>
          </cell>
          <cell r="Z6">
            <v>16407.711385032926</v>
          </cell>
          <cell r="AA6">
            <v>10204.517424192622</v>
          </cell>
          <cell r="AB6">
            <v>10079.914955385824</v>
          </cell>
          <cell r="AC6">
            <v>10180.947967995897</v>
          </cell>
          <cell r="AD6">
            <v>10458.802667506621</v>
          </cell>
          <cell r="AE6">
            <v>11007.402207483958</v>
          </cell>
          <cell r="AF6">
            <v>11261.270995442554</v>
          </cell>
          <cell r="AG6">
            <v>11812.312327505848</v>
          </cell>
          <cell r="AH6">
            <v>11902.25123741248</v>
          </cell>
          <cell r="AI6">
            <v>12130.496043616953</v>
          </cell>
          <cell r="AJ6">
            <v>12343.783817795917</v>
          </cell>
          <cell r="AK6">
            <v>12487.207958503534</v>
          </cell>
          <cell r="AL6">
            <v>12976.568289341871</v>
          </cell>
          <cell r="AM6">
            <v>11412.691041442409</v>
          </cell>
          <cell r="AN6">
            <v>14499.490812436363</v>
          </cell>
          <cell r="AO6">
            <v>3086.7997709939536</v>
          </cell>
          <cell r="AP6">
            <v>0.27047080831199161</v>
          </cell>
          <cell r="AQ6">
            <v>12964.541500347801</v>
          </cell>
          <cell r="AR6">
            <v>12806.23770108516</v>
          </cell>
          <cell r="AS6">
            <v>12934.597194282074</v>
          </cell>
          <cell r="AT6">
            <v>13287.60347896275</v>
          </cell>
          <cell r="AU6">
            <v>13984.583179957344</v>
          </cell>
          <cell r="AV6">
            <v>14307.116064200287</v>
          </cell>
          <cell r="AW6">
            <v>15007.197990760056</v>
          </cell>
          <cell r="AX6">
            <v>15121.462750327835</v>
          </cell>
          <cell r="AY6">
            <v>15411.441113759445</v>
          </cell>
          <cell r="AZ6">
            <v>15682.41700462366</v>
          </cell>
          <cell r="BA6">
            <v>15864.633188599919</v>
          </cell>
          <cell r="BB6">
            <v>16486.351203675924</v>
          </cell>
          <cell r="BC6">
            <v>2.831929124875926E-2</v>
          </cell>
          <cell r="BD6">
            <v>3.834224713218809E-2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6.6661538380947349E-2</v>
          </cell>
          <cell r="BP6">
            <v>0</v>
          </cell>
          <cell r="BQ6">
            <v>-2.574481022614478E-3</v>
          </cell>
          <cell r="BR6">
            <v>-6.0601398528133954E-3</v>
          </cell>
          <cell r="BS6">
            <v>-6.0601398528133954E-3</v>
          </cell>
          <cell r="BT6">
            <v>-6.0601398528133954E-3</v>
          </cell>
          <cell r="BU6">
            <v>-6.0601398528133954E-3</v>
          </cell>
          <cell r="BV6">
            <v>-6.0601398528133954E-3</v>
          </cell>
          <cell r="BW6">
            <v>-6.0601398528133954E-3</v>
          </cell>
          <cell r="BX6">
            <v>-6.0601398528133954E-3</v>
          </cell>
          <cell r="BY6">
            <v>-6.0601398528133954E-3</v>
          </cell>
          <cell r="BZ6">
            <v>-6.0601398528133954E-3</v>
          </cell>
          <cell r="CA6">
            <v>-6.0601398528133954E-3</v>
          </cell>
          <cell r="CB6">
            <v>0</v>
          </cell>
          <cell r="CC6">
            <v>-25.950549762208539</v>
          </cell>
          <cell r="CD6">
            <v>-61.697968520271388</v>
          </cell>
          <cell r="CE6">
            <v>-63.381806858069467</v>
          </cell>
          <cell r="CF6">
            <v>-66.70639679352098</v>
          </cell>
          <cell r="CG6">
            <v>-68.244877152814297</v>
          </cell>
          <cell r="CH6">
            <v>-71.584264689798147</v>
          </cell>
          <cell r="CI6">
            <v>-72.129307062043154</v>
          </cell>
          <cell r="CJ6">
            <v>-73.512502508319812</v>
          </cell>
          <cell r="CK6">
            <v>-74.805056248740584</v>
          </cell>
          <cell r="CL6">
            <v>-75.674226599698159</v>
          </cell>
          <cell r="CM6">
            <v>-78.639818642997852</v>
          </cell>
        </row>
        <row r="7">
          <cell r="B7" t="str">
            <v>Sialkot</v>
          </cell>
          <cell r="C7">
            <v>12928.218313661728</v>
          </cell>
          <cell r="D7">
            <v>13027.369991715997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13508.612378979808</v>
          </cell>
          <cell r="P7">
            <v>13404.974528365065</v>
          </cell>
          <cell r="Q7">
            <v>13515.992368093386</v>
          </cell>
          <cell r="R7">
            <v>13830.896542853121</v>
          </cell>
          <cell r="S7">
            <v>14219.214053154699</v>
          </cell>
          <cell r="T7">
            <v>14709.207478521477</v>
          </cell>
          <cell r="U7">
            <v>15001.013352354626</v>
          </cell>
          <cell r="V7">
            <v>14975.818712942624</v>
          </cell>
          <cell r="W7">
            <v>15010.741222857208</v>
          </cell>
          <cell r="X7">
            <v>14906.882798499162</v>
          </cell>
          <cell r="Y7">
            <v>15146.219175214501</v>
          </cell>
          <cell r="Z7">
            <v>15739.842427922067</v>
          </cell>
          <cell r="AA7">
            <v>10878.119826704651</v>
          </cell>
          <cell r="AB7">
            <v>10752.664392590856</v>
          </cell>
          <cell r="AC7">
            <v>10817.839979072593</v>
          </cell>
          <cell r="AD7">
            <v>11069.88088576432</v>
          </cell>
          <cell r="AE7">
            <v>11380.67986915461</v>
          </cell>
          <cell r="AF7">
            <v>11772.857544463788</v>
          </cell>
          <cell r="AG7">
            <v>12006.411186853551</v>
          </cell>
          <cell r="AH7">
            <v>11986.246069112522</v>
          </cell>
          <cell r="AI7">
            <v>12014.197115076069</v>
          </cell>
          <cell r="AJ7">
            <v>11931.071600901008</v>
          </cell>
          <cell r="AK7">
            <v>12122.630056541273</v>
          </cell>
          <cell r="AL7">
            <v>12597.750283066889</v>
          </cell>
          <cell r="AM7">
            <v>11616.447272078762</v>
          </cell>
          <cell r="AN7">
            <v>14425.478475990125</v>
          </cell>
          <cell r="AO7">
            <v>2809.0312039113633</v>
          </cell>
          <cell r="AP7">
            <v>0.24181500058655089</v>
          </cell>
          <cell r="AQ7">
            <v>13508.612378979808</v>
          </cell>
          <cell r="AR7">
            <v>13352.819938992199</v>
          </cell>
          <cell r="AS7">
            <v>13433.755959957245</v>
          </cell>
          <cell r="AT7">
            <v>13746.744138648468</v>
          </cell>
          <cell r="AU7">
            <v>14132.698978389581</v>
          </cell>
          <cell r="AV7">
            <v>14619.71109848368</v>
          </cell>
          <cell r="AW7">
            <v>14909.741515044914</v>
          </cell>
          <cell r="AX7">
            <v>14884.700169345509</v>
          </cell>
          <cell r="AY7">
            <v>14919.410197505127</v>
          </cell>
          <cell r="AZ7">
            <v>14816.183687071067</v>
          </cell>
          <cell r="BA7">
            <v>15054.063850774341</v>
          </cell>
          <cell r="BB7">
            <v>15644.07527515593</v>
          </cell>
          <cell r="BC7">
            <v>-5.335426292081033E-2</v>
          </cell>
          <cell r="BD7">
            <v>-3.0266912031631205E-2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-8.3621174952441535E-2</v>
          </cell>
          <cell r="BP7">
            <v>0</v>
          </cell>
          <cell r="BQ7">
            <v>4.8503875382554847E-3</v>
          </cell>
          <cell r="BR7">
            <v>7.6019249956765034E-3</v>
          </cell>
          <cell r="BS7">
            <v>7.6019249956765034E-3</v>
          </cell>
          <cell r="BT7">
            <v>7.6019249956765034E-3</v>
          </cell>
          <cell r="BU7">
            <v>7.6019249956765034E-3</v>
          </cell>
          <cell r="BV7">
            <v>7.6019249956765034E-3</v>
          </cell>
          <cell r="BW7">
            <v>7.6019249956765034E-3</v>
          </cell>
          <cell r="BX7">
            <v>7.6019249956765034E-3</v>
          </cell>
          <cell r="BY7">
            <v>7.6019249956765034E-3</v>
          </cell>
          <cell r="BZ7">
            <v>7.6019249956765034E-3</v>
          </cell>
          <cell r="CA7">
            <v>7.6019249956765034E-3</v>
          </cell>
          <cell r="CB7">
            <v>0</v>
          </cell>
          <cell r="CC7">
            <v>52.154589372865303</v>
          </cell>
          <cell r="CD7">
            <v>82.236408136141108</v>
          </cell>
          <cell r="CE7">
            <v>84.152404204653067</v>
          </cell>
          <cell r="CF7">
            <v>86.515074765118698</v>
          </cell>
          <cell r="CG7">
            <v>89.49638003779728</v>
          </cell>
          <cell r="CH7">
            <v>91.271837309712282</v>
          </cell>
          <cell r="CI7">
            <v>91.118543597114694</v>
          </cell>
          <cell r="CJ7">
            <v>91.331025352081269</v>
          </cell>
          <cell r="CK7">
            <v>90.699111428095421</v>
          </cell>
          <cell r="CL7">
            <v>92.155324440160257</v>
          </cell>
          <cell r="CM7">
            <v>95.76715276613686</v>
          </cell>
        </row>
        <row r="8">
          <cell r="B8" t="str">
            <v>Quetta</v>
          </cell>
          <cell r="C8">
            <v>9947.2724769379311</v>
          </cell>
          <cell r="D8">
            <v>9679.2380505670008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10746.580891715099</v>
          </cell>
          <cell r="P8">
            <v>10821.407684433214</v>
          </cell>
          <cell r="Q8">
            <v>10817.945878202787</v>
          </cell>
          <cell r="R8">
            <v>10902.011787213498</v>
          </cell>
          <cell r="S8">
            <v>10856.741761333138</v>
          </cell>
          <cell r="T8">
            <v>11848.674764764535</v>
          </cell>
          <cell r="U8">
            <v>13342.762611141978</v>
          </cell>
          <cell r="V8">
            <v>12338.136546825877</v>
          </cell>
          <cell r="W8">
            <v>12020.980209731099</v>
          </cell>
          <cell r="X8">
            <v>12238.841973626055</v>
          </cell>
          <cell r="Y8">
            <v>12703.032266311018</v>
          </cell>
          <cell r="Z8">
            <v>12528.343113361614</v>
          </cell>
          <cell r="AA8">
            <v>8645.1842686799991</v>
          </cell>
          <cell r="AB8">
            <v>8646.9121407625007</v>
          </cell>
          <cell r="AC8">
            <v>8567.1730170635528</v>
          </cell>
          <cell r="AD8">
            <v>8633.7482426599981</v>
          </cell>
          <cell r="AE8">
            <v>8597.8970608764539</v>
          </cell>
          <cell r="AF8">
            <v>9383.4493050280107</v>
          </cell>
          <cell r="AG8">
            <v>10566.678471333835</v>
          </cell>
          <cell r="AH8">
            <v>9771.0740740341953</v>
          </cell>
          <cell r="AI8">
            <v>9519.905021799992</v>
          </cell>
          <cell r="AJ8">
            <v>9692.438647509056</v>
          </cell>
          <cell r="AK8">
            <v>10060.049892291334</v>
          </cell>
          <cell r="AL8">
            <v>9921.7064198454864</v>
          </cell>
          <cell r="AM8">
            <v>9338.7803411900004</v>
          </cell>
          <cell r="AN8">
            <v>11608.770298875383</v>
          </cell>
          <cell r="AO8">
            <v>2269.9899576853823</v>
          </cell>
          <cell r="AP8">
            <v>0.24307135137050748</v>
          </cell>
          <cell r="AQ8">
            <v>10746.580891715099</v>
          </cell>
          <cell r="AR8">
            <v>10748.728759999689</v>
          </cell>
          <cell r="AS8">
            <v>10649.607339746137</v>
          </cell>
          <cell r="AT8">
            <v>10732.365095396108</v>
          </cell>
          <cell r="AU8">
            <v>10687.799518408206</v>
          </cell>
          <cell r="AV8">
            <v>11664.297008117817</v>
          </cell>
          <cell r="AW8">
            <v>13135.135286858596</v>
          </cell>
          <cell r="AX8">
            <v>12146.142253551016</v>
          </cell>
          <cell r="AY8">
            <v>11833.921200367795</v>
          </cell>
          <cell r="AZ8">
            <v>12048.392807634815</v>
          </cell>
          <cell r="BA8">
            <v>12505.359814465315</v>
          </cell>
          <cell r="BB8">
            <v>12333.389007218768</v>
          </cell>
          <cell r="BC8">
            <v>-9.2457070888925269E-2</v>
          </cell>
          <cell r="BD8">
            <v>-0.12368469715229233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-0.2161417680412176</v>
          </cell>
          <cell r="BP8">
            <v>0</v>
          </cell>
          <cell r="BQ8">
            <v>8.4051882626295701E-3</v>
          </cell>
          <cell r="BR8">
            <v>1.964925164011069E-2</v>
          </cell>
          <cell r="BS8">
            <v>1.964925164011069E-2</v>
          </cell>
          <cell r="BT8">
            <v>1.964925164011069E-2</v>
          </cell>
          <cell r="BU8">
            <v>1.964925164011069E-2</v>
          </cell>
          <cell r="BV8">
            <v>1.964925164011069E-2</v>
          </cell>
          <cell r="BW8">
            <v>1.964925164011069E-2</v>
          </cell>
          <cell r="BX8">
            <v>1.964925164011069E-2</v>
          </cell>
          <cell r="BY8">
            <v>1.964925164011069E-2</v>
          </cell>
          <cell r="BZ8">
            <v>1.964925164011069E-2</v>
          </cell>
          <cell r="CA8">
            <v>1.964925164011069E-2</v>
          </cell>
          <cell r="CB8">
            <v>0</v>
          </cell>
          <cell r="CC8">
            <v>72.678924433525026</v>
          </cell>
          <cell r="CD8">
            <v>168.33853845664999</v>
          </cell>
          <cell r="CE8">
            <v>169.64669181739009</v>
          </cell>
          <cell r="CF8">
            <v>168.94224292493163</v>
          </cell>
          <cell r="CG8">
            <v>184.3777566467179</v>
          </cell>
          <cell r="CH8">
            <v>207.62732428338131</v>
          </cell>
          <cell r="CI8">
            <v>191.99429327486177</v>
          </cell>
          <cell r="CJ8">
            <v>187.05900936330363</v>
          </cell>
          <cell r="CK8">
            <v>190.44916599124008</v>
          </cell>
          <cell r="CL8">
            <v>197.67245184570311</v>
          </cell>
          <cell r="CM8">
            <v>194.95410614284629</v>
          </cell>
        </row>
        <row r="9">
          <cell r="B9" t="str">
            <v>Direct Reports</v>
          </cell>
          <cell r="C9">
            <v>106130.63256293107</v>
          </cell>
          <cell r="D9">
            <v>105302.898030287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109727.76553237648</v>
          </cell>
          <cell r="P9">
            <v>110375.55106380406</v>
          </cell>
          <cell r="Q9">
            <v>111551.33120635067</v>
          </cell>
          <cell r="R9">
            <v>114241.24439791562</v>
          </cell>
          <cell r="S9">
            <v>117554.15424500137</v>
          </cell>
          <cell r="T9">
            <v>121471.13660474888</v>
          </cell>
          <cell r="U9">
            <v>129143.62750863424</v>
          </cell>
          <cell r="V9">
            <v>121579.90266152838</v>
          </cell>
          <cell r="W9">
            <v>123377.21615036942</v>
          </cell>
          <cell r="X9">
            <v>122326.48345091887</v>
          </cell>
          <cell r="Y9">
            <v>124144.13707413833</v>
          </cell>
          <cell r="Z9">
            <v>128370.69970441317</v>
          </cell>
          <cell r="AA9">
            <v>90943.474606718446</v>
          </cell>
          <cell r="AB9">
            <v>91227.88301934037</v>
          </cell>
          <cell r="AC9">
            <v>91847.17334422945</v>
          </cell>
          <cell r="AD9">
            <v>94068.538237240704</v>
          </cell>
          <cell r="AE9">
            <v>96798.951039029838</v>
          </cell>
          <cell r="AF9">
            <v>100001.57956100875</v>
          </cell>
          <cell r="AG9">
            <v>106317.14249329982</v>
          </cell>
          <cell r="AH9">
            <v>100022.34433337844</v>
          </cell>
          <cell r="AI9">
            <v>101527.71992165786</v>
          </cell>
          <cell r="AJ9">
            <v>100628.74809375369</v>
          </cell>
          <cell r="AK9">
            <v>102112.76719775186</v>
          </cell>
          <cell r="AL9">
            <v>105610.34718486862</v>
          </cell>
          <cell r="AM9">
            <v>98473.732838424461</v>
          </cell>
          <cell r="AN9">
            <v>118834.01356318382</v>
          </cell>
          <cell r="AO9">
            <v>20360.280724759363</v>
          </cell>
          <cell r="AP9">
            <v>0.20675849424908546</v>
          </cell>
          <cell r="AQ9">
            <v>109727.76553237648</v>
          </cell>
          <cell r="AR9">
            <v>110046.82922283825</v>
          </cell>
          <cell r="AS9">
            <v>110788.11298555238</v>
          </cell>
          <cell r="AT9">
            <v>113461.50151298021</v>
          </cell>
          <cell r="AU9">
            <v>116758.49310792748</v>
          </cell>
          <cell r="AV9">
            <v>120642.26514984855</v>
          </cell>
          <cell r="AW9">
            <v>128252.97669298816</v>
          </cell>
          <cell r="AX9">
            <v>120756.93879235322</v>
          </cell>
          <cell r="AY9">
            <v>122546.52245006658</v>
          </cell>
          <cell r="AZ9">
            <v>121505.40553071204</v>
          </cell>
          <cell r="BA9">
            <v>123308.04272361702</v>
          </cell>
          <cell r="BB9">
            <v>127512.0421073566</v>
          </cell>
          <cell r="BC9">
            <v>-3.97629179101682E-2</v>
          </cell>
          <cell r="BD9">
            <v>-5.2474359343064131E-2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-9.223727725323233E-2</v>
          </cell>
          <cell r="BP9">
            <v>0</v>
          </cell>
          <cell r="BQ9">
            <v>3.6148107191061999E-3</v>
          </cell>
          <cell r="BR9">
            <v>8.3852070230211202E-3</v>
          </cell>
          <cell r="BS9">
            <v>8.3852070230211202E-3</v>
          </cell>
          <cell r="BT9">
            <v>8.3852070230211202E-3</v>
          </cell>
          <cell r="BU9">
            <v>8.3852070230211202E-3</v>
          </cell>
          <cell r="BV9">
            <v>8.3852070230211202E-3</v>
          </cell>
          <cell r="BW9">
            <v>8.3852070230211202E-3</v>
          </cell>
          <cell r="BX9">
            <v>8.3852070230211202E-3</v>
          </cell>
          <cell r="BY9">
            <v>8.3852070230211202E-3</v>
          </cell>
          <cell r="BZ9">
            <v>8.3852070230211202E-3</v>
          </cell>
          <cell r="CA9">
            <v>8.3852070230211202E-3</v>
          </cell>
          <cell r="CB9">
            <v>0</v>
          </cell>
          <cell r="CC9">
            <v>328.72184096580895</v>
          </cell>
          <cell r="CD9">
            <v>763.21822079829872</v>
          </cell>
          <cell r="CE9">
            <v>779.74288493541826</v>
          </cell>
          <cell r="CF9">
            <v>795.66113707388286</v>
          </cell>
          <cell r="CG9">
            <v>828.87145490033436</v>
          </cell>
          <cell r="CH9">
            <v>890.65081564607681</v>
          </cell>
          <cell r="CI9">
            <v>822.96386917516065</v>
          </cell>
          <cell r="CJ9">
            <v>830.69370030284335</v>
          </cell>
          <cell r="CK9">
            <v>821.07792020682245</v>
          </cell>
          <cell r="CL9">
            <v>836.09435052130721</v>
          </cell>
          <cell r="CM9">
            <v>858.65759705657547</v>
          </cell>
        </row>
        <row r="10">
          <cell r="B10" t="str">
            <v>Islamabad</v>
          </cell>
          <cell r="C10">
            <v>55065.342844378589</v>
          </cell>
          <cell r="D10">
            <v>55099.322270029996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55296.242218018677</v>
          </cell>
          <cell r="P10">
            <v>53780.816851839918</v>
          </cell>
          <cell r="Q10">
            <v>54420.78820312921</v>
          </cell>
          <cell r="R10">
            <v>55549.860960801001</v>
          </cell>
          <cell r="S10">
            <v>69906.254000476343</v>
          </cell>
          <cell r="T10">
            <v>66695.571745705034</v>
          </cell>
          <cell r="U10">
            <v>68195.088305194353</v>
          </cell>
          <cell r="V10">
            <v>64842.283603326752</v>
          </cell>
          <cell r="W10">
            <v>67184.91979346337</v>
          </cell>
          <cell r="X10">
            <v>67054.312945556463</v>
          </cell>
          <cell r="Y10">
            <v>66663.709205124513</v>
          </cell>
          <cell r="Z10">
            <v>69726.171033506515</v>
          </cell>
          <cell r="AA10">
            <v>44381.257255016157</v>
          </cell>
          <cell r="AB10">
            <v>43148.583824841262</v>
          </cell>
          <cell r="AC10">
            <v>43761.077851434806</v>
          </cell>
          <cell r="AD10">
            <v>44668.992684714794</v>
          </cell>
          <cell r="AE10">
            <v>56213.31709122724</v>
          </cell>
          <cell r="AF10">
            <v>53631.529492289294</v>
          </cell>
          <cell r="AG10">
            <v>54837.327185891147</v>
          </cell>
          <cell r="AH10">
            <v>52141.255474628277</v>
          </cell>
          <cell r="AI10">
            <v>54025.026145341617</v>
          </cell>
          <cell r="AJ10">
            <v>53920.002006076094</v>
          </cell>
          <cell r="AK10">
            <v>53605.908049364138</v>
          </cell>
          <cell r="AL10">
            <v>56068.508002687966</v>
          </cell>
          <cell r="AM10">
            <v>50923.586655130588</v>
          </cell>
          <cell r="AN10">
            <v>63447.571259917415</v>
          </cell>
          <cell r="AO10">
            <v>12523.984604786827</v>
          </cell>
          <cell r="AP10">
            <v>0.24593681292723765</v>
          </cell>
          <cell r="AQ10">
            <v>55296.242218018677</v>
          </cell>
          <cell r="AR10">
            <v>53760.409013046483</v>
          </cell>
          <cell r="AS10">
            <v>54523.537868477411</v>
          </cell>
          <cell r="AT10">
            <v>55654.742382263648</v>
          </cell>
          <cell r="AU10">
            <v>70038.241140711893</v>
          </cell>
          <cell r="AV10">
            <v>66821.496928036082</v>
          </cell>
          <cell r="AW10">
            <v>68323.844663437383</v>
          </cell>
          <cell r="AX10">
            <v>64964.70966808324</v>
          </cell>
          <cell r="AY10">
            <v>67311.768893837623</v>
          </cell>
          <cell r="AZ10">
            <v>67180.915452480709</v>
          </cell>
          <cell r="BA10">
            <v>66789.574229095306</v>
          </cell>
          <cell r="BB10">
            <v>69857.818166454366</v>
          </cell>
          <cell r="BC10">
            <v>-5.2026325507934235E-3</v>
          </cell>
          <cell r="BD10">
            <v>3.1030294352619753E-2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2.5827661801826329E-2</v>
          </cell>
          <cell r="BP10">
            <v>0</v>
          </cell>
          <cell r="BQ10">
            <v>4.7296659552667486E-4</v>
          </cell>
          <cell r="BR10">
            <v>-2.3479692547114846E-3</v>
          </cell>
          <cell r="BS10">
            <v>-2.3479692547114846E-3</v>
          </cell>
          <cell r="BT10">
            <v>-2.3479692547114846E-3</v>
          </cell>
          <cell r="BU10">
            <v>-2.3479692547114846E-3</v>
          </cell>
          <cell r="BV10">
            <v>-2.3479692547114846E-3</v>
          </cell>
          <cell r="BW10">
            <v>-2.3479692547114846E-3</v>
          </cell>
          <cell r="BX10">
            <v>-2.3479692547114846E-3</v>
          </cell>
          <cell r="BY10">
            <v>-2.3479692547114846E-3</v>
          </cell>
          <cell r="BZ10">
            <v>-2.3479692547114846E-3</v>
          </cell>
          <cell r="CA10">
            <v>-2.3479692547114846E-3</v>
          </cell>
          <cell r="CB10">
            <v>0</v>
          </cell>
          <cell r="CC10">
            <v>20.407838793435076</v>
          </cell>
          <cell r="CD10">
            <v>-102.74966534820123</v>
          </cell>
          <cell r="CE10">
            <v>-104.88142146264727</v>
          </cell>
          <cell r="CF10">
            <v>-131.9871402355493</v>
          </cell>
          <cell r="CG10">
            <v>-125.92518233104784</v>
          </cell>
          <cell r="CH10">
            <v>-128.75635824303026</v>
          </cell>
          <cell r="CI10">
            <v>-122.4260647564879</v>
          </cell>
          <cell r="CJ10">
            <v>-126.84910037425288</v>
          </cell>
          <cell r="CK10">
            <v>-126.60250692424597</v>
          </cell>
          <cell r="CL10">
            <v>-125.86502397079312</v>
          </cell>
          <cell r="CM10">
            <v>-131.64713294785179</v>
          </cell>
        </row>
        <row r="11">
          <cell r="B11" t="str">
            <v>Jhelum</v>
          </cell>
          <cell r="C11">
            <v>8346.2628362255164</v>
          </cell>
          <cell r="D11">
            <v>8445.3812290500009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7902.7261350191284</v>
          </cell>
          <cell r="P11">
            <v>7813.5328512234046</v>
          </cell>
          <cell r="Q11">
            <v>8048.038855875222</v>
          </cell>
          <cell r="R11">
            <v>8364.9863595191346</v>
          </cell>
          <cell r="S11">
            <v>8305.9352917695742</v>
          </cell>
          <cell r="T11">
            <v>8678.5305348701277</v>
          </cell>
          <cell r="U11">
            <v>9414.1240370028372</v>
          </cell>
          <cell r="V11">
            <v>9397.7950386380653</v>
          </cell>
          <cell r="W11">
            <v>9607.9400379315684</v>
          </cell>
          <cell r="X11">
            <v>9792.0743497714229</v>
          </cell>
          <cell r="Y11">
            <v>10029.111328364481</v>
          </cell>
          <cell r="Z11">
            <v>10334.297428090973</v>
          </cell>
          <cell r="AA11">
            <v>6101.1355405799995</v>
          </cell>
          <cell r="AB11">
            <v>6063.2116127253585</v>
          </cell>
          <cell r="AC11">
            <v>6288.4832145035443</v>
          </cell>
          <cell r="AD11">
            <v>6536.1359771500029</v>
          </cell>
          <cell r="AE11">
            <v>6489.995339040318</v>
          </cell>
          <cell r="AF11">
            <v>6781.1294866260023</v>
          </cell>
          <cell r="AG11">
            <v>7355.8990017461383</v>
          </cell>
          <cell r="AH11">
            <v>7343.1400384800054</v>
          </cell>
          <cell r="AI11">
            <v>7507.3406995770056</v>
          </cell>
          <cell r="AJ11">
            <v>7651.2174315306265</v>
          </cell>
          <cell r="AK11">
            <v>7836.4306353673492</v>
          </cell>
          <cell r="AL11">
            <v>8074.8934086961372</v>
          </cell>
          <cell r="AM11">
            <v>7008.3526365200014</v>
          </cell>
          <cell r="AN11">
            <v>9077.833327202512</v>
          </cell>
          <cell r="AO11">
            <v>2069.4806906825106</v>
          </cell>
          <cell r="AP11">
            <v>0.2952877513466719</v>
          </cell>
          <cell r="AQ11">
            <v>7902.7261350191284</v>
          </cell>
          <cell r="AR11">
            <v>7853.6037357860569</v>
          </cell>
          <cell r="AS11">
            <v>8145.3952822955862</v>
          </cell>
          <cell r="AT11">
            <v>8466.1768723387086</v>
          </cell>
          <cell r="AU11">
            <v>8406.4114689559137</v>
          </cell>
          <cell r="AV11">
            <v>8783.5139643224065</v>
          </cell>
          <cell r="AW11">
            <v>9528.0058771049844</v>
          </cell>
          <cell r="AX11">
            <v>9511.4793482664791</v>
          </cell>
          <cell r="AY11">
            <v>9724.1664533484491</v>
          </cell>
          <cell r="AZ11">
            <v>9910.528221951763</v>
          </cell>
          <cell r="BA11">
            <v>10150.432616269145</v>
          </cell>
          <cell r="BB11">
            <v>10459.310525714081</v>
          </cell>
          <cell r="BC11">
            <v>7.2697401697819408E-2</v>
          </cell>
          <cell r="BD11">
            <v>9.7601326007149714E-2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0.17029872770496912</v>
          </cell>
          <cell r="BP11">
            <v>0</v>
          </cell>
          <cell r="BQ11">
            <v>-6.6088546998017642E-3</v>
          </cell>
          <cell r="BR11">
            <v>-1.5481702518633556E-2</v>
          </cell>
          <cell r="BS11">
            <v>-1.5481702518633556E-2</v>
          </cell>
          <cell r="BT11">
            <v>-1.5481702518633556E-2</v>
          </cell>
          <cell r="BU11">
            <v>-1.5481702518633556E-2</v>
          </cell>
          <cell r="BV11">
            <v>-1.5481702518633556E-2</v>
          </cell>
          <cell r="BW11">
            <v>-1.5481702518633556E-2</v>
          </cell>
          <cell r="BX11">
            <v>-1.5481702518633556E-2</v>
          </cell>
          <cell r="BY11">
            <v>-1.5481702518633556E-2</v>
          </cell>
          <cell r="BZ11">
            <v>-1.5481702518633556E-2</v>
          </cell>
          <cell r="CA11">
            <v>-1.5481702518633556E-2</v>
          </cell>
          <cell r="CB11">
            <v>0</v>
          </cell>
          <cell r="CC11">
            <v>-40.070884562652282</v>
          </cell>
          <cell r="CD11">
            <v>-97.356426420364187</v>
          </cell>
          <cell r="CE11">
            <v>-101.190512819574</v>
          </cell>
          <cell r="CF11">
            <v>-100.47617718633956</v>
          </cell>
          <cell r="CG11">
            <v>-104.98342945227887</v>
          </cell>
          <cell r="CH11">
            <v>-113.88184010214718</v>
          </cell>
          <cell r="CI11">
            <v>-113.68430962841376</v>
          </cell>
          <cell r="CJ11">
            <v>-116.22641541688063</v>
          </cell>
          <cell r="CK11">
            <v>-118.45387218034011</v>
          </cell>
          <cell r="CL11">
            <v>-121.32128790466413</v>
          </cell>
          <cell r="CM11">
            <v>-125.01309762310848</v>
          </cell>
        </row>
        <row r="12">
          <cell r="B12" t="str">
            <v>Islambad &amp; Jhelum</v>
          </cell>
          <cell r="C12">
            <v>63411.605680604102</v>
          </cell>
          <cell r="D12">
            <v>63544.703499079995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63198.968353037802</v>
          </cell>
          <cell r="P12">
            <v>61594.349703063323</v>
          </cell>
          <cell r="Q12">
            <v>62468.827059004434</v>
          </cell>
          <cell r="R12">
            <v>63914.847320320136</v>
          </cell>
          <cell r="S12">
            <v>78212.189292245923</v>
          </cell>
          <cell r="T12">
            <v>75374.102280575156</v>
          </cell>
          <cell r="U12">
            <v>77609.212342197192</v>
          </cell>
          <cell r="V12">
            <v>74240.078641964821</v>
          </cell>
          <cell r="W12">
            <v>76792.859831394933</v>
          </cell>
          <cell r="X12">
            <v>76846.387295327891</v>
          </cell>
          <cell r="Y12">
            <v>76692.820533488994</v>
          </cell>
          <cell r="Z12">
            <v>80060.468461597484</v>
          </cell>
          <cell r="AA12">
            <v>50482.392795596155</v>
          </cell>
          <cell r="AB12">
            <v>49211.795437566623</v>
          </cell>
          <cell r="AC12">
            <v>50049.561065938353</v>
          </cell>
          <cell r="AD12">
            <v>51205.128661864801</v>
          </cell>
          <cell r="AE12">
            <v>62703.312430267557</v>
          </cell>
          <cell r="AF12">
            <v>60412.658978915293</v>
          </cell>
          <cell r="AG12">
            <v>62193.226187637287</v>
          </cell>
          <cell r="AH12">
            <v>59484.395513108284</v>
          </cell>
          <cell r="AI12">
            <v>61532.366844918623</v>
          </cell>
          <cell r="AJ12">
            <v>61571.21943760672</v>
          </cell>
          <cell r="AK12">
            <v>61442.338684731483</v>
          </cell>
          <cell r="AL12">
            <v>64143.401411384104</v>
          </cell>
          <cell r="AM12">
            <v>57931.939291650589</v>
          </cell>
          <cell r="AN12">
            <v>72525.404587119934</v>
          </cell>
          <cell r="AO12">
            <v>14593.465295469337</v>
          </cell>
          <cell r="AP12">
            <v>0.25190707360926573</v>
          </cell>
          <cell r="AQ12">
            <v>63198.968353037802</v>
          </cell>
          <cell r="AR12">
            <v>61614.012748832538</v>
          </cell>
          <cell r="AS12">
            <v>62668.933150772995</v>
          </cell>
          <cell r="AT12">
            <v>64120.919254602355</v>
          </cell>
          <cell r="AU12">
            <v>78444.652609667799</v>
          </cell>
          <cell r="AV12">
            <v>75605.010892358492</v>
          </cell>
          <cell r="AW12">
            <v>77851.850540542364</v>
          </cell>
          <cell r="AX12">
            <v>74476.189016349716</v>
          </cell>
          <cell r="AY12">
            <v>77035.935347186067</v>
          </cell>
          <cell r="AZ12">
            <v>77091.443674432478</v>
          </cell>
          <cell r="BA12">
            <v>76940.006845364449</v>
          </cell>
          <cell r="BB12">
            <v>80317.128692168451</v>
          </cell>
          <cell r="BC12">
            <v>4.2062397465114088E-3</v>
          </cell>
          <cell r="BD12">
            <v>3.9342370433007756E-2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4.3548610179519165E-2</v>
          </cell>
          <cell r="BP12">
            <v>0</v>
          </cell>
          <cell r="BQ12">
            <v>-3.8238543150103716E-4</v>
          </cell>
          <cell r="BR12">
            <v>-3.9589645617744695E-3</v>
          </cell>
          <cell r="BS12">
            <v>-3.9589645617744695E-3</v>
          </cell>
          <cell r="BT12">
            <v>-3.9589645617744695E-3</v>
          </cell>
          <cell r="BU12">
            <v>-3.9589645617744695E-3</v>
          </cell>
          <cell r="BV12">
            <v>-3.9589645617744695E-3</v>
          </cell>
          <cell r="BW12">
            <v>-3.9589645617744695E-3</v>
          </cell>
          <cell r="BX12">
            <v>-3.9589645617744695E-3</v>
          </cell>
          <cell r="BY12">
            <v>-3.9589645617744695E-3</v>
          </cell>
          <cell r="BZ12">
            <v>-3.9589645617744695E-3</v>
          </cell>
          <cell r="CA12">
            <v>-3.9589645617744695E-3</v>
          </cell>
          <cell r="CB12">
            <v>0</v>
          </cell>
          <cell r="CC12">
            <v>-19.663045769215387</v>
          </cell>
          <cell r="CD12">
            <v>-200.10609176856087</v>
          </cell>
          <cell r="CE12">
            <v>-206.07193428221944</v>
          </cell>
          <cell r="CF12">
            <v>-232.46331742187613</v>
          </cell>
          <cell r="CG12">
            <v>-230.9086117833358</v>
          </cell>
          <cell r="CH12">
            <v>-242.63819834517199</v>
          </cell>
          <cell r="CI12">
            <v>-236.11037438489439</v>
          </cell>
          <cell r="CJ12">
            <v>-243.07551579113351</v>
          </cell>
          <cell r="CK12">
            <v>-245.05637910458609</v>
          </cell>
          <cell r="CL12">
            <v>-247.18631187545543</v>
          </cell>
          <cell r="CM12">
            <v>-256.66023057096754</v>
          </cell>
        </row>
        <row r="13">
          <cell r="B13" t="str">
            <v>Lahore</v>
          </cell>
          <cell r="C13">
            <v>51915.804374176216</v>
          </cell>
          <cell r="D13">
            <v>51966.788395501018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53792.186568626414</v>
          </cell>
          <cell r="P13">
            <v>53884.477452507628</v>
          </cell>
          <cell r="Q13">
            <v>55277.164499370767</v>
          </cell>
          <cell r="R13">
            <v>56866.913201942283</v>
          </cell>
          <cell r="S13">
            <v>58150.185772949953</v>
          </cell>
          <cell r="T13">
            <v>60744.139699281557</v>
          </cell>
          <cell r="U13">
            <v>63263.593498173526</v>
          </cell>
          <cell r="V13">
            <v>61225.658521634476</v>
          </cell>
          <cell r="W13">
            <v>62178.227541776134</v>
          </cell>
          <cell r="X13">
            <v>61846.385687050082</v>
          </cell>
          <cell r="Y13">
            <v>62815.957867606914</v>
          </cell>
          <cell r="Z13">
            <v>64624.057218723778</v>
          </cell>
          <cell r="AA13">
            <v>43023.114870425467</v>
          </cell>
          <cell r="AB13">
            <v>42960.696828865948</v>
          </cell>
          <cell r="AC13">
            <v>43941.511232716861</v>
          </cell>
          <cell r="AD13">
            <v>45205.251171331809</v>
          </cell>
          <cell r="AE13">
            <v>46225.363845421904</v>
          </cell>
          <cell r="AF13">
            <v>48287.377275802319</v>
          </cell>
          <cell r="AG13">
            <v>50290.16827289811</v>
          </cell>
          <cell r="AH13">
            <v>48670.151336896321</v>
          </cell>
          <cell r="AI13">
            <v>49427.377628758113</v>
          </cell>
          <cell r="AJ13">
            <v>49163.586373924547</v>
          </cell>
          <cell r="AK13">
            <v>49934.328998817196</v>
          </cell>
          <cell r="AL13">
            <v>51371.64255617006</v>
          </cell>
          <cell r="AM13">
            <v>47402.140429018029</v>
          </cell>
          <cell r="AN13">
            <v>59267.321517502911</v>
          </cell>
          <cell r="AO13">
            <v>11865.181088484882</v>
          </cell>
          <cell r="AP13">
            <v>0.25030897299357835</v>
          </cell>
          <cell r="AQ13">
            <v>53792.186568626414</v>
          </cell>
          <cell r="AR13">
            <v>53714.144731187858</v>
          </cell>
          <cell r="AS13">
            <v>54940.465781164006</v>
          </cell>
          <cell r="AT13">
            <v>56520.531165944631</v>
          </cell>
          <cell r="AU13">
            <v>57795.987195823946</v>
          </cell>
          <cell r="AV13">
            <v>60374.141090261852</v>
          </cell>
          <cell r="AW13">
            <v>62878.248644961473</v>
          </cell>
          <cell r="AX13">
            <v>60852.726933476872</v>
          </cell>
          <cell r="AY13">
            <v>61799.493760778329</v>
          </cell>
          <cell r="AZ13">
            <v>61469.673187862682</v>
          </cell>
          <cell r="BA13">
            <v>62433.339607634589</v>
          </cell>
          <cell r="BB13">
            <v>64230.425645398194</v>
          </cell>
          <cell r="BC13">
            <v>-4.3613350639566173E-2</v>
          </cell>
          <cell r="BD13">
            <v>-4.067337042151431E-2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-8.4286721061080483E-2</v>
          </cell>
          <cell r="BP13">
            <v>0</v>
          </cell>
          <cell r="BQ13">
            <v>3.9648500581423796E-3</v>
          </cell>
          <cell r="BR13">
            <v>7.6624291873709531E-3</v>
          </cell>
          <cell r="BS13">
            <v>7.6624291873709531E-3</v>
          </cell>
          <cell r="BT13">
            <v>7.6624291873709531E-3</v>
          </cell>
          <cell r="BU13">
            <v>7.6624291873709531E-3</v>
          </cell>
          <cell r="BV13">
            <v>7.6624291873709531E-3</v>
          </cell>
          <cell r="BW13">
            <v>7.6624291873709531E-3</v>
          </cell>
          <cell r="BX13">
            <v>7.6624291873709531E-3</v>
          </cell>
          <cell r="BY13">
            <v>7.6624291873709531E-3</v>
          </cell>
          <cell r="BZ13">
            <v>7.6624291873709531E-3</v>
          </cell>
          <cell r="CA13">
            <v>7.6624291873709531E-3</v>
          </cell>
          <cell r="CB13">
            <v>0</v>
          </cell>
          <cell r="CC13">
            <v>170.33272131976992</v>
          </cell>
          <cell r="CD13">
            <v>336.69871820676053</v>
          </cell>
          <cell r="CE13">
            <v>346.38203599765257</v>
          </cell>
          <cell r="CF13">
            <v>354.19857712600788</v>
          </cell>
          <cell r="CG13">
            <v>369.99860901970533</v>
          </cell>
          <cell r="CH13">
            <v>385.34485321205284</v>
          </cell>
          <cell r="CI13">
            <v>372.93158815760398</v>
          </cell>
          <cell r="CJ13">
            <v>378.7337809978053</v>
          </cell>
          <cell r="CK13">
            <v>376.71249918740068</v>
          </cell>
          <cell r="CL13">
            <v>382.61825997232518</v>
          </cell>
          <cell r="CM13">
            <v>393.6315733255833</v>
          </cell>
        </row>
        <row r="14">
          <cell r="B14" t="str">
            <v>Gujranwala</v>
          </cell>
          <cell r="C14">
            <v>16014.271102328967</v>
          </cell>
          <cell r="D14">
            <v>15878.116644747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18047.623736103302</v>
          </cell>
          <cell r="P14">
            <v>17868.594899929773</v>
          </cell>
          <cell r="Q14">
            <v>18346.87372718054</v>
          </cell>
          <cell r="R14">
            <v>18651.317631835551</v>
          </cell>
          <cell r="S14">
            <v>19800.856870748237</v>
          </cell>
          <cell r="T14">
            <v>20298.158522079433</v>
          </cell>
          <cell r="U14">
            <v>19684.61494099941</v>
          </cell>
          <cell r="V14">
            <v>18838.769699979835</v>
          </cell>
          <cell r="W14">
            <v>18770.791382169868</v>
          </cell>
          <cell r="X14">
            <v>18899.231409835433</v>
          </cell>
          <cell r="Y14">
            <v>19136.673699446546</v>
          </cell>
          <cell r="Z14">
            <v>19936.870032066825</v>
          </cell>
          <cell r="AA14">
            <v>14584.9498176</v>
          </cell>
          <cell r="AB14">
            <v>14293.867100875346</v>
          </cell>
          <cell r="AC14">
            <v>14542.596148177121</v>
          </cell>
          <cell r="AD14">
            <v>14783.912724559987</v>
          </cell>
          <cell r="AE14">
            <v>15695.091661995186</v>
          </cell>
          <cell r="AF14">
            <v>16089.276370881964</v>
          </cell>
          <cell r="AG14">
            <v>15602.952834151311</v>
          </cell>
          <cell r="AH14">
            <v>14932.496061683212</v>
          </cell>
          <cell r="AI14">
            <v>14878.613245600043</v>
          </cell>
          <cell r="AJ14">
            <v>14980.420860312834</v>
          </cell>
          <cell r="AK14">
            <v>15168.62880122199</v>
          </cell>
          <cell r="AL14">
            <v>15802.902099092311</v>
          </cell>
          <cell r="AM14">
            <v>15118.424402920002</v>
          </cell>
          <cell r="AN14">
            <v>18707.752753277626</v>
          </cell>
          <cell r="AO14">
            <v>3589.328350357624</v>
          </cell>
          <cell r="AP14">
            <v>0.2374141811804393</v>
          </cell>
          <cell r="AQ14">
            <v>18047.623736103302</v>
          </cell>
          <cell r="AR14">
            <v>17687.433854531686</v>
          </cell>
          <cell r="AS14">
            <v>17995.214704934402</v>
          </cell>
          <cell r="AT14">
            <v>18293.823258704473</v>
          </cell>
          <cell r="AU14">
            <v>19421.328997479715</v>
          </cell>
          <cell r="AV14">
            <v>19909.098746260697</v>
          </cell>
          <cell r="AW14">
            <v>19307.315105268361</v>
          </cell>
          <cell r="AX14">
            <v>18477.682387147866</v>
          </cell>
          <cell r="AY14">
            <v>18411.007026404615</v>
          </cell>
          <cell r="AZ14">
            <v>18536.985212602376</v>
          </cell>
          <cell r="BA14">
            <v>18769.876387694138</v>
          </cell>
          <cell r="BB14">
            <v>19554.735161222958</v>
          </cell>
          <cell r="BC14">
            <v>-0.13941444154443647</v>
          </cell>
          <cell r="BD14">
            <v>-0.12657996587038964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-0.26599440741482611</v>
          </cell>
          <cell r="BP14">
            <v>0</v>
          </cell>
          <cell r="BQ14">
            <v>1.2674040140403315E-2</v>
          </cell>
          <cell r="BR14">
            <v>2.4181309764984192E-2</v>
          </cell>
          <cell r="BS14">
            <v>2.4181309764984192E-2</v>
          </cell>
          <cell r="BT14">
            <v>2.4181309764984192E-2</v>
          </cell>
          <cell r="BU14">
            <v>2.4181309764984192E-2</v>
          </cell>
          <cell r="BV14">
            <v>2.4181309764984192E-2</v>
          </cell>
          <cell r="BW14">
            <v>2.4181309764984192E-2</v>
          </cell>
          <cell r="BX14">
            <v>2.4181309764984192E-2</v>
          </cell>
          <cell r="BY14">
            <v>2.4181309764984192E-2</v>
          </cell>
          <cell r="BZ14">
            <v>2.4181309764984192E-2</v>
          </cell>
          <cell r="CA14">
            <v>2.4181309764984192E-2</v>
          </cell>
          <cell r="CB14">
            <v>0</v>
          </cell>
          <cell r="CC14">
            <v>181.16104539808657</v>
          </cell>
          <cell r="CD14">
            <v>351.65902224613819</v>
          </cell>
          <cell r="CE14">
            <v>357.49437313107774</v>
          </cell>
          <cell r="CF14">
            <v>379.52787326852194</v>
          </cell>
          <cell r="CG14">
            <v>389.05977581873594</v>
          </cell>
          <cell r="CH14">
            <v>377.29983573104982</v>
          </cell>
          <cell r="CI14">
            <v>361.08731283196903</v>
          </cell>
          <cell r="CJ14">
            <v>359.78435576525226</v>
          </cell>
          <cell r="CK14">
            <v>362.24619723305659</v>
          </cell>
          <cell r="CL14">
            <v>366.79731175240886</v>
          </cell>
          <cell r="CM14">
            <v>382.13487084386725</v>
          </cell>
        </row>
        <row r="15">
          <cell r="B15" t="str">
            <v>Lahore &amp; Gujranwala</v>
          </cell>
          <cell r="C15">
            <v>67930.075476505182</v>
          </cell>
          <cell r="D15">
            <v>67844.905040248021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71839.810304729719</v>
          </cell>
          <cell r="P15">
            <v>71753.072352437404</v>
          </cell>
          <cell r="Q15">
            <v>73624.038226551304</v>
          </cell>
          <cell r="R15">
            <v>75518.230833777838</v>
          </cell>
          <cell r="S15">
            <v>77951.042643698194</v>
          </cell>
          <cell r="T15">
            <v>81042.298221360994</v>
          </cell>
          <cell r="U15">
            <v>82948.208439172944</v>
          </cell>
          <cell r="V15">
            <v>80064.428221614304</v>
          </cell>
          <cell r="W15">
            <v>80949.018923946001</v>
          </cell>
          <cell r="X15">
            <v>80745.617096885515</v>
          </cell>
          <cell r="Y15">
            <v>81952.631567053468</v>
          </cell>
          <cell r="Z15">
            <v>84560.927250790599</v>
          </cell>
          <cell r="AA15">
            <v>57608.064688025464</v>
          </cell>
          <cell r="AB15">
            <v>57254.563929741293</v>
          </cell>
          <cell r="AC15">
            <v>58484.107380893984</v>
          </cell>
          <cell r="AD15">
            <v>59989.163895891797</v>
          </cell>
          <cell r="AE15">
            <v>61920.455507417093</v>
          </cell>
          <cell r="AF15">
            <v>64376.653646684281</v>
          </cell>
          <cell r="AG15">
            <v>65893.121107049417</v>
          </cell>
          <cell r="AH15">
            <v>63602.647398579531</v>
          </cell>
          <cell r="AI15">
            <v>64305.990874358155</v>
          </cell>
          <cell r="AJ15">
            <v>64144.007234237382</v>
          </cell>
          <cell r="AK15">
            <v>65102.957800039185</v>
          </cell>
          <cell r="AL15">
            <v>67174.544655262376</v>
          </cell>
          <cell r="AM15">
            <v>62520.564831938027</v>
          </cell>
          <cell r="AN15">
            <v>77975.074270780533</v>
          </cell>
          <cell r="AO15">
            <v>15454.509438842506</v>
          </cell>
          <cell r="AP15">
            <v>0.24719081602007087</v>
          </cell>
          <cell r="AQ15">
            <v>71839.810304729719</v>
          </cell>
          <cell r="AR15">
            <v>71401.578585719544</v>
          </cell>
          <cell r="AS15">
            <v>72935.680486098412</v>
          </cell>
          <cell r="AT15">
            <v>74814.354424649107</v>
          </cell>
          <cell r="AU15">
            <v>77217.316193303661</v>
          </cell>
          <cell r="AV15">
            <v>80283.239836522553</v>
          </cell>
          <cell r="AW15">
            <v>82185.563750229834</v>
          </cell>
          <cell r="AX15">
            <v>79330.409320624734</v>
          </cell>
          <cell r="AY15">
            <v>80210.500787182944</v>
          </cell>
          <cell r="AZ15">
            <v>80006.658400465065</v>
          </cell>
          <cell r="BA15">
            <v>81203.215995328734</v>
          </cell>
          <cell r="BB15">
            <v>83785.160806621148</v>
          </cell>
          <cell r="BC15">
            <v>-6.8014326679937342E-2</v>
          </cell>
          <cell r="BD15">
            <v>-6.2221437447867567E-2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-0.13023576412780491</v>
          </cell>
          <cell r="BP15">
            <v>0</v>
          </cell>
          <cell r="BQ15">
            <v>6.1831206072670312E-3</v>
          </cell>
          <cell r="BR15">
            <v>1.1839614920709536E-2</v>
          </cell>
          <cell r="BS15">
            <v>1.1839614920709536E-2</v>
          </cell>
          <cell r="BT15">
            <v>1.1839614920709536E-2</v>
          </cell>
          <cell r="BU15">
            <v>1.1839614920709536E-2</v>
          </cell>
          <cell r="BV15">
            <v>1.1839614920709536E-2</v>
          </cell>
          <cell r="BW15">
            <v>1.1839614920709536E-2</v>
          </cell>
          <cell r="BX15">
            <v>1.1839614920709536E-2</v>
          </cell>
          <cell r="BY15">
            <v>1.1839614920709536E-2</v>
          </cell>
          <cell r="BZ15">
            <v>1.1839614920709536E-2</v>
          </cell>
          <cell r="CA15">
            <v>1.1839614920709536E-2</v>
          </cell>
          <cell r="CB15">
            <v>0</v>
          </cell>
          <cell r="CC15">
            <v>351.49376671786013</v>
          </cell>
          <cell r="CD15">
            <v>688.35774045289145</v>
          </cell>
          <cell r="CE15">
            <v>703.8764091287303</v>
          </cell>
          <cell r="CF15">
            <v>733.72645039453346</v>
          </cell>
          <cell r="CG15">
            <v>759.05838483844127</v>
          </cell>
          <cell r="CH15">
            <v>762.64468894310994</v>
          </cell>
          <cell r="CI15">
            <v>734.01890098956937</v>
          </cell>
          <cell r="CJ15">
            <v>738.51813676305756</v>
          </cell>
          <cell r="CK15">
            <v>738.95869642045</v>
          </cell>
          <cell r="CL15">
            <v>749.41557172473404</v>
          </cell>
          <cell r="CM15">
            <v>775.76644416945055</v>
          </cell>
        </row>
        <row r="16">
          <cell r="B16" t="str">
            <v>Multan</v>
          </cell>
          <cell r="C16">
            <v>17915.333195002408</v>
          </cell>
          <cell r="D16">
            <v>17759.48170721799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19154.411353850723</v>
          </cell>
          <cell r="P16">
            <v>19111.650280065056</v>
          </cell>
          <cell r="Q16">
            <v>19557.863532514428</v>
          </cell>
          <cell r="R16">
            <v>19712.140280117932</v>
          </cell>
          <cell r="S16">
            <v>21005.275893198959</v>
          </cell>
          <cell r="T16">
            <v>21948.250680694</v>
          </cell>
          <cell r="U16">
            <v>23133.63574714358</v>
          </cell>
          <cell r="V16">
            <v>21997.941710511848</v>
          </cell>
          <cell r="W16">
            <v>22109.802231542933</v>
          </cell>
          <cell r="X16">
            <v>21372.243698205824</v>
          </cell>
          <cell r="Y16">
            <v>21304.338350107828</v>
          </cell>
          <cell r="Z16">
            <v>22610.470397047924</v>
          </cell>
          <cell r="AA16">
            <v>15375.649411505514</v>
          </cell>
          <cell r="AB16">
            <v>15251.632233551389</v>
          </cell>
          <cell r="AC16">
            <v>15516.171035505689</v>
          </cell>
          <cell r="AD16">
            <v>15638.566019939337</v>
          </cell>
          <cell r="AE16">
            <v>16664.471191601468</v>
          </cell>
          <cell r="AF16">
            <v>17412.577346479706</v>
          </cell>
          <cell r="AG16">
            <v>18352.998952520094</v>
          </cell>
          <cell r="AH16">
            <v>17451.999572547618</v>
          </cell>
          <cell r="AI16">
            <v>17540.74377375107</v>
          </cell>
          <cell r="AJ16">
            <v>16955.603973949837</v>
          </cell>
          <cell r="AK16">
            <v>16901.731474350767</v>
          </cell>
          <cell r="AL16">
            <v>17937.947326945592</v>
          </cell>
          <cell r="AM16">
            <v>16760.970811991549</v>
          </cell>
          <cell r="AN16">
            <v>20880.193156754347</v>
          </cell>
          <cell r="AO16">
            <v>4119.2223447627985</v>
          </cell>
          <cell r="AP16">
            <v>0.24576275389822422</v>
          </cell>
          <cell r="AQ16">
            <v>19154.411353850723</v>
          </cell>
          <cell r="AR16">
            <v>18999.915372711905</v>
          </cell>
          <cell r="AS16">
            <v>19329.467959147431</v>
          </cell>
          <cell r="AT16">
            <v>19481.943072018821</v>
          </cell>
          <cell r="AU16">
            <v>20759.97752390707</v>
          </cell>
          <cell r="AV16">
            <v>21691.940307616394</v>
          </cell>
          <cell r="AW16">
            <v>22863.482517382658</v>
          </cell>
          <cell r="AX16">
            <v>21741.051048527555</v>
          </cell>
          <cell r="AY16">
            <v>21851.605269011267</v>
          </cell>
          <cell r="AZ16">
            <v>21122.659900595427</v>
          </cell>
          <cell r="BA16">
            <v>21055.547547135506</v>
          </cell>
          <cell r="BB16">
            <v>22346.426661297031</v>
          </cell>
          <cell r="BC16">
            <v>-8.0587045508537458E-2</v>
          </cell>
          <cell r="BD16">
            <v>-8.1331207473331113E-2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-0.16191825298186857</v>
          </cell>
          <cell r="BP16">
            <v>0</v>
          </cell>
          <cell r="BQ16">
            <v>7.3260950462306776E-3</v>
          </cell>
          <cell r="BR16">
            <v>1.4719841180169869E-2</v>
          </cell>
          <cell r="BS16">
            <v>1.4719841180169869E-2</v>
          </cell>
          <cell r="BT16">
            <v>1.4719841180169869E-2</v>
          </cell>
          <cell r="BU16">
            <v>1.4719841180169869E-2</v>
          </cell>
          <cell r="BV16">
            <v>1.4719841180169869E-2</v>
          </cell>
          <cell r="BW16">
            <v>1.4719841180169869E-2</v>
          </cell>
          <cell r="BX16">
            <v>1.4719841180169869E-2</v>
          </cell>
          <cell r="BY16">
            <v>1.4719841180169869E-2</v>
          </cell>
          <cell r="BZ16">
            <v>1.4719841180169869E-2</v>
          </cell>
          <cell r="CA16">
            <v>1.4719841180169869E-2</v>
          </cell>
          <cell r="CB16">
            <v>0</v>
          </cell>
          <cell r="CC16">
            <v>111.73490735315136</v>
          </cell>
          <cell r="CD16">
            <v>228.39557336699727</v>
          </cell>
          <cell r="CE16">
            <v>230.19720809911087</v>
          </cell>
          <cell r="CF16">
            <v>245.29836929188968</v>
          </cell>
          <cell r="CG16">
            <v>256.31037307760562</v>
          </cell>
          <cell r="CH16">
            <v>270.15322976092284</v>
          </cell>
          <cell r="CI16">
            <v>256.89066198429282</v>
          </cell>
          <cell r="CJ16">
            <v>258.19696253166694</v>
          </cell>
          <cell r="CK16">
            <v>249.5837976103976</v>
          </cell>
          <cell r="CL16">
            <v>248.79080297232213</v>
          </cell>
          <cell r="CM16">
            <v>264.04373575089267</v>
          </cell>
        </row>
        <row r="17">
          <cell r="B17" t="str">
            <v>Sahiwal</v>
          </cell>
          <cell r="C17">
            <v>13976.34626157379</v>
          </cell>
          <cell r="D17">
            <v>14096.666384598004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16206.920356692659</v>
          </cell>
          <cell r="P17">
            <v>15661.762107241238</v>
          </cell>
          <cell r="Q17">
            <v>15918.049780727306</v>
          </cell>
          <cell r="R17">
            <v>15675.931897013877</v>
          </cell>
          <cell r="S17">
            <v>17115.147326586248</v>
          </cell>
          <cell r="T17">
            <v>17217.997538740445</v>
          </cell>
          <cell r="U17">
            <v>17550.154850565432</v>
          </cell>
          <cell r="V17">
            <v>17315.008466170151</v>
          </cell>
          <cell r="W17">
            <v>17729.678501161903</v>
          </cell>
          <cell r="X17">
            <v>17411.511439524518</v>
          </cell>
          <cell r="Y17">
            <v>17043.230519136789</v>
          </cell>
          <cell r="Z17">
            <v>17236.553368263361</v>
          </cell>
          <cell r="AA17">
            <v>13225.959066979998</v>
          </cell>
          <cell r="AB17">
            <v>12623.133074996073</v>
          </cell>
          <cell r="AC17">
            <v>12728.363249565489</v>
          </cell>
          <cell r="AD17">
            <v>12534.761368960002</v>
          </cell>
          <cell r="AE17">
            <v>13685.584304829699</v>
          </cell>
          <cell r="AF17">
            <v>13767.825212392288</v>
          </cell>
          <cell r="AG17">
            <v>14033.424263729999</v>
          </cell>
          <cell r="AH17">
            <v>13845.396921270692</v>
          </cell>
          <cell r="AI17">
            <v>14176.974652637977</v>
          </cell>
          <cell r="AJ17">
            <v>13922.562460795811</v>
          </cell>
          <cell r="AK17">
            <v>13628.078312476662</v>
          </cell>
          <cell r="AL17">
            <v>13782.66279248647</v>
          </cell>
          <cell r="AM17">
            <v>13503.067006420002</v>
          </cell>
          <cell r="AN17">
            <v>16546.484866303443</v>
          </cell>
          <cell r="AO17">
            <v>3043.4178598834405</v>
          </cell>
          <cell r="AP17">
            <v>0.22538715526157535</v>
          </cell>
          <cell r="AQ17">
            <v>16206.920356692659</v>
          </cell>
          <cell r="AR17">
            <v>15468.22512925774</v>
          </cell>
          <cell r="AS17">
            <v>15597.172833521035</v>
          </cell>
          <cell r="AT17">
            <v>15359.935575792588</v>
          </cell>
          <cell r="AU17">
            <v>16770.139219387729</v>
          </cell>
          <cell r="AV17">
            <v>16870.916171151981</v>
          </cell>
          <cell r="AW17">
            <v>17196.377837110871</v>
          </cell>
          <cell r="AX17">
            <v>16965.971546823268</v>
          </cell>
          <cell r="AY17">
            <v>17372.28263981151</v>
          </cell>
          <cell r="AZ17">
            <v>17060.529207786178</v>
          </cell>
          <cell r="BA17">
            <v>16699.672115007746</v>
          </cell>
          <cell r="BB17">
            <v>16889.097951214557</v>
          </cell>
          <cell r="BC17">
            <v>-0.16865121718754847</v>
          </cell>
          <cell r="BD17">
            <v>-0.10865438370261035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-0.27730560089015882</v>
          </cell>
          <cell r="BP17">
            <v>0</v>
          </cell>
          <cell r="BQ17">
            <v>1.5331928835231679E-2</v>
          </cell>
          <cell r="BR17">
            <v>2.520960008092353E-2</v>
          </cell>
          <cell r="BS17">
            <v>2.520960008092353E-2</v>
          </cell>
          <cell r="BT17">
            <v>2.520960008092353E-2</v>
          </cell>
          <cell r="BU17">
            <v>2.520960008092353E-2</v>
          </cell>
          <cell r="BV17">
            <v>2.520960008092353E-2</v>
          </cell>
          <cell r="BW17">
            <v>2.520960008092353E-2</v>
          </cell>
          <cell r="BX17">
            <v>2.520960008092353E-2</v>
          </cell>
          <cell r="BY17">
            <v>2.520960008092353E-2</v>
          </cell>
          <cell r="BZ17">
            <v>2.520960008092353E-2</v>
          </cell>
          <cell r="CA17">
            <v>2.520960008092353E-2</v>
          </cell>
          <cell r="CB17">
            <v>0</v>
          </cell>
          <cell r="CC17">
            <v>193.53697798349822</v>
          </cell>
          <cell r="CD17">
            <v>320.87694720627042</v>
          </cell>
          <cell r="CE17">
            <v>315.99632122128969</v>
          </cell>
          <cell r="CF17">
            <v>345.0081071985187</v>
          </cell>
          <cell r="CG17">
            <v>347.08136758846376</v>
          </cell>
          <cell r="CH17">
            <v>353.7770134545608</v>
          </cell>
          <cell r="CI17">
            <v>349.03691934688322</v>
          </cell>
          <cell r="CJ17">
            <v>357.39586135039281</v>
          </cell>
          <cell r="CK17">
            <v>350.98223173834049</v>
          </cell>
          <cell r="CL17">
            <v>343.55840412904217</v>
          </cell>
          <cell r="CM17">
            <v>347.45541704880452</v>
          </cell>
        </row>
        <row r="18">
          <cell r="B18" t="str">
            <v>Bahawalpur</v>
          </cell>
          <cell r="C18">
            <v>12780.305710649654</v>
          </cell>
          <cell r="D18">
            <v>13037.429716386005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12388.530648011483</v>
          </cell>
          <cell r="P18">
            <v>12783.822645631719</v>
          </cell>
          <cell r="Q18">
            <v>13345.541770283276</v>
          </cell>
          <cell r="R18">
            <v>13538.99016929051</v>
          </cell>
          <cell r="S18">
            <v>14276.662353285077</v>
          </cell>
          <cell r="T18">
            <v>14050.632742314792</v>
          </cell>
          <cell r="U18">
            <v>14033.521906710366</v>
          </cell>
          <cell r="V18">
            <v>13411.449070223665</v>
          </cell>
          <cell r="W18">
            <v>13736.697921763031</v>
          </cell>
          <cell r="X18">
            <v>14062.995764626423</v>
          </cell>
          <cell r="Y18">
            <v>14018.603180776949</v>
          </cell>
          <cell r="Z18">
            <v>14898.99591106104</v>
          </cell>
          <cell r="AA18">
            <v>9978.8348323127393</v>
          </cell>
          <cell r="AB18">
            <v>10326.927487260453</v>
          </cell>
          <cell r="AC18">
            <v>10797.333575548409</v>
          </cell>
          <cell r="AD18">
            <v>10953.844785785515</v>
          </cell>
          <cell r="AE18">
            <v>11550.665265395284</v>
          </cell>
          <cell r="AF18">
            <v>11367.793925317361</v>
          </cell>
          <cell r="AG18">
            <v>11353.950246060462</v>
          </cell>
          <cell r="AH18">
            <v>10850.656484034949</v>
          </cell>
          <cell r="AI18">
            <v>11113.802065202315</v>
          </cell>
          <cell r="AJ18">
            <v>11377.796342468971</v>
          </cell>
          <cell r="AK18">
            <v>11341.880113337638</v>
          </cell>
          <cell r="AL18">
            <v>12054.169966382951</v>
          </cell>
          <cell r="AM18">
            <v>11094.080012084642</v>
          </cell>
          <cell r="AN18">
            <v>13773.0859915785</v>
          </cell>
          <cell r="AO18">
            <v>2679.0059794938588</v>
          </cell>
          <cell r="AP18">
            <v>0.24148067947731144</v>
          </cell>
          <cell r="AQ18">
            <v>12388.530648011483</v>
          </cell>
          <cell r="AR18">
            <v>12820.680953797031</v>
          </cell>
          <cell r="AS18">
            <v>13404.681023915027</v>
          </cell>
          <cell r="AT18">
            <v>13598.986667546007</v>
          </cell>
          <cell r="AU18">
            <v>14339.927762097917</v>
          </cell>
          <cell r="AV18">
            <v>14112.896526561051</v>
          </cell>
          <cell r="AW18">
            <v>14095.709866230729</v>
          </cell>
          <cell r="AX18">
            <v>13470.880384574604</v>
          </cell>
          <cell r="AY18">
            <v>13797.570539483717</v>
          </cell>
          <cell r="AZ18">
            <v>14125.314334202847</v>
          </cell>
          <cell r="BA18">
            <v>14080.725029656618</v>
          </cell>
          <cell r="BB18">
            <v>14965.019120400108</v>
          </cell>
          <cell r="BC18">
            <v>3.9260601986271348E-2</v>
          </cell>
          <cell r="BD18">
            <v>2.0988698028175268E-2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6.0249300014446616E-2</v>
          </cell>
          <cell r="BP18">
            <v>0</v>
          </cell>
          <cell r="BQ18">
            <v>-3.569145635115577E-3</v>
          </cell>
          <cell r="BR18">
            <v>-5.47720909222242E-3</v>
          </cell>
          <cell r="BS18">
            <v>-5.47720909222242E-3</v>
          </cell>
          <cell r="BT18">
            <v>-5.47720909222242E-3</v>
          </cell>
          <cell r="BU18">
            <v>-5.47720909222242E-3</v>
          </cell>
          <cell r="BV18">
            <v>-5.47720909222242E-3</v>
          </cell>
          <cell r="BW18">
            <v>-5.47720909222242E-3</v>
          </cell>
          <cell r="BX18">
            <v>-5.47720909222242E-3</v>
          </cell>
          <cell r="BY18">
            <v>-5.47720909222242E-3</v>
          </cell>
          <cell r="BZ18">
            <v>-5.47720909222242E-3</v>
          </cell>
          <cell r="CA18">
            <v>-5.47720909222242E-3</v>
          </cell>
          <cell r="CB18">
            <v>0</v>
          </cell>
          <cell r="CC18">
            <v>-36.858308165312337</v>
          </cell>
          <cell r="CD18">
            <v>-59.139253631750762</v>
          </cell>
          <cell r="CE18">
            <v>-59.996498255497499</v>
          </cell>
          <cell r="CF18">
            <v>-63.265408812840178</v>
          </cell>
          <cell r="CG18">
            <v>-62.263784246259092</v>
          </cell>
          <cell r="CH18">
            <v>-62.18795952036271</v>
          </cell>
          <cell r="CI18">
            <v>-59.431314350938919</v>
          </cell>
          <cell r="CJ18">
            <v>-60.872617720686321</v>
          </cell>
          <cell r="CK18">
            <v>-62.318569576424125</v>
          </cell>
          <cell r="CL18">
            <v>-62.121848879669415</v>
          </cell>
          <cell r="CM18">
            <v>-66.023209339067762</v>
          </cell>
        </row>
        <row r="19">
          <cell r="B19" t="str">
            <v>Mul, Sah &amp; Bahawalpur</v>
          </cell>
          <cell r="C19">
            <v>44671.985167225852</v>
          </cell>
          <cell r="D19">
            <v>44893.577808201997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47749.862358554863</v>
          </cell>
          <cell r="P19">
            <v>47557.235032938013</v>
          </cell>
          <cell r="Q19">
            <v>48821.455083525012</v>
          </cell>
          <cell r="R19">
            <v>48927.062346422317</v>
          </cell>
          <cell r="S19">
            <v>52397.08557307029</v>
          </cell>
          <cell r="T19">
            <v>53216.880961749237</v>
          </cell>
          <cell r="U19">
            <v>54717.31250441938</v>
          </cell>
          <cell r="V19">
            <v>52724.399246905668</v>
          </cell>
          <cell r="W19">
            <v>53576.178654467862</v>
          </cell>
          <cell r="X19">
            <v>52846.750902356769</v>
          </cell>
          <cell r="Y19">
            <v>52366.17205002156</v>
          </cell>
          <cell r="Z19">
            <v>54746.019676372322</v>
          </cell>
          <cell r="AA19">
            <v>38580.443310798248</v>
          </cell>
          <cell r="AB19">
            <v>38201.69279580791</v>
          </cell>
          <cell r="AC19">
            <v>39041.86786061959</v>
          </cell>
          <cell r="AD19">
            <v>39127.172174684856</v>
          </cell>
          <cell r="AE19">
            <v>41900.720761826451</v>
          </cell>
          <cell r="AF19">
            <v>42548.196484189357</v>
          </cell>
          <cell r="AG19">
            <v>43740.373462310556</v>
          </cell>
          <cell r="AH19">
            <v>42148.052977853265</v>
          </cell>
          <cell r="AI19">
            <v>42831.520491591364</v>
          </cell>
          <cell r="AJ19">
            <v>42255.96277721462</v>
          </cell>
          <cell r="AK19">
            <v>41871.689900165067</v>
          </cell>
          <cell r="AL19">
            <v>43774.780085815015</v>
          </cell>
          <cell r="AM19">
            <v>41358.117830496194</v>
          </cell>
          <cell r="AN19">
            <v>51199.76401463629</v>
          </cell>
          <cell r="AO19">
            <v>9841.6461841400978</v>
          </cell>
          <cell r="AP19">
            <v>0.23796165542338035</v>
          </cell>
          <cell r="AQ19">
            <v>47749.862358554863</v>
          </cell>
          <cell r="AR19">
            <v>47288.82145576668</v>
          </cell>
          <cell r="AS19">
            <v>48331.321816583491</v>
          </cell>
          <cell r="AT19">
            <v>48440.865315357412</v>
          </cell>
          <cell r="AU19">
            <v>51870.044505392718</v>
          </cell>
          <cell r="AV19">
            <v>52675.753005329425</v>
          </cell>
          <cell r="AW19">
            <v>54155.570220724258</v>
          </cell>
          <cell r="AX19">
            <v>52177.90297992542</v>
          </cell>
          <cell r="AY19">
            <v>53021.458448306497</v>
          </cell>
          <cell r="AZ19">
            <v>52308.50344258445</v>
          </cell>
          <cell r="BA19">
            <v>51835.944691799872</v>
          </cell>
          <cell r="BB19">
            <v>54200.543732911698</v>
          </cell>
          <cell r="BC19">
            <v>-8.0069694272103337E-2</v>
          </cell>
          <cell r="BD19">
            <v>-6.278918209443865E-2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-0.14285887636654199</v>
          </cell>
          <cell r="BP19">
            <v>0</v>
          </cell>
          <cell r="BQ19">
            <v>7.2790631156457583E-3</v>
          </cell>
          <cell r="BR19">
            <v>1.2987170578776545E-2</v>
          </cell>
          <cell r="BS19">
            <v>1.2987170578776545E-2</v>
          </cell>
          <cell r="BT19">
            <v>1.2987170578776545E-2</v>
          </cell>
          <cell r="BU19">
            <v>1.2987170578776545E-2</v>
          </cell>
          <cell r="BV19">
            <v>1.2987170578776545E-2</v>
          </cell>
          <cell r="BW19">
            <v>1.2987170578776545E-2</v>
          </cell>
          <cell r="BX19">
            <v>1.2987170578776545E-2</v>
          </cell>
          <cell r="BY19">
            <v>1.2987170578776545E-2</v>
          </cell>
          <cell r="BZ19">
            <v>1.2987170578776545E-2</v>
          </cell>
          <cell r="CA19">
            <v>1.2987170578776545E-2</v>
          </cell>
          <cell r="CB19">
            <v>0</v>
          </cell>
          <cell r="CC19">
            <v>268.4135771713336</v>
          </cell>
          <cell r="CD19">
            <v>490.13326694152056</v>
          </cell>
          <cell r="CE19">
            <v>486.19703106490488</v>
          </cell>
          <cell r="CF19">
            <v>527.04106767757185</v>
          </cell>
          <cell r="CG19">
            <v>541.12795641981211</v>
          </cell>
          <cell r="CH19">
            <v>561.74228369512275</v>
          </cell>
          <cell r="CI19">
            <v>546.49626698024804</v>
          </cell>
          <cell r="CJ19">
            <v>554.72020616136433</v>
          </cell>
          <cell r="CK19">
            <v>538.24745977231942</v>
          </cell>
          <cell r="CL19">
            <v>530.22735822168761</v>
          </cell>
          <cell r="CM19">
            <v>545.47594346062397</v>
          </cell>
        </row>
        <row r="20">
          <cell r="B20" t="str">
            <v>Peshawar</v>
          </cell>
          <cell r="C20">
            <v>22147.964741622414</v>
          </cell>
          <cell r="D20">
            <v>21665.208685284004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22514.218045788828</v>
          </cell>
          <cell r="P20">
            <v>22421.140213917613</v>
          </cell>
          <cell r="Q20">
            <v>22489.259031782414</v>
          </cell>
          <cell r="R20">
            <v>23217.323700623801</v>
          </cell>
          <cell r="S20">
            <v>23676.476276920799</v>
          </cell>
          <cell r="T20">
            <v>25345.983258274413</v>
          </cell>
          <cell r="U20">
            <v>26696.415052855922</v>
          </cell>
          <cell r="V20">
            <v>25297.924265925016</v>
          </cell>
          <cell r="W20">
            <v>25381.553208761317</v>
          </cell>
          <cell r="X20">
            <v>24386.175967031053</v>
          </cell>
          <cell r="Y20">
            <v>24825.875637009718</v>
          </cell>
          <cell r="Z20">
            <v>25346.999485571836</v>
          </cell>
          <cell r="AA20">
            <v>18559.533818127176</v>
          </cell>
          <cell r="AB20">
            <v>18455.511934447313</v>
          </cell>
          <cell r="AC20">
            <v>18457.487986174194</v>
          </cell>
          <cell r="AD20">
            <v>19055.028565848541</v>
          </cell>
          <cell r="AE20">
            <v>19431.866377572169</v>
          </cell>
          <cell r="AF20">
            <v>20802.071816871874</v>
          </cell>
          <cell r="AG20">
            <v>21910.4044030816</v>
          </cell>
          <cell r="AH20">
            <v>20762.628619892239</v>
          </cell>
          <cell r="AI20">
            <v>20831.264950040604</v>
          </cell>
          <cell r="AJ20">
            <v>20014.334367535259</v>
          </cell>
          <cell r="AK20">
            <v>20375.206700620427</v>
          </cell>
          <cell r="AL20">
            <v>20802.905859607872</v>
          </cell>
          <cell r="AM20">
            <v>19963.768491938834</v>
          </cell>
          <cell r="AN20">
            <v>24217.668463426693</v>
          </cell>
          <cell r="AO20">
            <v>4253.8999714878591</v>
          </cell>
          <cell r="AP20">
            <v>0.21308101089258477</v>
          </cell>
          <cell r="AQ20">
            <v>22514.218045788828</v>
          </cell>
          <cell r="AR20">
            <v>22388.03107397951</v>
          </cell>
          <cell r="AS20">
            <v>22390.428184805929</v>
          </cell>
          <cell r="AT20">
            <v>23115.293315246625</v>
          </cell>
          <cell r="AU20">
            <v>23572.428108834873</v>
          </cell>
          <cell r="AV20">
            <v>25234.598308271077</v>
          </cell>
          <cell r="AW20">
            <v>26579.095522355565</v>
          </cell>
          <cell r="AX20">
            <v>25186.750515006188</v>
          </cell>
          <cell r="AY20">
            <v>25270.011943766523</v>
          </cell>
          <cell r="AZ20">
            <v>24279.008966911872</v>
          </cell>
          <cell r="BA20">
            <v>24716.776341533994</v>
          </cell>
          <cell r="BB20">
            <v>25235.61006967639</v>
          </cell>
          <cell r="BC20">
            <v>-1.9733971109160725E-2</v>
          </cell>
          <cell r="BD20">
            <v>-3.916566450515821E-2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-5.8899635614318935E-2</v>
          </cell>
          <cell r="BP20">
            <v>0</v>
          </cell>
          <cell r="BQ20">
            <v>1.793997373560066E-3</v>
          </cell>
          <cell r="BR20">
            <v>5.3545123285744485E-3</v>
          </cell>
          <cell r="BS20">
            <v>5.3545123285744485E-3</v>
          </cell>
          <cell r="BT20">
            <v>5.3545123285744485E-3</v>
          </cell>
          <cell r="BU20">
            <v>5.3545123285744485E-3</v>
          </cell>
          <cell r="BV20">
            <v>5.3545123285744485E-3</v>
          </cell>
          <cell r="BW20">
            <v>5.3545123285744485E-3</v>
          </cell>
          <cell r="BX20">
            <v>5.3545123285744485E-3</v>
          </cell>
          <cell r="BY20">
            <v>5.3545123285744485E-3</v>
          </cell>
          <cell r="BZ20">
            <v>5.3545123285744485E-3</v>
          </cell>
          <cell r="CA20">
            <v>5.3545123285744485E-3</v>
          </cell>
          <cell r="CB20">
            <v>0</v>
          </cell>
          <cell r="CC20">
            <v>33.109139938103908</v>
          </cell>
          <cell r="CD20">
            <v>98.830846976485191</v>
          </cell>
          <cell r="CE20">
            <v>102.03038537717657</v>
          </cell>
          <cell r="CF20">
            <v>104.04816808592659</v>
          </cell>
          <cell r="CG20">
            <v>111.38495000333569</v>
          </cell>
          <cell r="CH20">
            <v>117.31953050035736</v>
          </cell>
          <cell r="CI20">
            <v>111.17375091882786</v>
          </cell>
          <cell r="CJ20">
            <v>111.54126499479389</v>
          </cell>
          <cell r="CK20">
            <v>107.16700011918147</v>
          </cell>
          <cell r="CL20">
            <v>109.09929547572392</v>
          </cell>
          <cell r="CM20">
            <v>111.38941589544629</v>
          </cell>
        </row>
        <row r="21">
          <cell r="B21" t="str">
            <v>Mardan</v>
          </cell>
          <cell r="C21">
            <v>26198.701023497579</v>
          </cell>
          <cell r="D21">
            <v>26188.464742355998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25868.646487164424</v>
          </cell>
          <cell r="P21">
            <v>25780.70269732747</v>
          </cell>
          <cell r="Q21">
            <v>26348.353916806656</v>
          </cell>
          <cell r="R21">
            <v>26984.270458178195</v>
          </cell>
          <cell r="S21">
            <v>26820.098059239957</v>
          </cell>
          <cell r="T21">
            <v>28354.715253081387</v>
          </cell>
          <cell r="U21">
            <v>30380.916360012354</v>
          </cell>
          <cell r="V21">
            <v>30810.704485781222</v>
          </cell>
          <cell r="W21">
            <v>30887.751338158221</v>
          </cell>
          <cell r="X21">
            <v>30728.679006174301</v>
          </cell>
          <cell r="Y21">
            <v>31311.027947868071</v>
          </cell>
          <cell r="Z21">
            <v>32182.068803507125</v>
          </cell>
          <cell r="AA21">
            <v>20821.143621089999</v>
          </cell>
          <cell r="AB21">
            <v>20774.45568895929</v>
          </cell>
          <cell r="AC21">
            <v>21260.2020883113</v>
          </cell>
          <cell r="AD21">
            <v>21773.316274629982</v>
          </cell>
          <cell r="AE21">
            <v>21640.847339767093</v>
          </cell>
          <cell r="AF21">
            <v>22879.113372335258</v>
          </cell>
          <cell r="AG21">
            <v>24514.033152938129</v>
          </cell>
          <cell r="AH21">
            <v>24860.824547871318</v>
          </cell>
          <cell r="AI21">
            <v>24922.992820582975</v>
          </cell>
          <cell r="AJ21">
            <v>24794.639074640618</v>
          </cell>
          <cell r="AK21">
            <v>25264.530143563388</v>
          </cell>
          <cell r="AL21">
            <v>25967.363598607029</v>
          </cell>
          <cell r="AM21">
            <v>23305.517791079998</v>
          </cell>
          <cell r="AN21">
            <v>28955.287562932062</v>
          </cell>
          <cell r="AO21">
            <v>5649.7697718520649</v>
          </cell>
          <cell r="AP21">
            <v>0.24242198017220065</v>
          </cell>
          <cell r="AQ21">
            <v>25868.646487164424</v>
          </cell>
          <cell r="AR21">
            <v>25810.64037407644</v>
          </cell>
          <cell r="AS21">
            <v>26414.142377420882</v>
          </cell>
          <cell r="AT21">
            <v>27051.646720841389</v>
          </cell>
          <cell r="AU21">
            <v>26887.064404477733</v>
          </cell>
          <cell r="AV21">
            <v>28425.51334064105</v>
          </cell>
          <cell r="AW21">
            <v>30456.77361188037</v>
          </cell>
          <cell r="AX21">
            <v>30887.63486347994</v>
          </cell>
          <cell r="AY21">
            <v>30964.874091966241</v>
          </cell>
          <cell r="AZ21">
            <v>30805.404576770019</v>
          </cell>
          <cell r="BA21">
            <v>31389.20756908628</v>
          </cell>
          <cell r="BB21">
            <v>32262.423302032868</v>
          </cell>
          <cell r="BC21">
            <v>1.5851892784546212E-2</v>
          </cell>
          <cell r="BD21">
            <v>1.8186968358470862E-2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3.4038861143017074E-2</v>
          </cell>
          <cell r="BP21">
            <v>0</v>
          </cell>
          <cell r="BQ21">
            <v>-1.4410811622314738E-3</v>
          </cell>
          <cell r="BR21">
            <v>-3.0944419220924613E-3</v>
          </cell>
          <cell r="BS21">
            <v>-3.0944419220924613E-3</v>
          </cell>
          <cell r="BT21">
            <v>-3.0944419220924613E-3</v>
          </cell>
          <cell r="BU21">
            <v>-3.0944419220924613E-3</v>
          </cell>
          <cell r="BV21">
            <v>-3.0944419220924613E-3</v>
          </cell>
          <cell r="BW21">
            <v>-3.0944419220924613E-3</v>
          </cell>
          <cell r="BX21">
            <v>-3.0944419220924613E-3</v>
          </cell>
          <cell r="BY21">
            <v>-3.0944419220924613E-3</v>
          </cell>
          <cell r="BZ21">
            <v>-3.0944419220924613E-3</v>
          </cell>
          <cell r="CA21">
            <v>-3.0944419220924613E-3</v>
          </cell>
          <cell r="CB21">
            <v>0</v>
          </cell>
          <cell r="CC21">
            <v>-29.937676748970262</v>
          </cell>
          <cell r="CD21">
            <v>-65.788460614225187</v>
          </cell>
          <cell r="CE21">
            <v>-67.376262663194211</v>
          </cell>
          <cell r="CF21">
            <v>-66.966345237775386</v>
          </cell>
          <cell r="CG21">
            <v>-70.798087559662235</v>
          </cell>
          <cell r="CH21">
            <v>-75.857251868015737</v>
          </cell>
          <cell r="CI21">
            <v>-76.930377698718075</v>
          </cell>
          <cell r="CJ21">
            <v>-77.122753808020207</v>
          </cell>
          <cell r="CK21">
            <v>-76.725570595717727</v>
          </cell>
          <cell r="CL21">
            <v>-78.179621218208922</v>
          </cell>
          <cell r="CM21">
            <v>-80.354498525743111</v>
          </cell>
        </row>
        <row r="22">
          <cell r="B22" t="str">
            <v>Peshawer &amp; Mardan</v>
          </cell>
          <cell r="C22">
            <v>48346.665765119993</v>
          </cell>
          <cell r="D22">
            <v>47853.673427640002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48382.864532953252</v>
          </cell>
          <cell r="P22">
            <v>48201.842911245083</v>
          </cell>
          <cell r="Q22">
            <v>48837.612948589071</v>
          </cell>
          <cell r="R22">
            <v>50201.594158801992</v>
          </cell>
          <cell r="S22">
            <v>50496.57433616076</v>
          </cell>
          <cell r="T22">
            <v>53700.698511355804</v>
          </cell>
          <cell r="U22">
            <v>57077.331412868276</v>
          </cell>
          <cell r="V22">
            <v>56108.628751706237</v>
          </cell>
          <cell r="W22">
            <v>56269.304546919535</v>
          </cell>
          <cell r="X22">
            <v>55114.854973205351</v>
          </cell>
          <cell r="Y22">
            <v>56136.903584877786</v>
          </cell>
          <cell r="Z22">
            <v>57529.068289078961</v>
          </cell>
          <cell r="AA22">
            <v>39380.677439217179</v>
          </cell>
          <cell r="AB22">
            <v>39229.967623406599</v>
          </cell>
          <cell r="AC22">
            <v>39717.690074485494</v>
          </cell>
          <cell r="AD22">
            <v>40828.344840478523</v>
          </cell>
          <cell r="AE22">
            <v>41072.713717339262</v>
          </cell>
          <cell r="AF22">
            <v>43681.185189207128</v>
          </cell>
          <cell r="AG22">
            <v>46424.43755601973</v>
          </cell>
          <cell r="AH22">
            <v>45623.453167763553</v>
          </cell>
          <cell r="AI22">
            <v>45754.257770623575</v>
          </cell>
          <cell r="AJ22">
            <v>44808.973442175877</v>
          </cell>
          <cell r="AK22">
            <v>45639.736844183819</v>
          </cell>
          <cell r="AL22">
            <v>46770.269458214898</v>
          </cell>
          <cell r="AM22">
            <v>43269.286283018831</v>
          </cell>
          <cell r="AN22">
            <v>53172.956026358755</v>
          </cell>
          <cell r="AO22">
            <v>9903.669743339924</v>
          </cell>
          <cell r="AP22">
            <v>0.22888451819060049</v>
          </cell>
          <cell r="AQ22">
            <v>48382.864532953252</v>
          </cell>
          <cell r="AR22">
            <v>48198.671448055946</v>
          </cell>
          <cell r="AS22">
            <v>48804.570562226814</v>
          </cell>
          <cell r="AT22">
            <v>50166.94003608801</v>
          </cell>
          <cell r="AU22">
            <v>50459.492513312609</v>
          </cell>
          <cell r="AV22">
            <v>53660.111648912127</v>
          </cell>
          <cell r="AW22">
            <v>57035.869134235938</v>
          </cell>
          <cell r="AX22">
            <v>56074.385378486128</v>
          </cell>
          <cell r="AY22">
            <v>56234.886035732765</v>
          </cell>
          <cell r="AZ22">
            <v>55084.413543681891</v>
          </cell>
          <cell r="BA22">
            <v>56105.983910620271</v>
          </cell>
          <cell r="BB22">
            <v>57498.033371709258</v>
          </cell>
          <cell r="BC22">
            <v>-1.2097063557474363E-3</v>
          </cell>
          <cell r="BD22">
            <v>-9.0600746168041091E-3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-1.0269780972551545E-2</v>
          </cell>
          <cell r="BP22">
            <v>0</v>
          </cell>
          <cell r="BQ22">
            <v>1.0997330506794875E-4</v>
          </cell>
          <cell r="BR22">
            <v>9.3361645205014044E-4</v>
          </cell>
          <cell r="BS22">
            <v>9.3361645205014044E-4</v>
          </cell>
          <cell r="BT22">
            <v>9.3361645205014044E-4</v>
          </cell>
          <cell r="BU22">
            <v>9.3361645205014044E-4</v>
          </cell>
          <cell r="BV22">
            <v>9.3361645205014044E-4</v>
          </cell>
          <cell r="BW22">
            <v>9.3361645205014044E-4</v>
          </cell>
          <cell r="BX22">
            <v>9.3361645205014044E-4</v>
          </cell>
          <cell r="BY22">
            <v>9.3361645205014044E-4</v>
          </cell>
          <cell r="BZ22">
            <v>9.3361645205014044E-4</v>
          </cell>
          <cell r="CA22">
            <v>9.3361645205014044E-4</v>
          </cell>
          <cell r="CB22">
            <v>0</v>
          </cell>
          <cell r="CC22">
            <v>3.1714631891372846</v>
          </cell>
          <cell r="CD22">
            <v>33.042386362256366</v>
          </cell>
          <cell r="CE22">
            <v>34.65412271398236</v>
          </cell>
          <cell r="CF22">
            <v>37.081822848151205</v>
          </cell>
          <cell r="CG22">
            <v>40.586862443677092</v>
          </cell>
          <cell r="CH22">
            <v>41.462278632337984</v>
          </cell>
          <cell r="CI22">
            <v>34.243373220109788</v>
          </cell>
          <cell r="CJ22">
            <v>34.418511186770047</v>
          </cell>
          <cell r="CK22">
            <v>30.441429523460101</v>
          </cell>
          <cell r="CL22">
            <v>30.919674257514998</v>
          </cell>
          <cell r="CM22">
            <v>31.03491736970318</v>
          </cell>
        </row>
        <row r="23">
          <cell r="B23" t="str">
            <v>Faisalabad</v>
          </cell>
          <cell r="C23">
            <v>20068.590840840701</v>
          </cell>
          <cell r="D23">
            <v>20283.516251480996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20535.42656257479</v>
          </cell>
          <cell r="P23">
            <v>20341.453344157366</v>
          </cell>
          <cell r="Q23">
            <v>20455.074475467969</v>
          </cell>
          <cell r="R23">
            <v>21280.756817361958</v>
          </cell>
          <cell r="S23">
            <v>22674.379618929874</v>
          </cell>
          <cell r="T23">
            <v>23867.573433864371</v>
          </cell>
          <cell r="U23">
            <v>24144.257752959293</v>
          </cell>
          <cell r="V23">
            <v>23422.878335801677</v>
          </cell>
          <cell r="W23">
            <v>23764.6840690555</v>
          </cell>
          <cell r="X23">
            <v>23713.101963475292</v>
          </cell>
          <cell r="Y23">
            <v>23728.990245971803</v>
          </cell>
          <cell r="Z23">
            <v>24267.511547609192</v>
          </cell>
          <cell r="AA23">
            <v>16857.461167747711</v>
          </cell>
          <cell r="AB23">
            <v>16663.790936881334</v>
          </cell>
          <cell r="AC23">
            <v>16755.672751822622</v>
          </cell>
          <cell r="AD23">
            <v>17432.026344879763</v>
          </cell>
          <cell r="AE23">
            <v>18573.605547172843</v>
          </cell>
          <cell r="AF23">
            <v>19551.004339659215</v>
          </cell>
          <cell r="AG23">
            <v>19777.648926647908</v>
          </cell>
          <cell r="AH23">
            <v>19186.734556803403</v>
          </cell>
          <cell r="AI23">
            <v>19466.723027046646</v>
          </cell>
          <cell r="AJ23">
            <v>19424.469801227864</v>
          </cell>
          <cell r="AK23">
            <v>19437.484608992036</v>
          </cell>
          <cell r="AL23">
            <v>19878.61166090981</v>
          </cell>
          <cell r="AM23">
            <v>18595.297623650149</v>
          </cell>
          <cell r="AN23">
            <v>22652.424642109316</v>
          </cell>
          <cell r="AO23">
            <v>4057.1270184591667</v>
          </cell>
          <cell r="AP23">
            <v>0.21818026796727205</v>
          </cell>
          <cell r="AQ23">
            <v>20535.42656257479</v>
          </cell>
          <cell r="AR23">
            <v>20299.501308840703</v>
          </cell>
          <cell r="AS23">
            <v>20411.4299227872</v>
          </cell>
          <cell r="AT23">
            <v>21235.350524018173</v>
          </cell>
          <cell r="AU23">
            <v>22625.999782573424</v>
          </cell>
          <cell r="AV23">
            <v>23816.647705515359</v>
          </cell>
          <cell r="AW23">
            <v>24092.741669226576</v>
          </cell>
          <cell r="AX23">
            <v>23372.901443823688</v>
          </cell>
          <cell r="AY23">
            <v>23713.977873532349</v>
          </cell>
          <cell r="AZ23">
            <v>23662.505827581943</v>
          </cell>
          <cell r="BA23">
            <v>23678.360209591643</v>
          </cell>
          <cell r="BB23">
            <v>24215.732479904451</v>
          </cell>
          <cell r="BC23">
            <v>-2.7693121585073172E-2</v>
          </cell>
          <cell r="BD23">
            <v>-9.5926895748119079E-4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-2.8652390542554362E-2</v>
          </cell>
          <cell r="BP23">
            <v>0</v>
          </cell>
          <cell r="BQ23">
            <v>2.5175565077339246E-3</v>
          </cell>
          <cell r="BR23">
            <v>2.604762776595851E-3</v>
          </cell>
          <cell r="BS23">
            <v>2.604762776595851E-3</v>
          </cell>
          <cell r="BT23">
            <v>2.604762776595851E-3</v>
          </cell>
          <cell r="BU23">
            <v>2.604762776595851E-3</v>
          </cell>
          <cell r="BV23">
            <v>2.604762776595851E-3</v>
          </cell>
          <cell r="BW23">
            <v>2.604762776595851E-3</v>
          </cell>
          <cell r="BX23">
            <v>2.604762776595851E-3</v>
          </cell>
          <cell r="BY23">
            <v>2.604762776595851E-3</v>
          </cell>
          <cell r="BZ23">
            <v>2.604762776595851E-3</v>
          </cell>
          <cell r="CA23">
            <v>2.604762776595851E-3</v>
          </cell>
          <cell r="CB23">
            <v>0</v>
          </cell>
          <cell r="CC23">
            <v>41.952035316662659</v>
          </cell>
          <cell r="CD23">
            <v>43.644552680769266</v>
          </cell>
          <cell r="CE23">
            <v>45.406293343785364</v>
          </cell>
          <cell r="CF23">
            <v>48.379836356449232</v>
          </cell>
          <cell r="CG23">
            <v>50.925728349011479</v>
          </cell>
          <cell r="CH23">
            <v>51.516083732716652</v>
          </cell>
          <cell r="CI23">
            <v>49.976891977988998</v>
          </cell>
          <cell r="CJ23">
            <v>50.706195523151109</v>
          </cell>
          <cell r="CK23">
            <v>50.596135893349128</v>
          </cell>
          <cell r="CL23">
            <v>50.630036380160163</v>
          </cell>
          <cell r="CM23">
            <v>51.779067704741465</v>
          </cell>
        </row>
        <row r="24">
          <cell r="B24" t="str">
            <v>Sargodha</v>
          </cell>
          <cell r="C24">
            <v>11327.413010000337</v>
          </cell>
          <cell r="D24">
            <v>11425.648113493005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12085.606642983845</v>
          </cell>
          <cell r="P24">
            <v>12495.229676121486</v>
          </cell>
          <cell r="Q24">
            <v>13081.417946102056</v>
          </cell>
          <cell r="R24">
            <v>13524.942637632819</v>
          </cell>
          <cell r="S24">
            <v>14184.865189868991</v>
          </cell>
          <cell r="T24">
            <v>14444.928067174484</v>
          </cell>
          <cell r="U24">
            <v>14222.455459981637</v>
          </cell>
          <cell r="V24">
            <v>13749.232200400696</v>
          </cell>
          <cell r="W24">
            <v>13447.706239114119</v>
          </cell>
          <cell r="X24">
            <v>13578.548867727415</v>
          </cell>
          <cell r="Y24">
            <v>13726.524636075885</v>
          </cell>
          <cell r="Z24">
            <v>14171.965809028025</v>
          </cell>
          <cell r="AA24">
            <v>9652.3394108399989</v>
          </cell>
          <cell r="AB24">
            <v>9922.8982723882091</v>
          </cell>
          <cell r="AC24">
            <v>10313.470986093225</v>
          </cell>
          <cell r="AD24">
            <v>10663.148601820005</v>
          </cell>
          <cell r="AE24">
            <v>11183.435632140323</v>
          </cell>
          <cell r="AF24">
            <v>11388.470816452995</v>
          </cell>
          <cell r="AG24">
            <v>11213.072034078057</v>
          </cell>
          <cell r="AH24">
            <v>10839.979883231614</v>
          </cell>
          <cell r="AI24">
            <v>10602.254946523997</v>
          </cell>
          <cell r="AJ24">
            <v>10705.412085872909</v>
          </cell>
          <cell r="AK24">
            <v>10822.077098778604</v>
          </cell>
          <cell r="AL24">
            <v>11173.265680336168</v>
          </cell>
          <cell r="AM24">
            <v>10711.314911299998</v>
          </cell>
          <cell r="AN24">
            <v>13411.540263671011</v>
          </cell>
          <cell r="AO24">
            <v>2700.2253523710133</v>
          </cell>
          <cell r="AP24">
            <v>0.25209093138718069</v>
          </cell>
          <cell r="AQ24">
            <v>12085.606642983845</v>
          </cell>
          <cell r="AR24">
            <v>12424.370939934799</v>
          </cell>
          <cell r="AS24">
            <v>12913.403492812131</v>
          </cell>
          <cell r="AT24">
            <v>13351.231664372723</v>
          </cell>
          <cell r="AU24">
            <v>14002.67833675516</v>
          </cell>
          <cell r="AV24">
            <v>14259.401031648356</v>
          </cell>
          <cell r="AW24">
            <v>14039.785806860342</v>
          </cell>
          <cell r="AX24">
            <v>13572.640508213774</v>
          </cell>
          <cell r="AY24">
            <v>13274.987270797576</v>
          </cell>
          <cell r="AZ24">
            <v>13404.149389484191</v>
          </cell>
          <cell r="BA24">
            <v>13550.22459415358</v>
          </cell>
          <cell r="BB24">
            <v>13989.944632328534</v>
          </cell>
          <cell r="BC24">
            <v>-7.8550245770680649E-2</v>
          </cell>
          <cell r="BD24">
            <v>-0.10064829841306283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-0.17919854418374348</v>
          </cell>
          <cell r="BP24">
            <v>0</v>
          </cell>
          <cell r="BQ24">
            <v>7.1409314336982411E-3</v>
          </cell>
          <cell r="BR24">
            <v>1.6290776743976679E-2</v>
          </cell>
          <cell r="BS24">
            <v>1.6290776743976679E-2</v>
          </cell>
          <cell r="BT24">
            <v>1.6290776743976679E-2</v>
          </cell>
          <cell r="BU24">
            <v>1.6290776743976679E-2</v>
          </cell>
          <cell r="BV24">
            <v>1.6290776743976679E-2</v>
          </cell>
          <cell r="BW24">
            <v>1.6290776743976679E-2</v>
          </cell>
          <cell r="BX24">
            <v>1.6290776743976679E-2</v>
          </cell>
          <cell r="BY24">
            <v>1.6290776743976679E-2</v>
          </cell>
          <cell r="BZ24">
            <v>1.6290776743976679E-2</v>
          </cell>
          <cell r="CA24">
            <v>1.6290776743976679E-2</v>
          </cell>
          <cell r="CB24">
            <v>0</v>
          </cell>
          <cell r="CC24">
            <v>70.858736186686656</v>
          </cell>
          <cell r="CD24">
            <v>168.01445328992486</v>
          </cell>
          <cell r="CE24">
            <v>173.71097326009658</v>
          </cell>
          <cell r="CF24">
            <v>182.1868531138316</v>
          </cell>
          <cell r="CG24">
            <v>185.52703552612729</v>
          </cell>
          <cell r="CH24">
            <v>182.66965312129469</v>
          </cell>
          <cell r="CI24">
            <v>176.59169218692296</v>
          </cell>
          <cell r="CJ24">
            <v>172.7189683165434</v>
          </cell>
          <cell r="CK24">
            <v>174.39947824322371</v>
          </cell>
          <cell r="CL24">
            <v>176.30004192230444</v>
          </cell>
          <cell r="CM24">
            <v>182.02117669949075</v>
          </cell>
        </row>
        <row r="25">
          <cell r="B25" t="str">
            <v>Fasialabad &amp; Sargodha</v>
          </cell>
          <cell r="C25">
            <v>31396.003850841036</v>
          </cell>
          <cell r="D25">
            <v>31709.164364974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32621.033205558633</v>
          </cell>
          <cell r="P25">
            <v>32836.683020278855</v>
          </cell>
          <cell r="Q25">
            <v>33536.492421570023</v>
          </cell>
          <cell r="R25">
            <v>34805.699454994778</v>
          </cell>
          <cell r="S25">
            <v>36859.244808798867</v>
          </cell>
          <cell r="T25">
            <v>38312.501501038852</v>
          </cell>
          <cell r="U25">
            <v>38366.713212940929</v>
          </cell>
          <cell r="V25">
            <v>37172.110536202374</v>
          </cell>
          <cell r="W25">
            <v>37212.390308169619</v>
          </cell>
          <cell r="X25">
            <v>37291.650831202707</v>
          </cell>
          <cell r="Y25">
            <v>37455.51488204769</v>
          </cell>
          <cell r="Z25">
            <v>38439.477356637217</v>
          </cell>
          <cell r="AA25">
            <v>26509.80057858771</v>
          </cell>
          <cell r="AB25">
            <v>26586.689209269542</v>
          </cell>
          <cell r="AC25">
            <v>27069.143737915845</v>
          </cell>
          <cell r="AD25">
            <v>28095.174946699768</v>
          </cell>
          <cell r="AE25">
            <v>29757.041179313164</v>
          </cell>
          <cell r="AF25">
            <v>30939.47515611221</v>
          </cell>
          <cell r="AG25">
            <v>30990.720960725965</v>
          </cell>
          <cell r="AH25">
            <v>30026.714440035015</v>
          </cell>
          <cell r="AI25">
            <v>30068.977973570643</v>
          </cell>
          <cell r="AJ25">
            <v>30129.881887100775</v>
          </cell>
          <cell r="AK25">
            <v>30259.561707770641</v>
          </cell>
          <cell r="AL25">
            <v>31051.877341245978</v>
          </cell>
          <cell r="AM25">
            <v>29306.612534950145</v>
          </cell>
          <cell r="AN25">
            <v>36063.964905780325</v>
          </cell>
          <cell r="AO25">
            <v>6757.35237083018</v>
          </cell>
          <cell r="AP25">
            <v>0.23057432389265645</v>
          </cell>
          <cell r="AQ25">
            <v>32621.033205558633</v>
          </cell>
          <cell r="AR25">
            <v>32723.8722487755</v>
          </cell>
          <cell r="AS25">
            <v>33324.833415599329</v>
          </cell>
          <cell r="AT25">
            <v>34586.582188390894</v>
          </cell>
          <cell r="AU25">
            <v>36628.678119328586</v>
          </cell>
          <cell r="AV25">
            <v>38076.048737163714</v>
          </cell>
          <cell r="AW25">
            <v>38132.527476086922</v>
          </cell>
          <cell r="AX25">
            <v>36945.541952037463</v>
          </cell>
          <cell r="AY25">
            <v>36988.965144329923</v>
          </cell>
          <cell r="AZ25">
            <v>37066.655217066131</v>
          </cell>
          <cell r="BA25">
            <v>37228.584803745223</v>
          </cell>
          <cell r="BB25">
            <v>38205.677112232981</v>
          </cell>
          <cell r="BC25">
            <v>-4.6257461237719261E-2</v>
          </cell>
          <cell r="BD25">
            <v>-3.7903656425024274E-2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-8.4161117662743534E-2</v>
          </cell>
          <cell r="BP25">
            <v>0</v>
          </cell>
          <cell r="BQ25">
            <v>4.205223748883569E-3</v>
          </cell>
          <cell r="BR25">
            <v>7.6510106966130483E-3</v>
          </cell>
          <cell r="BS25">
            <v>7.6510106966130483E-3</v>
          </cell>
          <cell r="BT25">
            <v>7.6510106966130483E-3</v>
          </cell>
          <cell r="BU25">
            <v>7.6510106966130483E-3</v>
          </cell>
          <cell r="BV25">
            <v>7.6510106966130483E-3</v>
          </cell>
          <cell r="BW25">
            <v>7.6510106966130483E-3</v>
          </cell>
          <cell r="BX25">
            <v>7.6510106966130483E-3</v>
          </cell>
          <cell r="BY25">
            <v>7.6510106966130483E-3</v>
          </cell>
          <cell r="BZ25">
            <v>7.6510106966130483E-3</v>
          </cell>
          <cell r="CA25">
            <v>7.6510106966130483E-3</v>
          </cell>
          <cell r="CB25">
            <v>0</v>
          </cell>
          <cell r="CC25">
            <v>112.81077150335477</v>
          </cell>
          <cell r="CD25">
            <v>211.65900597069412</v>
          </cell>
          <cell r="CE25">
            <v>219.11726660388376</v>
          </cell>
          <cell r="CF25">
            <v>230.56668947028083</v>
          </cell>
          <cell r="CG25">
            <v>236.45276387513877</v>
          </cell>
          <cell r="CH25">
            <v>234.1857368540077</v>
          </cell>
          <cell r="CI25">
            <v>226.56858416491013</v>
          </cell>
          <cell r="CJ25">
            <v>223.42516383969632</v>
          </cell>
          <cell r="CK25">
            <v>224.99561413657648</v>
          </cell>
          <cell r="CL25">
            <v>226.93007830246643</v>
          </cell>
          <cell r="CM25">
            <v>233.80024440423585</v>
          </cell>
        </row>
        <row r="26">
          <cell r="B26" t="str">
            <v>Mirpur</v>
          </cell>
          <cell r="C26">
            <v>8410.6746425593101</v>
          </cell>
          <cell r="D26">
            <v>8509.6117839639992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8099.9117887325274</v>
          </cell>
          <cell r="P26">
            <v>8309.961190946944</v>
          </cell>
          <cell r="Q26">
            <v>8599.7617890127749</v>
          </cell>
          <cell r="R26">
            <v>8963.6832169015652</v>
          </cell>
          <cell r="S26">
            <v>9309.738344526957</v>
          </cell>
          <cell r="T26">
            <v>9980.8874175991004</v>
          </cell>
          <cell r="U26">
            <v>10643.96351273548</v>
          </cell>
          <cell r="V26">
            <v>10461.086504487486</v>
          </cell>
          <cell r="W26">
            <v>10457.319725790132</v>
          </cell>
          <cell r="X26">
            <v>10604.959028638914</v>
          </cell>
          <cell r="Y26">
            <v>10900.817379879301</v>
          </cell>
          <cell r="Z26">
            <v>11379.48733369426</v>
          </cell>
          <cell r="AA26">
            <v>5869.4094036180868</v>
          </cell>
          <cell r="AB26">
            <v>6042.6926567955443</v>
          </cell>
          <cell r="AC26">
            <v>6265.1151706723858</v>
          </cell>
          <cell r="AD26">
            <v>6530.2399165359056</v>
          </cell>
          <cell r="AE26">
            <v>6782.3486706114882</v>
          </cell>
          <cell r="AF26">
            <v>7271.2954975874591</v>
          </cell>
          <cell r="AG26">
            <v>7754.3609829892393</v>
          </cell>
          <cell r="AH26">
            <v>7621.1310695507636</v>
          </cell>
          <cell r="AI26">
            <v>7618.3868886140872</v>
          </cell>
          <cell r="AJ26">
            <v>7725.94536043678</v>
          </cell>
          <cell r="AK26">
            <v>7941.4846614316575</v>
          </cell>
          <cell r="AL26">
            <v>8290.2062263967055</v>
          </cell>
          <cell r="AM26">
            <v>7149.5934978846226</v>
          </cell>
          <cell r="AN26">
            <v>9866.5934978846235</v>
          </cell>
          <cell r="AO26">
            <v>2717</v>
          </cell>
          <cell r="AP26">
            <v>0.38002160553657899</v>
          </cell>
          <cell r="AQ26">
            <v>8099.9117887325274</v>
          </cell>
          <cell r="AR26">
            <v>8339.0464219950827</v>
          </cell>
          <cell r="AS26">
            <v>8645.9942967028837</v>
          </cell>
          <cell r="AT26">
            <v>9011.872174156937</v>
          </cell>
          <cell r="AU26">
            <v>9359.787701726149</v>
          </cell>
          <cell r="AV26">
            <v>10034.544886911544</v>
          </cell>
          <cell r="AW26">
            <v>10701.185693655016</v>
          </cell>
          <cell r="AX26">
            <v>10517.325534606151</v>
          </cell>
          <cell r="AY26">
            <v>10513.538505624036</v>
          </cell>
          <cell r="AZ26">
            <v>10661.971520597848</v>
          </cell>
          <cell r="BA26">
            <v>10959.420412813031</v>
          </cell>
          <cell r="BB26">
            <v>11440.663706781326</v>
          </cell>
          <cell r="BC26">
            <v>5.2946188015990103E-2</v>
          </cell>
          <cell r="BD26">
            <v>2.8226714753910198E-2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8.1172902769900301E-2</v>
          </cell>
          <cell r="BP26">
            <v>0</v>
          </cell>
          <cell r="BQ26">
            <v>-4.8132898196354638E-3</v>
          </cell>
          <cell r="BR26">
            <v>-7.3793547972636634E-3</v>
          </cell>
          <cell r="BS26">
            <v>-7.3793547972636634E-3</v>
          </cell>
          <cell r="BT26">
            <v>-7.3793547972636634E-3</v>
          </cell>
          <cell r="BU26">
            <v>-7.3793547972636634E-3</v>
          </cell>
          <cell r="BV26">
            <v>-7.3793547972636634E-3</v>
          </cell>
          <cell r="BW26">
            <v>-7.3793547972636634E-3</v>
          </cell>
          <cell r="BX26">
            <v>-7.3793547972636634E-3</v>
          </cell>
          <cell r="BY26">
            <v>-7.3793547972636634E-3</v>
          </cell>
          <cell r="BZ26">
            <v>-7.3793547972636634E-3</v>
          </cell>
          <cell r="CA26">
            <v>-7.3793547972636634E-3</v>
          </cell>
          <cell r="CB26">
            <v>0</v>
          </cell>
          <cell r="CC26">
            <v>-29.085231048138667</v>
          </cell>
          <cell r="CD26">
            <v>-46.232507690108832</v>
          </cell>
          <cell r="CE26">
            <v>-48.188957255371861</v>
          </cell>
          <cell r="CF26">
            <v>-50.049357199191945</v>
          </cell>
          <cell r="CG26">
            <v>-53.657469312443936</v>
          </cell>
          <cell r="CH26">
            <v>-57.222180919536186</v>
          </cell>
          <cell r="CI26">
            <v>-56.239030118664232</v>
          </cell>
          <cell r="CJ26">
            <v>-56.218779833903682</v>
          </cell>
          <cell r="CK26">
            <v>-57.012491958934334</v>
          </cell>
          <cell r="CL26">
            <v>-58.603032933729992</v>
          </cell>
          <cell r="CM26">
            <v>-61.176373087066167</v>
          </cell>
        </row>
        <row r="27">
          <cell r="B27" t="str">
            <v>Muzaffarabad</v>
          </cell>
          <cell r="C27">
            <v>4454.6233974758625</v>
          </cell>
          <cell r="D27">
            <v>4372.7261823469989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4372.1747940856521</v>
          </cell>
          <cell r="P27">
            <v>4371.3585957658215</v>
          </cell>
          <cell r="Q27">
            <v>4457.2870347186881</v>
          </cell>
          <cell r="R27">
            <v>4698.2603762986419</v>
          </cell>
          <cell r="S27">
            <v>4724.6705291294138</v>
          </cell>
          <cell r="T27">
            <v>5099.2118217633488</v>
          </cell>
          <cell r="U27">
            <v>5625.7991986057605</v>
          </cell>
          <cell r="V27">
            <v>5447.0946078759134</v>
          </cell>
          <cell r="W27">
            <v>5417.8184503166567</v>
          </cell>
          <cell r="X27">
            <v>5468.6314482474645</v>
          </cell>
          <cell r="Y27">
            <v>5391.3821710426701</v>
          </cell>
          <cell r="Z27">
            <v>5580.3445125841999</v>
          </cell>
          <cell r="AA27">
            <v>3259.3174285399996</v>
          </cell>
          <cell r="AB27">
            <v>3264.3050576603578</v>
          </cell>
          <cell r="AC27">
            <v>3328.0470763377434</v>
          </cell>
          <cell r="AD27">
            <v>3507.9705631299994</v>
          </cell>
          <cell r="AE27">
            <v>3527.6897849861321</v>
          </cell>
          <cell r="AF27">
            <v>3807.3421933253217</v>
          </cell>
          <cell r="AG27">
            <v>4200.5202781751696</v>
          </cell>
          <cell r="AH27">
            <v>4067.0899457612877</v>
          </cell>
          <cell r="AI27">
            <v>4045.2308126579969</v>
          </cell>
          <cell r="AJ27">
            <v>4083.1704938780672</v>
          </cell>
          <cell r="AK27">
            <v>4025.4920834126651</v>
          </cell>
          <cell r="AL27">
            <v>4166.5813970258087</v>
          </cell>
          <cell r="AM27">
            <v>3776.9493691400003</v>
          </cell>
          <cell r="AN27">
            <v>5066.5463528321552</v>
          </cell>
          <cell r="AO27">
            <v>1289.5969836921549</v>
          </cell>
          <cell r="AP27">
            <v>0.3414387797276171</v>
          </cell>
          <cell r="AQ27">
            <v>4372.1747940856521</v>
          </cell>
          <cell r="AR27">
            <v>4378.865393206599</v>
          </cell>
          <cell r="AS27">
            <v>4464.3714089585665</v>
          </cell>
          <cell r="AT27">
            <v>4705.7277515255082</v>
          </cell>
          <cell r="AU27">
            <v>4732.1798804293767</v>
          </cell>
          <cell r="AV27">
            <v>5107.3164658197884</v>
          </cell>
          <cell r="AW27">
            <v>5634.7407961764102</v>
          </cell>
          <cell r="AX27">
            <v>5455.7521738844816</v>
          </cell>
          <cell r="AY27">
            <v>5426.4294850485003</v>
          </cell>
          <cell r="AZ27">
            <v>5477.3232447276059</v>
          </cell>
          <cell r="BA27">
            <v>5399.9511881762683</v>
          </cell>
          <cell r="BB27">
            <v>5589.2138648620903</v>
          </cell>
          <cell r="BC27">
            <v>2.5296279112999087E-2</v>
          </cell>
          <cell r="BD27">
            <v>-1.8807099064448995E-3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2.3415569206554188E-2</v>
          </cell>
          <cell r="BP27">
            <v>0</v>
          </cell>
          <cell r="BQ27">
            <v>-2.2996617375453717E-3</v>
          </cell>
          <cell r="BR27">
            <v>-2.1286881096867442E-3</v>
          </cell>
          <cell r="BS27">
            <v>-2.1286881096867442E-3</v>
          </cell>
          <cell r="BT27">
            <v>-2.1286881096867442E-3</v>
          </cell>
          <cell r="BU27">
            <v>-2.1286881096867442E-3</v>
          </cell>
          <cell r="BV27">
            <v>-2.1286881096867442E-3</v>
          </cell>
          <cell r="BW27">
            <v>-2.1286881096867442E-3</v>
          </cell>
          <cell r="BX27">
            <v>-2.1286881096867442E-3</v>
          </cell>
          <cell r="BY27">
            <v>-2.1286881096867442E-3</v>
          </cell>
          <cell r="BZ27">
            <v>-2.1286881096867442E-3</v>
          </cell>
          <cell r="CA27">
            <v>-2.1286881096867442E-3</v>
          </cell>
          <cell r="CB27">
            <v>0</v>
          </cell>
          <cell r="CC27">
            <v>-7.5067974407775182</v>
          </cell>
          <cell r="CD27">
            <v>-7.0843742398783434</v>
          </cell>
          <cell r="CE27">
            <v>-7.467375226866352</v>
          </cell>
          <cell r="CF27">
            <v>-7.5093512999628729</v>
          </cell>
          <cell r="CG27">
            <v>-8.1046440564396107</v>
          </cell>
          <cell r="CH27">
            <v>-8.9415975706497193</v>
          </cell>
          <cell r="CI27">
            <v>-8.6575660085682102</v>
          </cell>
          <cell r="CJ27">
            <v>-8.6110347318435743</v>
          </cell>
          <cell r="CK27">
            <v>-8.69179648014142</v>
          </cell>
          <cell r="CL27">
            <v>-8.5690171335982086</v>
          </cell>
          <cell r="CM27">
            <v>-8.8693522778903571</v>
          </cell>
        </row>
        <row r="28">
          <cell r="B28" t="str">
            <v>Mir &amp; Muzafferanad</v>
          </cell>
          <cell r="C28">
            <v>12865.298040035173</v>
          </cell>
          <cell r="D28">
            <v>12882.337966310999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12472.08658281818</v>
          </cell>
          <cell r="P28">
            <v>12681.319786712766</v>
          </cell>
          <cell r="Q28">
            <v>13057.048823731464</v>
          </cell>
          <cell r="R28">
            <v>13661.943593200207</v>
          </cell>
          <cell r="S28">
            <v>14034.408873656372</v>
          </cell>
          <cell r="T28">
            <v>15080.099239362449</v>
          </cell>
          <cell r="U28">
            <v>16269.76271134124</v>
          </cell>
          <cell r="V28">
            <v>15908.1811123634</v>
          </cell>
          <cell r="W28">
            <v>15875.13817610679</v>
          </cell>
          <cell r="X28">
            <v>16073.590476886378</v>
          </cell>
          <cell r="Y28">
            <v>16292.199550921971</v>
          </cell>
          <cell r="Z28">
            <v>16959.831846278459</v>
          </cell>
          <cell r="AA28">
            <v>9128.7268321580868</v>
          </cell>
          <cell r="AB28">
            <v>9306.9977144559016</v>
          </cell>
          <cell r="AC28">
            <v>9593.1622470101283</v>
          </cell>
          <cell r="AD28">
            <v>10038.210479665904</v>
          </cell>
          <cell r="AE28">
            <v>10310.03845559762</v>
          </cell>
          <cell r="AF28">
            <v>11078.637690912781</v>
          </cell>
          <cell r="AG28">
            <v>11954.88126116441</v>
          </cell>
          <cell r="AH28">
            <v>11688.22101531205</v>
          </cell>
          <cell r="AI28">
            <v>11663.617701272084</v>
          </cell>
          <cell r="AJ28">
            <v>11809.115854314847</v>
          </cell>
          <cell r="AK28">
            <v>11966.976744844324</v>
          </cell>
          <cell r="AL28">
            <v>12456.787623422515</v>
          </cell>
          <cell r="AM28">
            <v>10926.542867024622</v>
          </cell>
          <cell r="AN28">
            <v>14933.139850716776</v>
          </cell>
          <cell r="AO28">
            <v>4006.5969836921549</v>
          </cell>
          <cell r="AP28">
            <v>0.3666847814951355</v>
          </cell>
          <cell r="AQ28">
            <v>12472.08658281818</v>
          </cell>
          <cell r="AR28">
            <v>12717.911815201682</v>
          </cell>
          <cell r="AS28">
            <v>13110.36570566145</v>
          </cell>
          <cell r="AT28">
            <v>13717.599925682445</v>
          </cell>
          <cell r="AU28">
            <v>14091.967582155525</v>
          </cell>
          <cell r="AV28">
            <v>15141.861352731332</v>
          </cell>
          <cell r="AW28">
            <v>16335.926489831425</v>
          </cell>
          <cell r="AX28">
            <v>15973.077708490633</v>
          </cell>
          <cell r="AY28">
            <v>15939.967990672536</v>
          </cell>
          <cell r="AZ28">
            <v>16139.294765325454</v>
          </cell>
          <cell r="BA28">
            <v>16359.3716009893</v>
          </cell>
          <cell r="BB28">
            <v>17029.877571643417</v>
          </cell>
          <cell r="BC28">
            <v>4.2635299670414906E-2</v>
          </cell>
          <cell r="BD28">
            <v>1.7471351508074884E-2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6.0106651178489789E-2</v>
          </cell>
          <cell r="BP28">
            <v>0</v>
          </cell>
          <cell r="BQ28">
            <v>-3.8759363336740823E-3</v>
          </cell>
          <cell r="BR28">
            <v>-5.4642410162263448E-3</v>
          </cell>
          <cell r="BS28">
            <v>-5.4642410162263448E-3</v>
          </cell>
          <cell r="BT28">
            <v>-5.4642410162263448E-3</v>
          </cell>
          <cell r="BU28">
            <v>-5.4642410162263448E-3</v>
          </cell>
          <cell r="BV28">
            <v>-5.4642410162263448E-3</v>
          </cell>
          <cell r="BW28">
            <v>-5.4642410162263448E-3</v>
          </cell>
          <cell r="BX28">
            <v>-5.4642410162263448E-3</v>
          </cell>
          <cell r="BY28">
            <v>-5.4642410162263448E-3</v>
          </cell>
          <cell r="BZ28">
            <v>-5.4642410162263448E-3</v>
          </cell>
          <cell r="CA28">
            <v>-5.4642410162263448E-3</v>
          </cell>
          <cell r="CB28">
            <v>0</v>
          </cell>
          <cell r="CC28">
            <v>-36.592028488916185</v>
          </cell>
          <cell r="CD28">
            <v>-53.316881929986266</v>
          </cell>
          <cell r="CE28">
            <v>-55.656332482238213</v>
          </cell>
          <cell r="CF28">
            <v>-57.558708499152999</v>
          </cell>
          <cell r="CG28">
            <v>-61.762113368882638</v>
          </cell>
          <cell r="CH28">
            <v>-66.163778490184995</v>
          </cell>
          <cell r="CI28">
            <v>-64.896596127233352</v>
          </cell>
          <cell r="CJ28">
            <v>-64.829814565746346</v>
          </cell>
          <cell r="CK28">
            <v>-65.704288439075754</v>
          </cell>
          <cell r="CL28">
            <v>-67.17205006732911</v>
          </cell>
          <cell r="CM28">
            <v>-70.045725364958344</v>
          </cell>
        </row>
        <row r="29">
          <cell r="B29" t="str">
            <v>Hyderabad</v>
          </cell>
          <cell r="C29">
            <v>11076.141802620687</v>
          </cell>
          <cell r="D29">
            <v>11389.649236398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11575.970716146201</v>
          </cell>
          <cell r="P29">
            <v>11336.41829250539</v>
          </cell>
          <cell r="Q29">
            <v>12100.726653998787</v>
          </cell>
          <cell r="R29">
            <v>12044.782836546525</v>
          </cell>
          <cell r="S29">
            <v>12659.718922899709</v>
          </cell>
          <cell r="T29">
            <v>13535.612607165611</v>
          </cell>
          <cell r="U29">
            <v>13484.781990680112</v>
          </cell>
          <cell r="V29">
            <v>12891.032213403712</v>
          </cell>
          <cell r="W29">
            <v>13219.591752069522</v>
          </cell>
          <cell r="X29">
            <v>13263.654745919875</v>
          </cell>
          <cell r="Y29">
            <v>13155.000202194316</v>
          </cell>
          <cell r="Z29">
            <v>13254.462944774661</v>
          </cell>
          <cell r="AA29">
            <v>9279.8079485599992</v>
          </cell>
          <cell r="AB29">
            <v>9052.2395492171436</v>
          </cell>
          <cell r="AC29">
            <v>9670.112272905164</v>
          </cell>
          <cell r="AD29">
            <v>9625.4056192299886</v>
          </cell>
          <cell r="AE29">
            <v>10116.822470938734</v>
          </cell>
          <cell r="AF29">
            <v>10816.779631212316</v>
          </cell>
          <cell r="AG29">
            <v>10776.159114579677</v>
          </cell>
          <cell r="AH29">
            <v>10301.672980610372</v>
          </cell>
          <cell r="AI29">
            <v>10564.236355362942</v>
          </cell>
          <cell r="AJ29">
            <v>10599.448628955821</v>
          </cell>
          <cell r="AK29">
            <v>10512.61899741132</v>
          </cell>
          <cell r="AL29">
            <v>10592.103140407407</v>
          </cell>
          <cell r="AM29">
            <v>10165.626982849999</v>
          </cell>
          <cell r="AN29">
            <v>12680.97367068872</v>
          </cell>
          <cell r="AO29">
            <v>2515.3466878387208</v>
          </cell>
          <cell r="AP29">
            <v>0.24743645346049548</v>
          </cell>
          <cell r="AQ29">
            <v>11575.970716146201</v>
          </cell>
          <cell r="AR29">
            <v>11292.093599150267</v>
          </cell>
          <cell r="AS29">
            <v>12062.850558277627</v>
          </cell>
          <cell r="AT29">
            <v>12007.08184877098</v>
          </cell>
          <cell r="AU29">
            <v>12620.09314343726</v>
          </cell>
          <cell r="AV29">
            <v>13493.245221023215</v>
          </cell>
          <cell r="AW29">
            <v>13442.573707817264</v>
          </cell>
          <cell r="AX29">
            <v>12850.682407642413</v>
          </cell>
          <cell r="AY29">
            <v>13178.213532652378</v>
          </cell>
          <cell r="AZ29">
            <v>13222.138606341359</v>
          </cell>
          <cell r="BA29">
            <v>13113.824158712207</v>
          </cell>
          <cell r="BB29">
            <v>13212.975576157593</v>
          </cell>
          <cell r="BC29">
            <v>-5.386198898686001E-2</v>
          </cell>
          <cell r="BD29">
            <v>1.077696151513885E-2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-4.308502747172116E-2</v>
          </cell>
          <cell r="BP29">
            <v>0</v>
          </cell>
          <cell r="BQ29">
            <v>4.8965444533509098E-3</v>
          </cell>
          <cell r="BR29">
            <v>3.9168206792473785E-3</v>
          </cell>
          <cell r="BS29">
            <v>3.9168206792473785E-3</v>
          </cell>
          <cell r="BT29">
            <v>3.9168206792473785E-3</v>
          </cell>
          <cell r="BU29">
            <v>3.9168206792473785E-3</v>
          </cell>
          <cell r="BV29">
            <v>3.9168206792473785E-3</v>
          </cell>
          <cell r="BW29">
            <v>3.9168206792473785E-3</v>
          </cell>
          <cell r="BX29">
            <v>3.9168206792473785E-3</v>
          </cell>
          <cell r="BY29">
            <v>3.9168206792473785E-3</v>
          </cell>
          <cell r="BZ29">
            <v>3.9168206792473785E-3</v>
          </cell>
          <cell r="CA29">
            <v>3.9168206792473785E-3</v>
          </cell>
          <cell r="CB29">
            <v>0</v>
          </cell>
          <cell r="CC29">
            <v>44.3246933551236</v>
          </cell>
          <cell r="CD29">
            <v>37.8760957211598</v>
          </cell>
          <cell r="CE29">
            <v>37.70098777554449</v>
          </cell>
          <cell r="CF29">
            <v>39.625779462448918</v>
          </cell>
          <cell r="CG29">
            <v>42.367386142395844</v>
          </cell>
          <cell r="CH29">
            <v>42.208282862848137</v>
          </cell>
          <cell r="CI29">
            <v>40.349805761299649</v>
          </cell>
          <cell r="CJ29">
            <v>41.378219417143555</v>
          </cell>
          <cell r="CK29">
            <v>41.516139578516231</v>
          </cell>
          <cell r="CL29">
            <v>41.17604348210989</v>
          </cell>
          <cell r="CM29">
            <v>41.487368617068569</v>
          </cell>
        </row>
        <row r="30">
          <cell r="B30" t="str">
            <v>Sukkur</v>
          </cell>
          <cell r="C30">
            <v>6823.4646377544796</v>
          </cell>
          <cell r="D30">
            <v>6671.568337826001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7751.7343411291185</v>
          </cell>
          <cell r="P30">
            <v>7906.541850823528</v>
          </cell>
          <cell r="Q30">
            <v>8272.9975553739041</v>
          </cell>
          <cell r="R30">
            <v>8287.9266808816228</v>
          </cell>
          <cell r="S30">
            <v>9177.7483303648314</v>
          </cell>
          <cell r="T30">
            <v>9168.6640449031584</v>
          </cell>
          <cell r="U30">
            <v>9437.9219795668905</v>
          </cell>
          <cell r="V30">
            <v>8718.7278990626473</v>
          </cell>
          <cell r="W30">
            <v>8579.3925905477772</v>
          </cell>
          <cell r="X30">
            <v>8629.6198148353287</v>
          </cell>
          <cell r="Y30">
            <v>8684.6155299686161</v>
          </cell>
          <cell r="Z30">
            <v>8801.9483398915636</v>
          </cell>
          <cell r="AA30">
            <v>5855.1958411000005</v>
          </cell>
          <cell r="AB30">
            <v>5907.8135884382118</v>
          </cell>
          <cell r="AC30">
            <v>6100.9724974138753</v>
          </cell>
          <cell r="AD30">
            <v>6111.9820720599928</v>
          </cell>
          <cell r="AE30">
            <v>6768.1864737612987</v>
          </cell>
          <cell r="AF30">
            <v>6761.4872120500077</v>
          </cell>
          <cell r="AG30">
            <v>6960.0531179503196</v>
          </cell>
          <cell r="AH30">
            <v>6429.6790575096684</v>
          </cell>
          <cell r="AI30">
            <v>6326.9253845540034</v>
          </cell>
          <cell r="AJ30">
            <v>6363.9657573993618</v>
          </cell>
          <cell r="AK30">
            <v>6404.5226828980103</v>
          </cell>
          <cell r="AL30">
            <v>6491.0504790919294</v>
          </cell>
          <cell r="AM30">
            <v>6377.0095917100007</v>
          </cell>
          <cell r="AN30">
            <v>8442.5671808923416</v>
          </cell>
          <cell r="AO30">
            <v>2065.557589182341</v>
          </cell>
          <cell r="AP30">
            <v>0.32390692839282054</v>
          </cell>
          <cell r="AQ30">
            <v>7751.7343411291185</v>
          </cell>
          <cell r="AR30">
            <v>7821.3953413865993</v>
          </cell>
          <cell r="AS30">
            <v>8077.1197592602784</v>
          </cell>
          <cell r="AT30">
            <v>8091.6954114129312</v>
          </cell>
          <cell r="AU30">
            <v>8960.4489652671546</v>
          </cell>
          <cell r="AV30">
            <v>8951.5797662724599</v>
          </cell>
          <cell r="AW30">
            <v>9214.4625448364804</v>
          </cell>
          <cell r="AX30">
            <v>8512.2966515792705</v>
          </cell>
          <cell r="AY30">
            <v>8376.2603520354551</v>
          </cell>
          <cell r="AZ30">
            <v>8425.2983582756788</v>
          </cell>
          <cell r="BA30">
            <v>8478.9919529376511</v>
          </cell>
          <cell r="BB30">
            <v>8593.5467018173422</v>
          </cell>
          <cell r="BC30">
            <v>-0.15853777201758767</v>
          </cell>
          <cell r="BD30">
            <v>-0.19462817950296352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-0.35316595152055119</v>
          </cell>
          <cell r="BP30">
            <v>0</v>
          </cell>
          <cell r="BQ30">
            <v>1.4412524728871607E-2</v>
          </cell>
          <cell r="BR30">
            <v>3.2105995592777381E-2</v>
          </cell>
          <cell r="BS30">
            <v>3.2105995592777381E-2</v>
          </cell>
          <cell r="BT30">
            <v>3.2105995592777381E-2</v>
          </cell>
          <cell r="BU30">
            <v>3.2105995592777381E-2</v>
          </cell>
          <cell r="BV30">
            <v>3.2105995592777381E-2</v>
          </cell>
          <cell r="BW30">
            <v>3.2105995592777381E-2</v>
          </cell>
          <cell r="BX30">
            <v>3.2105995592777381E-2</v>
          </cell>
          <cell r="BY30">
            <v>3.2105995592777381E-2</v>
          </cell>
          <cell r="BZ30">
            <v>3.2105995592777381E-2</v>
          </cell>
          <cell r="CA30">
            <v>3.2105995592777381E-2</v>
          </cell>
          <cell r="CB30">
            <v>0</v>
          </cell>
          <cell r="CC30">
            <v>85.146509436928682</v>
          </cell>
          <cell r="CD30">
            <v>195.87779611362566</v>
          </cell>
          <cell r="CE30">
            <v>196.23126946869161</v>
          </cell>
          <cell r="CF30">
            <v>217.29936509767685</v>
          </cell>
          <cell r="CG30">
            <v>217.08427863069846</v>
          </cell>
          <cell r="CH30">
            <v>223.45943473041007</v>
          </cell>
          <cell r="CI30">
            <v>206.43124748337686</v>
          </cell>
          <cell r="CJ30">
            <v>203.13223851232215</v>
          </cell>
          <cell r="CK30">
            <v>204.32145655964996</v>
          </cell>
          <cell r="CL30">
            <v>205.62357703096495</v>
          </cell>
          <cell r="CM30">
            <v>208.40163807422141</v>
          </cell>
        </row>
        <row r="31">
          <cell r="B31" t="str">
            <v>Hyder &amp; Sukkur</v>
          </cell>
          <cell r="C31">
            <v>17899.606440375166</v>
          </cell>
          <cell r="D31">
            <v>18061.217574224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19327.705057275321</v>
          </cell>
          <cell r="P31">
            <v>19242.960143328917</v>
          </cell>
          <cell r="Q31">
            <v>20373.724209372689</v>
          </cell>
          <cell r="R31">
            <v>20332.709517428149</v>
          </cell>
          <cell r="S31">
            <v>21837.467253264542</v>
          </cell>
          <cell r="T31">
            <v>22704.276652068769</v>
          </cell>
          <cell r="U31">
            <v>22922.703970247003</v>
          </cell>
          <cell r="V31">
            <v>21609.76011246636</v>
          </cell>
          <cell r="W31">
            <v>21798.984342617299</v>
          </cell>
          <cell r="X31">
            <v>21893.274560755206</v>
          </cell>
          <cell r="Y31">
            <v>21839.615732162933</v>
          </cell>
          <cell r="Z31">
            <v>22056.411284666225</v>
          </cell>
          <cell r="AA31">
            <v>15135.003789660001</v>
          </cell>
          <cell r="AB31">
            <v>14960.053137655355</v>
          </cell>
          <cell r="AC31">
            <v>15771.084770319039</v>
          </cell>
          <cell r="AD31">
            <v>15737.387691289981</v>
          </cell>
          <cell r="AE31">
            <v>16885.008944700032</v>
          </cell>
          <cell r="AF31">
            <v>17578.266843262325</v>
          </cell>
          <cell r="AG31">
            <v>17736.212232529997</v>
          </cell>
          <cell r="AH31">
            <v>16731.35203812004</v>
          </cell>
          <cell r="AI31">
            <v>16891.161739916944</v>
          </cell>
          <cell r="AJ31">
            <v>16963.414386355184</v>
          </cell>
          <cell r="AK31">
            <v>16917.141680309331</v>
          </cell>
          <cell r="AL31">
            <v>17083.153619499339</v>
          </cell>
          <cell r="AM31">
            <v>16542.636574559998</v>
          </cell>
          <cell r="AN31">
            <v>21123.54085158106</v>
          </cell>
          <cell r="AO31">
            <v>4580.9042770210617</v>
          </cell>
          <cell r="AP31">
            <v>0.27691500423008625</v>
          </cell>
          <cell r="AQ31">
            <v>19327.705057275321</v>
          </cell>
          <cell r="AR31">
            <v>19113.488940536867</v>
          </cell>
          <cell r="AS31">
            <v>20139.970317537904</v>
          </cell>
          <cell r="AT31">
            <v>20098.77726018391</v>
          </cell>
          <cell r="AU31">
            <v>21580.542108704416</v>
          </cell>
          <cell r="AV31">
            <v>22444.824987295673</v>
          </cell>
          <cell r="AW31">
            <v>22657.036252653743</v>
          </cell>
          <cell r="AX31">
            <v>21362.979059221681</v>
          </cell>
          <cell r="AY31">
            <v>21554.473884687832</v>
          </cell>
          <cell r="AZ31">
            <v>21647.436964617038</v>
          </cell>
          <cell r="BA31">
            <v>21592.81611164986</v>
          </cell>
          <cell r="BB31">
            <v>21806.522277974935</v>
          </cell>
          <cell r="BC31">
            <v>-9.4252172483463237E-2</v>
          </cell>
          <cell r="BD31">
            <v>-6.9618652537134895E-2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-0.16387082502059813</v>
          </cell>
          <cell r="BP31">
            <v>0</v>
          </cell>
          <cell r="BQ31">
            <v>8.5683793166784761E-3</v>
          </cell>
          <cell r="BR31">
            <v>1.4897347729145284E-2</v>
          </cell>
          <cell r="BS31">
            <v>1.4897347729145284E-2</v>
          </cell>
          <cell r="BT31">
            <v>1.4897347729145284E-2</v>
          </cell>
          <cell r="BU31">
            <v>1.4897347729145284E-2</v>
          </cell>
          <cell r="BV31">
            <v>1.4897347729145284E-2</v>
          </cell>
          <cell r="BW31">
            <v>1.4897347729145284E-2</v>
          </cell>
          <cell r="BX31">
            <v>1.4897347729145284E-2</v>
          </cell>
          <cell r="BY31">
            <v>1.4897347729145284E-2</v>
          </cell>
          <cell r="BZ31">
            <v>1.4897347729145284E-2</v>
          </cell>
          <cell r="CA31">
            <v>1.4897347729145284E-2</v>
          </cell>
          <cell r="CB31">
            <v>0</v>
          </cell>
          <cell r="CC31">
            <v>129.47120279205046</v>
          </cell>
          <cell r="CD31">
            <v>233.75389183478546</v>
          </cell>
          <cell r="CE31">
            <v>233.93225724423974</v>
          </cell>
          <cell r="CF31">
            <v>256.92514456012577</v>
          </cell>
          <cell r="CG31">
            <v>259.45166477309613</v>
          </cell>
          <cell r="CH31">
            <v>265.66771759326002</v>
          </cell>
          <cell r="CI31">
            <v>246.78105324467833</v>
          </cell>
          <cell r="CJ31">
            <v>244.51045792946752</v>
          </cell>
          <cell r="CK31">
            <v>245.83759613816801</v>
          </cell>
          <cell r="CL31">
            <v>246.79962051307302</v>
          </cell>
          <cell r="CM31">
            <v>249.88900669128998</v>
          </cell>
        </row>
        <row r="32">
          <cell r="B32" t="str">
            <v>Total Distribution</v>
          </cell>
          <cell r="C32">
            <v>392651.87298363762</v>
          </cell>
          <cell r="D32">
            <v>392092.47771096596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405320.09592730424</v>
          </cell>
          <cell r="P32">
            <v>404243.01401380845</v>
          </cell>
          <cell r="Q32">
            <v>412270.52997869474</v>
          </cell>
          <cell r="R32">
            <v>421603.33162286103</v>
          </cell>
          <cell r="S32">
            <v>449342.16702589631</v>
          </cell>
          <cell r="T32">
            <v>460901.99397226016</v>
          </cell>
          <cell r="U32">
            <v>479054.87210182124</v>
          </cell>
          <cell r="V32">
            <v>459407.48928475153</v>
          </cell>
          <cell r="W32">
            <v>465851.09093399148</v>
          </cell>
          <cell r="X32">
            <v>463138.6095875387</v>
          </cell>
          <cell r="Y32">
            <v>466879.99497471272</v>
          </cell>
          <cell r="Z32">
            <v>482722.9038698345</v>
          </cell>
          <cell r="AA32">
            <v>327768.58404076123</v>
          </cell>
          <cell r="AB32">
            <v>325979.64286724362</v>
          </cell>
          <cell r="AC32">
            <v>331573.79048141185</v>
          </cell>
          <cell r="AD32">
            <v>339089.12092781632</v>
          </cell>
          <cell r="AE32">
            <v>361348.24203549098</v>
          </cell>
          <cell r="AF32">
            <v>370616.65355029219</v>
          </cell>
          <cell r="AG32">
            <v>385250.11526073719</v>
          </cell>
          <cell r="AH32">
            <v>369327.18088415021</v>
          </cell>
          <cell r="AI32">
            <v>374575.6133179093</v>
          </cell>
          <cell r="AJ32">
            <v>372311.3231127591</v>
          </cell>
          <cell r="AK32">
            <v>375313.17055979563</v>
          </cell>
          <cell r="AL32">
            <v>388065.16137971275</v>
          </cell>
          <cell r="AM32">
            <v>360329.43305206287</v>
          </cell>
          <cell r="AN32">
            <v>445827.85807015753</v>
          </cell>
          <cell r="AO32">
            <v>85498.425018094626</v>
          </cell>
          <cell r="AP32">
            <v>0.2372784934439181</v>
          </cell>
          <cell r="AQ32">
            <v>405320.09592730424</v>
          </cell>
          <cell r="AR32">
            <v>403105.18646572705</v>
          </cell>
          <cell r="AS32">
            <v>410103.78844003275</v>
          </cell>
          <cell r="AT32">
            <v>419407.53991793434</v>
          </cell>
          <cell r="AU32">
            <v>447051.18673979281</v>
          </cell>
          <cell r="AV32">
            <v>458529.11561016185</v>
          </cell>
          <cell r="AW32">
            <v>476607.32055729267</v>
          </cell>
          <cell r="AX32">
            <v>457097.42420748901</v>
          </cell>
          <cell r="AY32">
            <v>463532.71008816513</v>
          </cell>
          <cell r="AZ32">
            <v>460849.81153888453</v>
          </cell>
          <cell r="BA32">
            <v>464573.96668311476</v>
          </cell>
          <cell r="BB32">
            <v>480354.9856726185</v>
          </cell>
          <cell r="BC32">
            <v>-3.9323923963862362E-2</v>
          </cell>
          <cell r="BD32">
            <v>-3.4465721878771449E-2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-7.3789645842633811E-2</v>
          </cell>
          <cell r="BP32">
            <v>0</v>
          </cell>
          <cell r="BQ32">
            <v>3.5749021785329419E-3</v>
          </cell>
          <cell r="BR32">
            <v>6.708149622057619E-3</v>
          </cell>
          <cell r="BS32">
            <v>6.708149622057619E-3</v>
          </cell>
          <cell r="BT32">
            <v>6.708149622057619E-3</v>
          </cell>
          <cell r="BU32">
            <v>6.708149622057619E-3</v>
          </cell>
          <cell r="BV32">
            <v>6.708149622057619E-3</v>
          </cell>
          <cell r="BW32">
            <v>6.708149622057619E-3</v>
          </cell>
          <cell r="BX32">
            <v>6.708149622057619E-3</v>
          </cell>
          <cell r="BY32">
            <v>6.708149622057619E-3</v>
          </cell>
          <cell r="BZ32">
            <v>6.708149622057619E-3</v>
          </cell>
          <cell r="CA32">
            <v>6.708149622057619E-3</v>
          </cell>
          <cell r="CB32">
            <v>0</v>
          </cell>
          <cell r="CC32">
            <v>1137.8275480814045</v>
          </cell>
          <cell r="CD32">
            <v>2166.7415386619978</v>
          </cell>
          <cell r="CE32">
            <v>2195.791704926698</v>
          </cell>
          <cell r="CF32">
            <v>2290.9802861034987</v>
          </cell>
          <cell r="CG32">
            <v>2372.8783620983013</v>
          </cell>
          <cell r="CH32">
            <v>2447.551544528571</v>
          </cell>
          <cell r="CI32">
            <v>2310.0650772625231</v>
          </cell>
          <cell r="CJ32">
            <v>2318.380845826352</v>
          </cell>
          <cell r="CK32">
            <v>2288.7980486541637</v>
          </cell>
          <cell r="CL32">
            <v>2306.0282915979624</v>
          </cell>
          <cell r="CM32">
            <v>2367.9181972160004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V52"/>
  <sheetViews>
    <sheetView tabSelected="1" topLeftCell="A20" zoomScale="90" zoomScaleNormal="90" workbookViewId="0">
      <selection activeCell="U49" sqref="U49"/>
    </sheetView>
  </sheetViews>
  <sheetFormatPr defaultRowHeight="14.4" x14ac:dyDescent="0.3"/>
  <cols>
    <col min="2" max="2" width="9.109375" customWidth="1"/>
    <col min="3" max="3" width="47.33203125" customWidth="1"/>
    <col min="4" max="4" width="1.109375" customWidth="1"/>
    <col min="5" max="5" width="1" customWidth="1"/>
    <col min="6" max="6" width="13.33203125" customWidth="1"/>
    <col min="7" max="7" width="1.109375" customWidth="1"/>
    <col min="8" max="8" width="15.88671875" customWidth="1"/>
    <col min="9" max="9" width="1.21875" customWidth="1"/>
    <col min="10" max="10" width="12.21875" hidden="1" customWidth="1"/>
    <col min="11" max="11" width="1.109375" hidden="1" customWidth="1"/>
    <col min="12" max="12" width="13.77734375" hidden="1" customWidth="1"/>
    <col min="13" max="13" width="1.33203125" hidden="1" customWidth="1"/>
    <col min="14" max="14" width="0" hidden="1" customWidth="1"/>
    <col min="15" max="15" width="13.5546875" customWidth="1"/>
    <col min="16" max="16" width="1.33203125" customWidth="1"/>
    <col min="17" max="17" width="13.5546875" bestFit="1" customWidth="1"/>
    <col min="18" max="18" width="1.21875" customWidth="1"/>
    <col min="19" max="19" width="13" customWidth="1"/>
    <col min="20" max="20" width="1.33203125" customWidth="1"/>
    <col min="21" max="21" width="15.6640625" customWidth="1"/>
    <col min="22" max="22" width="1" customWidth="1"/>
  </cols>
  <sheetData>
    <row r="3" spans="2:22" ht="23.4" x14ac:dyDescent="0.45">
      <c r="B3" s="57" t="s">
        <v>0</v>
      </c>
      <c r="C3" s="58"/>
    </row>
    <row r="4" spans="2:22" ht="23.4" x14ac:dyDescent="0.45">
      <c r="B4" s="57" t="s">
        <v>1872</v>
      </c>
      <c r="C4" s="58"/>
    </row>
    <row r="5" spans="2:22" ht="11.4" customHeight="1" x14ac:dyDescent="0.45">
      <c r="B5" s="57"/>
      <c r="C5" s="58"/>
    </row>
    <row r="6" spans="2:22" ht="23.4" x14ac:dyDescent="0.45">
      <c r="B6" s="57"/>
      <c r="C6" s="58"/>
      <c r="D6" s="90"/>
      <c r="E6" s="76"/>
      <c r="F6" s="571">
        <v>46023</v>
      </c>
      <c r="G6" s="571"/>
      <c r="H6" s="571"/>
      <c r="I6" s="90"/>
      <c r="J6" s="571">
        <v>46054</v>
      </c>
      <c r="K6" s="571"/>
      <c r="L6" s="571"/>
      <c r="M6" s="90"/>
      <c r="O6" s="571">
        <v>46054</v>
      </c>
      <c r="P6" s="571"/>
      <c r="Q6" s="571"/>
      <c r="R6" s="90"/>
      <c r="S6" s="571">
        <v>46082</v>
      </c>
      <c r="T6" s="571"/>
      <c r="U6" s="571"/>
      <c r="V6" s="90"/>
    </row>
    <row r="7" spans="2:22" ht="23.4" x14ac:dyDescent="0.45">
      <c r="B7" s="57"/>
      <c r="D7" s="72"/>
      <c r="E7" s="76"/>
      <c r="I7" s="72"/>
      <c r="M7" s="72"/>
      <c r="R7" s="72"/>
      <c r="V7" s="72"/>
    </row>
    <row r="8" spans="2:22" ht="18.600000000000001" thickBot="1" x14ac:dyDescent="0.4">
      <c r="B8" s="35" t="s">
        <v>28</v>
      </c>
      <c r="C8" s="35"/>
      <c r="D8" s="72"/>
      <c r="E8" s="76"/>
      <c r="F8" s="55"/>
      <c r="G8" s="172"/>
      <c r="H8" s="56">
        <v>6442017</v>
      </c>
      <c r="I8" s="72"/>
      <c r="J8" s="55"/>
      <c r="K8" s="172"/>
      <c r="L8" s="56">
        <f>+H38</f>
        <v>6352776</v>
      </c>
      <c r="M8" s="72"/>
      <c r="O8" s="55"/>
      <c r="P8" s="172"/>
      <c r="Q8" s="56">
        <f>+H38</f>
        <v>6352776</v>
      </c>
      <c r="R8" s="72"/>
      <c r="S8" s="55"/>
      <c r="T8" s="172"/>
      <c r="U8" s="56">
        <f>Q38</f>
        <v>6378113</v>
      </c>
      <c r="V8" s="72"/>
    </row>
    <row r="9" spans="2:22" ht="4.8" customHeight="1" x14ac:dyDescent="0.3">
      <c r="D9" s="72"/>
      <c r="E9" s="76"/>
      <c r="F9" s="49"/>
      <c r="G9" s="111"/>
      <c r="H9" s="49"/>
      <c r="I9" s="72"/>
      <c r="J9" s="49"/>
      <c r="K9" s="111"/>
      <c r="L9" s="49"/>
      <c r="M9" s="72"/>
      <c r="O9" s="49"/>
      <c r="P9" s="111"/>
      <c r="Q9" s="49"/>
      <c r="R9" s="72"/>
      <c r="S9" s="49"/>
      <c r="T9" s="111"/>
      <c r="U9" s="49"/>
      <c r="V9" s="72"/>
    </row>
    <row r="10" spans="2:22" ht="15.6" x14ac:dyDescent="0.3">
      <c r="B10" s="36" t="s">
        <v>23</v>
      </c>
      <c r="D10" s="72"/>
      <c r="E10" s="76"/>
      <c r="F10" s="49"/>
      <c r="G10" s="111"/>
      <c r="H10" s="49"/>
      <c r="I10" s="72"/>
      <c r="J10" s="49"/>
      <c r="K10" s="111"/>
      <c r="L10" s="49"/>
      <c r="M10" s="72"/>
      <c r="O10" s="49"/>
      <c r="P10" s="111"/>
      <c r="Q10" s="49"/>
      <c r="R10" s="72"/>
      <c r="S10" s="49"/>
      <c r="T10" s="111"/>
      <c r="U10" s="49"/>
      <c r="V10" s="72"/>
    </row>
    <row r="11" spans="2:22" x14ac:dyDescent="0.3">
      <c r="C11" t="s">
        <v>24</v>
      </c>
      <c r="D11" s="72"/>
      <c r="E11" s="76"/>
      <c r="F11" s="52">
        <f>+'Recpt 2026'!D58</f>
        <v>262500</v>
      </c>
      <c r="G11" s="111"/>
      <c r="H11" s="49"/>
      <c r="I11" s="72"/>
      <c r="J11" s="52">
        <f>+'Recpt 2026'!H58</f>
        <v>0</v>
      </c>
      <c r="K11" s="111"/>
      <c r="L11" s="49"/>
      <c r="M11" s="72"/>
      <c r="O11" s="52">
        <f>+'Recpt 2026'!G58</f>
        <v>241500</v>
      </c>
      <c r="P11" s="111"/>
      <c r="Q11" s="49"/>
      <c r="R11" s="72"/>
      <c r="S11" s="52">
        <f>+'Recpt 2026'!J58</f>
        <v>171500</v>
      </c>
      <c r="T11" s="111"/>
      <c r="U11" s="49"/>
      <c r="V11" s="72"/>
    </row>
    <row r="12" spans="2:22" x14ac:dyDescent="0.3">
      <c r="C12" t="s">
        <v>146</v>
      </c>
      <c r="D12" s="72"/>
      <c r="E12" s="76"/>
      <c r="F12" s="52">
        <f>+'Recpt 2026'!D61</f>
        <v>0</v>
      </c>
      <c r="G12" s="111"/>
      <c r="H12" s="49"/>
      <c r="I12" s="72"/>
      <c r="J12" s="52">
        <f>+'Recpt 2026'!H61</f>
        <v>0</v>
      </c>
      <c r="K12" s="111"/>
      <c r="L12" s="49"/>
      <c r="M12" s="72"/>
      <c r="O12" s="52">
        <v>0</v>
      </c>
      <c r="P12" s="111"/>
      <c r="Q12" s="49"/>
      <c r="R12" s="72"/>
      <c r="S12" s="52">
        <v>0</v>
      </c>
      <c r="T12" s="111"/>
      <c r="U12" s="49"/>
      <c r="V12" s="72"/>
    </row>
    <row r="13" spans="2:22" x14ac:dyDescent="0.3">
      <c r="C13" t="s">
        <v>25</v>
      </c>
      <c r="D13" s="72"/>
      <c r="E13" s="76"/>
      <c r="F13" s="52">
        <f>+'Recpt 2026'!D62</f>
        <v>0</v>
      </c>
      <c r="G13" s="111"/>
      <c r="H13" s="49"/>
      <c r="I13" s="72"/>
      <c r="J13" s="52">
        <f>+'Recpt 2026'!H62</f>
        <v>0</v>
      </c>
      <c r="K13" s="111"/>
      <c r="L13" s="49"/>
      <c r="M13" s="72"/>
      <c r="O13" s="52">
        <v>0</v>
      </c>
      <c r="P13" s="111"/>
      <c r="Q13" s="49"/>
      <c r="R13" s="72"/>
      <c r="S13" s="52">
        <v>0</v>
      </c>
      <c r="T13" s="111"/>
      <c r="U13" s="49"/>
      <c r="V13" s="72"/>
    </row>
    <row r="14" spans="2:22" x14ac:dyDescent="0.3">
      <c r="C14" t="s">
        <v>26</v>
      </c>
      <c r="D14" s="72"/>
      <c r="E14" s="76"/>
      <c r="F14" s="54">
        <f>+'Recpt 2026'!D63+'Recpt 2026'!D64+'Recpt 2026'!D65</f>
        <v>500000</v>
      </c>
      <c r="G14" s="111"/>
      <c r="H14" s="49"/>
      <c r="I14" s="72"/>
      <c r="J14" s="54">
        <f>+'Recpt 2026'!H63+'Recpt 2026'!H64+'Recpt 2026'!H65</f>
        <v>0</v>
      </c>
      <c r="K14" s="111"/>
      <c r="L14" s="49"/>
      <c r="M14" s="72"/>
      <c r="O14" s="54">
        <f>+'Recpt 2026'!G63+'Recpt 2026'!G64+'Recpt 2026'!G65</f>
        <v>700000</v>
      </c>
      <c r="P14" s="111"/>
      <c r="Q14" s="49"/>
      <c r="R14" s="72"/>
      <c r="S14" s="54">
        <f>+'Recpt 2026'!J63+'Recpt 2026'!J64+'Recpt 2026'!J65</f>
        <v>1200000</v>
      </c>
      <c r="T14" s="111"/>
      <c r="U14" s="49"/>
      <c r="V14" s="72"/>
    </row>
    <row r="15" spans="2:22" x14ac:dyDescent="0.3">
      <c r="C15" t="s">
        <v>1866</v>
      </c>
      <c r="D15" s="72"/>
      <c r="E15" s="76"/>
      <c r="F15" s="54">
        <f>+'Recpt 2026'!D67</f>
        <v>50000</v>
      </c>
      <c r="G15" s="111"/>
      <c r="H15" s="49"/>
      <c r="I15" s="72"/>
      <c r="J15" s="54">
        <f>+'Recpt 2026'!H67</f>
        <v>0</v>
      </c>
      <c r="K15" s="111"/>
      <c r="L15" s="49"/>
      <c r="M15" s="72"/>
      <c r="O15" s="54">
        <v>0</v>
      </c>
      <c r="P15" s="111"/>
      <c r="Q15" s="49"/>
      <c r="R15" s="72"/>
      <c r="S15" s="54">
        <v>0</v>
      </c>
      <c r="T15" s="111"/>
      <c r="U15" s="49"/>
      <c r="V15" s="72"/>
    </row>
    <row r="16" spans="2:22" x14ac:dyDescent="0.3">
      <c r="C16" t="s">
        <v>142</v>
      </c>
      <c r="D16" s="72"/>
      <c r="E16" s="76"/>
      <c r="F16" s="53">
        <f>+'Recpt 2026'!D66</f>
        <v>27500</v>
      </c>
      <c r="G16" s="111"/>
      <c r="H16" s="49"/>
      <c r="I16" s="72"/>
      <c r="J16" s="53">
        <f>+'Recpt 2026'!H66</f>
        <v>0</v>
      </c>
      <c r="K16" s="111"/>
      <c r="L16" s="49"/>
      <c r="M16" s="72"/>
      <c r="O16" s="53">
        <v>0</v>
      </c>
      <c r="P16" s="111"/>
      <c r="Q16" s="49"/>
      <c r="R16" s="72"/>
      <c r="S16" s="53">
        <v>0</v>
      </c>
      <c r="T16" s="111"/>
      <c r="U16" s="49"/>
      <c r="V16" s="72"/>
    </row>
    <row r="17" spans="2:22" ht="15.6" x14ac:dyDescent="0.3">
      <c r="D17" s="72"/>
      <c r="E17" s="76"/>
      <c r="F17" s="60">
        <f>SUM(F11:F16)</f>
        <v>840000</v>
      </c>
      <c r="G17" s="173"/>
      <c r="H17" s="49"/>
      <c r="I17" s="72"/>
      <c r="J17" s="60">
        <f>SUM(J11:J16)</f>
        <v>0</v>
      </c>
      <c r="K17" s="173"/>
      <c r="L17" s="49"/>
      <c r="M17" s="72"/>
      <c r="O17" s="60">
        <f>SUM(O11:O16)</f>
        <v>941500</v>
      </c>
      <c r="P17" s="173"/>
      <c r="Q17" s="49"/>
      <c r="R17" s="72"/>
      <c r="S17" s="60">
        <f>SUM(S11:S16)</f>
        <v>1371500</v>
      </c>
      <c r="T17" s="173"/>
      <c r="U17" s="49"/>
      <c r="V17" s="72"/>
    </row>
    <row r="18" spans="2:22" ht="15.6" x14ac:dyDescent="0.3">
      <c r="B18" s="36" t="s">
        <v>27</v>
      </c>
      <c r="D18" s="72"/>
      <c r="E18" s="76"/>
      <c r="F18" s="49"/>
      <c r="G18" s="111"/>
      <c r="H18" s="49"/>
      <c r="I18" s="72"/>
      <c r="J18" s="49"/>
      <c r="K18" s="111"/>
      <c r="L18" s="49"/>
      <c r="M18" s="72"/>
      <c r="O18" s="49"/>
      <c r="P18" s="111"/>
      <c r="Q18" s="49"/>
      <c r="R18" s="72"/>
      <c r="S18" s="49"/>
      <c r="T18" s="111"/>
      <c r="U18" s="49"/>
      <c r="V18" s="72"/>
    </row>
    <row r="19" spans="2:22" x14ac:dyDescent="0.3">
      <c r="C19" t="s">
        <v>15</v>
      </c>
      <c r="D19" s="72"/>
      <c r="E19" s="76"/>
      <c r="F19" s="52">
        <f>+'Exp 2026'!D10</f>
        <v>0</v>
      </c>
      <c r="G19" s="111"/>
      <c r="H19" s="49"/>
      <c r="I19" s="72"/>
      <c r="J19" s="52">
        <f>+'Exp 2026'!M10</f>
        <v>0</v>
      </c>
      <c r="K19" s="111"/>
      <c r="L19" s="49"/>
      <c r="M19" s="72"/>
      <c r="O19" s="52">
        <f>+'Exp 2026'!F10</f>
        <v>15000</v>
      </c>
      <c r="P19" s="111"/>
      <c r="Q19" s="49"/>
      <c r="R19" s="72"/>
      <c r="S19" s="52">
        <f>+'Exp 2026'!H10</f>
        <v>0</v>
      </c>
      <c r="T19" s="111"/>
      <c r="U19" s="49"/>
      <c r="V19" s="72"/>
    </row>
    <row r="20" spans="2:22" x14ac:dyDescent="0.3">
      <c r="C20" s="82" t="s">
        <v>74</v>
      </c>
      <c r="D20" s="72"/>
      <c r="E20" s="76"/>
      <c r="F20" s="52">
        <f>+'Exp 2026'!D19+'Exp 2026'!D22</f>
        <v>265000</v>
      </c>
      <c r="G20" s="111"/>
      <c r="H20" s="49"/>
      <c r="I20" s="72"/>
      <c r="J20" s="52">
        <f>+'Exp 2026'!L19+'Exp 2026'!L22</f>
        <v>2</v>
      </c>
      <c r="K20" s="111"/>
      <c r="L20" s="49"/>
      <c r="M20" s="72"/>
      <c r="O20" s="52">
        <f>+'Exp 2026'!F19+'Exp 2026'!F22</f>
        <v>225800</v>
      </c>
      <c r="P20" s="111"/>
      <c r="Q20" s="49"/>
      <c r="R20" s="72"/>
      <c r="S20" s="52">
        <f>+'Exp 2026'!H19+'Exp 2026'!H22</f>
        <v>276000</v>
      </c>
      <c r="T20" s="111"/>
      <c r="U20" s="49"/>
      <c r="V20" s="72"/>
    </row>
    <row r="21" spans="2:22" x14ac:dyDescent="0.3">
      <c r="C21" t="s">
        <v>62</v>
      </c>
      <c r="D21" s="72"/>
      <c r="E21" s="76"/>
      <c r="F21" s="52">
        <f>+'Exp 2026'!D30</f>
        <v>21300</v>
      </c>
      <c r="G21" s="111"/>
      <c r="H21" s="49"/>
      <c r="I21" s="72"/>
      <c r="J21" s="52">
        <f>+'Exp 2026'!L30</f>
        <v>0</v>
      </c>
      <c r="K21" s="111"/>
      <c r="L21" s="49"/>
      <c r="M21" s="72"/>
      <c r="O21" s="52">
        <f>+'Exp 2026'!F30</f>
        <v>16500</v>
      </c>
      <c r="P21" s="111"/>
      <c r="Q21" s="49"/>
      <c r="R21" s="72"/>
      <c r="S21" s="52">
        <f>+'Exp 2026'!H30</f>
        <v>33000</v>
      </c>
      <c r="T21" s="111"/>
      <c r="U21" s="49"/>
      <c r="V21" s="72"/>
    </row>
    <row r="22" spans="2:22" x14ac:dyDescent="0.3">
      <c r="C22" t="s">
        <v>81</v>
      </c>
      <c r="D22" s="72"/>
      <c r="E22" s="76"/>
      <c r="F22" s="52">
        <f>+'Exp 2026'!D33</f>
        <v>15740</v>
      </c>
      <c r="G22" s="111"/>
      <c r="H22" s="49"/>
      <c r="I22" s="72"/>
      <c r="J22" s="52">
        <f>+'Exp 2026'!L33</f>
        <v>0</v>
      </c>
      <c r="K22" s="111"/>
      <c r="L22" s="49"/>
      <c r="M22" s="72"/>
      <c r="O22" s="52">
        <f>+'Exp 2026'!F33</f>
        <v>12560</v>
      </c>
      <c r="P22" s="111"/>
      <c r="Q22" s="49"/>
      <c r="R22" s="72"/>
      <c r="S22" s="52">
        <f>+'Exp 2026'!H33</f>
        <v>18170</v>
      </c>
      <c r="T22" s="111"/>
      <c r="U22" s="49"/>
      <c r="V22" s="72"/>
    </row>
    <row r="23" spans="2:22" x14ac:dyDescent="0.3">
      <c r="C23" t="s">
        <v>1869</v>
      </c>
      <c r="D23" s="72"/>
      <c r="E23" s="76"/>
      <c r="F23" s="52">
        <f>+'Exp 2026'!D36</f>
        <v>226381</v>
      </c>
      <c r="G23" s="111"/>
      <c r="H23" s="49"/>
      <c r="I23" s="72"/>
      <c r="J23" s="52">
        <f>+'Exp 2026'!L36</f>
        <v>0</v>
      </c>
      <c r="K23" s="111"/>
      <c r="L23" s="49"/>
      <c r="M23" s="72"/>
      <c r="O23" s="52">
        <f>+'Exp 2026'!F36</f>
        <v>242468</v>
      </c>
      <c r="P23" s="111"/>
      <c r="Q23" s="49"/>
      <c r="R23" s="72"/>
      <c r="S23" s="52">
        <f>+'Exp 2026'!H36</f>
        <v>224818</v>
      </c>
      <c r="T23" s="111"/>
      <c r="U23" s="49"/>
      <c r="V23" s="72"/>
    </row>
    <row r="24" spans="2:22" x14ac:dyDescent="0.3">
      <c r="C24" t="s">
        <v>140</v>
      </c>
      <c r="D24" s="72"/>
      <c r="E24" s="76"/>
      <c r="F24" s="54">
        <f>+'Exp 2026'!D43</f>
        <v>34580</v>
      </c>
      <c r="G24" s="174"/>
      <c r="H24" s="49"/>
      <c r="I24" s="72"/>
      <c r="J24" s="54">
        <f>+'Exp 2026'!L43</f>
        <v>0</v>
      </c>
      <c r="K24" s="174"/>
      <c r="L24" s="49"/>
      <c r="M24" s="72"/>
      <c r="O24" s="54">
        <f>+'Exp 2026'!F43</f>
        <v>3640</v>
      </c>
      <c r="P24" s="174"/>
      <c r="Q24" s="49"/>
      <c r="R24" s="72"/>
      <c r="S24" s="54">
        <f>+'Exp 2026'!H43</f>
        <v>50110</v>
      </c>
      <c r="T24" s="174"/>
      <c r="U24" s="49"/>
      <c r="V24" s="72"/>
    </row>
    <row r="25" spans="2:22" x14ac:dyDescent="0.3">
      <c r="C25" t="s">
        <v>83</v>
      </c>
      <c r="D25" s="72"/>
      <c r="E25" s="76"/>
      <c r="F25" s="54">
        <f>+'Exp 2026'!D49</f>
        <v>11500</v>
      </c>
      <c r="G25" s="174"/>
      <c r="H25" s="49"/>
      <c r="I25" s="72"/>
      <c r="J25" s="54">
        <f>+'Exp 2026'!L49</f>
        <v>0</v>
      </c>
      <c r="K25" s="174"/>
      <c r="L25" s="49"/>
      <c r="M25" s="72"/>
      <c r="O25" s="54">
        <f>+'Exp 2026'!F49</f>
        <v>53600</v>
      </c>
      <c r="P25" s="174"/>
      <c r="Q25" s="49"/>
      <c r="R25" s="72"/>
      <c r="S25" s="54">
        <f>+'Exp 2026'!H49</f>
        <v>92270</v>
      </c>
      <c r="T25" s="174"/>
      <c r="U25" s="49"/>
      <c r="V25" s="72"/>
    </row>
    <row r="26" spans="2:22" x14ac:dyDescent="0.3">
      <c r="C26" t="s">
        <v>1704</v>
      </c>
      <c r="D26" s="72"/>
      <c r="E26" s="76"/>
      <c r="F26" s="54">
        <f>+'Exp 2026'!D52</f>
        <v>0</v>
      </c>
      <c r="G26" s="174"/>
      <c r="H26" s="75"/>
      <c r="I26" s="72"/>
      <c r="J26" s="54">
        <f>+'Exp 2026'!L52</f>
        <v>0</v>
      </c>
      <c r="K26" s="174"/>
      <c r="L26" s="75"/>
      <c r="M26" s="72"/>
      <c r="O26" s="54">
        <f>+'Exp 2026'!F52</f>
        <v>169450</v>
      </c>
      <c r="P26" s="174"/>
      <c r="Q26" s="75"/>
      <c r="R26" s="72"/>
      <c r="S26" s="54">
        <f>+'Exp 2026'!H52</f>
        <v>0</v>
      </c>
      <c r="T26" s="174"/>
      <c r="U26" s="75"/>
      <c r="V26" s="72"/>
    </row>
    <row r="27" spans="2:22" x14ac:dyDescent="0.3">
      <c r="C27" t="s">
        <v>1862</v>
      </c>
      <c r="D27" s="72"/>
      <c r="E27" s="76"/>
      <c r="F27" s="54">
        <f>+'Exp 2026'!D58</f>
        <v>18500</v>
      </c>
      <c r="G27" s="174"/>
      <c r="H27" s="49"/>
      <c r="I27" s="72"/>
      <c r="J27" s="54">
        <f>+'Exp 2026'!L58</f>
        <v>0</v>
      </c>
      <c r="K27" s="174"/>
      <c r="L27" s="49"/>
      <c r="M27" s="72"/>
      <c r="O27" s="54">
        <f>+'Exp 2026'!F58</f>
        <v>6600</v>
      </c>
      <c r="P27" s="174"/>
      <c r="Q27" s="49"/>
      <c r="R27" s="72"/>
      <c r="S27" s="54">
        <f>+'Exp 2026'!H58</f>
        <v>6970</v>
      </c>
      <c r="T27" s="174"/>
      <c r="U27" s="49"/>
      <c r="V27" s="72"/>
    </row>
    <row r="28" spans="2:22" x14ac:dyDescent="0.3">
      <c r="C28" t="s">
        <v>1417</v>
      </c>
      <c r="D28" s="72"/>
      <c r="E28" s="76"/>
      <c r="F28" s="54">
        <f>+'Exp 2026'!D62</f>
        <v>0</v>
      </c>
      <c r="G28" s="174"/>
      <c r="H28" s="49"/>
      <c r="I28" s="72"/>
      <c r="J28" s="54">
        <f>+'Exp 2026'!L62</f>
        <v>0</v>
      </c>
      <c r="K28" s="174"/>
      <c r="L28" s="49"/>
      <c r="M28" s="72"/>
      <c r="O28" s="54">
        <f>+'Exp 2026'!F62</f>
        <v>0</v>
      </c>
      <c r="P28" s="174"/>
      <c r="Q28" s="49"/>
      <c r="R28" s="72"/>
      <c r="S28" s="54">
        <f>+'Exp 2026'!H62</f>
        <v>15000</v>
      </c>
      <c r="T28" s="174"/>
      <c r="U28" s="49"/>
      <c r="V28" s="72"/>
    </row>
    <row r="29" spans="2:22" x14ac:dyDescent="0.3">
      <c r="C29" t="s">
        <v>77</v>
      </c>
      <c r="D29" s="72"/>
      <c r="E29" s="76"/>
      <c r="F29" s="54">
        <f>+'Exp 2026'!D66</f>
        <v>0</v>
      </c>
      <c r="G29" s="174"/>
      <c r="H29" s="49"/>
      <c r="I29" s="72"/>
      <c r="J29" s="54">
        <f>+'Exp 2026'!L66</f>
        <v>0</v>
      </c>
      <c r="K29" s="174"/>
      <c r="L29" s="49"/>
      <c r="M29" s="72"/>
      <c r="O29" s="54">
        <v>0</v>
      </c>
      <c r="P29" s="174"/>
      <c r="Q29" s="49"/>
      <c r="R29" s="72"/>
      <c r="S29" s="54">
        <f>+'Exp 2026'!H66</f>
        <v>0</v>
      </c>
      <c r="T29" s="174"/>
      <c r="U29" s="49"/>
      <c r="V29" s="72"/>
    </row>
    <row r="30" spans="2:22" x14ac:dyDescent="0.3">
      <c r="C30" t="s">
        <v>82</v>
      </c>
      <c r="D30" s="72"/>
      <c r="E30" s="76"/>
      <c r="F30" s="54">
        <f>+'Exp 2026'!D78</f>
        <v>273740</v>
      </c>
      <c r="G30" s="174"/>
      <c r="H30" s="49"/>
      <c r="I30" s="72"/>
      <c r="J30" s="54">
        <f>+'Exp 2026'!L78</f>
        <v>0</v>
      </c>
      <c r="K30" s="174"/>
      <c r="L30" s="49"/>
      <c r="M30" s="72"/>
      <c r="O30" s="54">
        <f>+'Exp 2026'!F78</f>
        <v>83600</v>
      </c>
      <c r="P30" s="174"/>
      <c r="Q30" s="49"/>
      <c r="R30" s="72"/>
      <c r="S30" s="54">
        <f>+'Exp 2026'!H78</f>
        <v>5990</v>
      </c>
      <c r="T30" s="174"/>
      <c r="U30" s="49"/>
      <c r="V30" s="72"/>
    </row>
    <row r="31" spans="2:22" x14ac:dyDescent="0.3">
      <c r="C31" t="s">
        <v>129</v>
      </c>
      <c r="D31" s="72"/>
      <c r="E31" s="76"/>
      <c r="F31" s="54">
        <f>+'Exp 2026'!D84</f>
        <v>0</v>
      </c>
      <c r="G31" s="174"/>
      <c r="H31" s="49"/>
      <c r="I31" s="72"/>
      <c r="J31" s="54">
        <f>+'Exp 2026'!L84</f>
        <v>0</v>
      </c>
      <c r="K31" s="174"/>
      <c r="L31" s="49"/>
      <c r="M31" s="72"/>
      <c r="O31" s="54">
        <v>0</v>
      </c>
      <c r="P31" s="174"/>
      <c r="Q31" s="49"/>
      <c r="R31" s="72"/>
      <c r="S31" s="54">
        <f>+'Exp 2026'!H84</f>
        <v>0</v>
      </c>
      <c r="T31" s="174"/>
      <c r="U31" s="49"/>
      <c r="V31" s="72"/>
    </row>
    <row r="32" spans="2:22" x14ac:dyDescent="0.3">
      <c r="C32" s="82" t="s">
        <v>1870</v>
      </c>
      <c r="D32" s="72"/>
      <c r="E32" s="76"/>
      <c r="F32" s="54">
        <f>+'Exp 2026'!D91</f>
        <v>0</v>
      </c>
      <c r="G32" s="174"/>
      <c r="H32" s="49"/>
      <c r="I32" s="72"/>
      <c r="J32" s="54">
        <f>+'Exp 2026'!L91</f>
        <v>0</v>
      </c>
      <c r="K32" s="174"/>
      <c r="L32" s="49"/>
      <c r="M32" s="72"/>
      <c r="O32" s="54">
        <f>+'Exp 2026'!F91</f>
        <v>58445</v>
      </c>
      <c r="P32" s="174"/>
      <c r="Q32" s="49"/>
      <c r="R32" s="72"/>
      <c r="S32" s="54">
        <f>+'Exp 2026'!H91</f>
        <v>200230</v>
      </c>
      <c r="T32" s="174"/>
      <c r="U32" s="49"/>
      <c r="V32" s="72"/>
    </row>
    <row r="33" spans="2:22" x14ac:dyDescent="0.3">
      <c r="C33" t="s">
        <v>1677</v>
      </c>
      <c r="D33" s="72"/>
      <c r="E33" s="76"/>
      <c r="F33" s="54">
        <f>+'Exp 2026'!D96</f>
        <v>0</v>
      </c>
      <c r="G33" s="174"/>
      <c r="H33" s="49"/>
      <c r="I33" s="72"/>
      <c r="J33" s="54">
        <f>+'Exp 2026'!L96</f>
        <v>0</v>
      </c>
      <c r="K33" s="174"/>
      <c r="L33" s="49"/>
      <c r="M33" s="72"/>
      <c r="O33" s="54">
        <v>0</v>
      </c>
      <c r="P33" s="174"/>
      <c r="Q33" s="49"/>
      <c r="R33" s="72"/>
      <c r="S33" s="54">
        <f>+'Exp 2026'!H96</f>
        <v>0</v>
      </c>
      <c r="T33" s="174"/>
      <c r="U33" s="49"/>
      <c r="V33" s="72"/>
    </row>
    <row r="34" spans="2:22" x14ac:dyDescent="0.3">
      <c r="C34" t="s">
        <v>1834</v>
      </c>
      <c r="D34" s="72"/>
      <c r="E34" s="76"/>
      <c r="F34" s="54">
        <f>+'Exp 2026'!D101</f>
        <v>50000</v>
      </c>
      <c r="G34" s="174"/>
      <c r="H34" s="49"/>
      <c r="I34" s="72"/>
      <c r="J34" s="54">
        <f>+'Exp 2026'!L101</f>
        <v>0</v>
      </c>
      <c r="K34" s="174"/>
      <c r="L34" s="49"/>
      <c r="M34" s="72"/>
      <c r="O34" s="54">
        <f>+'Exp 2026'!F101</f>
        <v>16000</v>
      </c>
      <c r="P34" s="174"/>
      <c r="Q34" s="49"/>
      <c r="R34" s="72"/>
      <c r="S34" s="54">
        <f>+'Exp 2026'!H101</f>
        <v>41000</v>
      </c>
      <c r="T34" s="174"/>
      <c r="U34" s="49"/>
      <c r="V34" s="72"/>
    </row>
    <row r="35" spans="2:22" x14ac:dyDescent="0.3">
      <c r="C35" t="s">
        <v>1861</v>
      </c>
      <c r="D35" s="72"/>
      <c r="E35" s="76"/>
      <c r="F35" s="54">
        <f>+'Exp 2026'!D105</f>
        <v>12500</v>
      </c>
      <c r="G35" s="174"/>
      <c r="H35" s="49"/>
      <c r="I35" s="72"/>
      <c r="J35" s="54">
        <f>+'Exp 2026'!L105</f>
        <v>0</v>
      </c>
      <c r="K35" s="174"/>
      <c r="L35" s="49"/>
      <c r="M35" s="72"/>
      <c r="O35" s="54">
        <f>+'Exp 2026'!F105</f>
        <v>12500</v>
      </c>
      <c r="P35" s="174"/>
      <c r="Q35" s="49"/>
      <c r="R35" s="72"/>
      <c r="S35" s="54">
        <f>+'Exp 2026'!H105</f>
        <v>12500</v>
      </c>
      <c r="T35" s="174"/>
      <c r="U35" s="49"/>
      <c r="V35" s="72"/>
    </row>
    <row r="36" spans="2:22" x14ac:dyDescent="0.3">
      <c r="D36" s="72"/>
      <c r="E36" s="76"/>
      <c r="F36" s="54"/>
      <c r="G36" s="174"/>
      <c r="H36" s="49"/>
      <c r="I36" s="72"/>
      <c r="J36" s="54"/>
      <c r="K36" s="174"/>
      <c r="L36" s="49"/>
      <c r="M36" s="72"/>
      <c r="O36" s="54"/>
      <c r="P36" s="174"/>
      <c r="Q36" s="49"/>
      <c r="R36" s="72"/>
      <c r="S36" s="54"/>
      <c r="T36" s="174"/>
      <c r="U36" s="49"/>
      <c r="V36" s="72"/>
    </row>
    <row r="37" spans="2:22" ht="15.6" x14ac:dyDescent="0.3">
      <c r="D37" s="72"/>
      <c r="E37" s="76"/>
      <c r="F37" s="60">
        <f>SUM(F19:F36)</f>
        <v>929241</v>
      </c>
      <c r="G37" s="173"/>
      <c r="H37" s="49"/>
      <c r="I37" s="72"/>
      <c r="J37" s="60">
        <f>SUM(J19:J36)</f>
        <v>2</v>
      </c>
      <c r="K37" s="173"/>
      <c r="L37" s="49"/>
      <c r="M37" s="72"/>
      <c r="O37" s="60">
        <f>SUM(O19:O36)</f>
        <v>916163</v>
      </c>
      <c r="P37" s="173"/>
      <c r="Q37" s="49"/>
      <c r="R37" s="72"/>
      <c r="S37" s="60">
        <f>SUM(S19:S36)</f>
        <v>976058</v>
      </c>
      <c r="T37" s="173"/>
      <c r="U37" s="49"/>
      <c r="V37" s="72"/>
    </row>
    <row r="38" spans="2:22" ht="18.600000000000001" thickBot="1" x14ac:dyDescent="0.4">
      <c r="B38" s="35" t="s">
        <v>29</v>
      </c>
      <c r="C38" s="35"/>
      <c r="D38" s="72"/>
      <c r="E38" s="76"/>
      <c r="F38" s="55"/>
      <c r="G38" s="172"/>
      <c r="H38" s="59">
        <f>H8+F17-F37</f>
        <v>6352776</v>
      </c>
      <c r="I38" s="72"/>
      <c r="J38" s="55"/>
      <c r="K38" s="172"/>
      <c r="L38" s="59">
        <f>L8+J17-J37</f>
        <v>6352774</v>
      </c>
      <c r="M38" s="72"/>
      <c r="O38" s="55"/>
      <c r="P38" s="172"/>
      <c r="Q38" s="59">
        <f>Q8+O17-O37</f>
        <v>6378113</v>
      </c>
      <c r="R38" s="72"/>
      <c r="S38" s="55"/>
      <c r="T38" s="172"/>
      <c r="U38" s="59">
        <f>U8+S17-S37</f>
        <v>6773555</v>
      </c>
      <c r="V38" s="72"/>
    </row>
    <row r="39" spans="2:22" ht="5.4" customHeight="1" thickTop="1" x14ac:dyDescent="0.3">
      <c r="D39" s="72"/>
      <c r="E39" s="76"/>
      <c r="F39" s="49"/>
      <c r="G39" s="111"/>
      <c r="H39" s="49"/>
      <c r="I39" s="72"/>
      <c r="J39" s="49"/>
      <c r="K39" s="111"/>
      <c r="L39" s="49"/>
      <c r="M39" s="72"/>
      <c r="O39" s="49"/>
      <c r="P39" s="111"/>
      <c r="Q39" s="49"/>
      <c r="R39" s="72"/>
      <c r="S39" s="49"/>
      <c r="T39" s="111"/>
      <c r="U39" s="49"/>
      <c r="V39" s="72"/>
    </row>
    <row r="40" spans="2:22" ht="18" x14ac:dyDescent="0.35">
      <c r="B40" s="35" t="s">
        <v>840</v>
      </c>
      <c r="D40" s="72"/>
      <c r="E40" s="76"/>
      <c r="F40" s="49"/>
      <c r="G40" s="111"/>
      <c r="H40" s="49"/>
      <c r="I40" s="72"/>
      <c r="J40" s="49"/>
      <c r="K40" s="111"/>
      <c r="L40" s="49"/>
      <c r="M40" s="72"/>
      <c r="O40" s="49"/>
      <c r="P40" s="111"/>
      <c r="Q40" s="49"/>
      <c r="R40" s="72"/>
      <c r="S40" s="49"/>
      <c r="T40" s="111"/>
      <c r="U40" s="49"/>
      <c r="V40" s="72"/>
    </row>
    <row r="41" spans="2:22" ht="15.6" x14ac:dyDescent="0.3">
      <c r="C41" t="s">
        <v>40</v>
      </c>
      <c r="D41" s="72"/>
      <c r="E41" s="76"/>
      <c r="G41" s="76"/>
      <c r="H41" s="60">
        <f>+'Funds Breakup'!C636</f>
        <v>2923241</v>
      </c>
      <c r="I41" s="72"/>
      <c r="K41" s="76"/>
      <c r="L41" s="60">
        <f>+'Funds Breakup'!G663</f>
        <v>0</v>
      </c>
      <c r="M41" s="72"/>
      <c r="P41" s="76"/>
      <c r="Q41" s="60">
        <f>+'Funds Breakup'!C663</f>
        <v>2923241</v>
      </c>
      <c r="R41" s="72"/>
      <c r="T41" s="76"/>
      <c r="U41" s="60">
        <f>+'Funds Breakup'!C690</f>
        <v>2923241</v>
      </c>
      <c r="V41" s="72"/>
    </row>
    <row r="42" spans="2:22" ht="15.6" x14ac:dyDescent="0.3">
      <c r="C42" t="s">
        <v>1515</v>
      </c>
      <c r="D42" s="72"/>
      <c r="E42" s="76"/>
      <c r="G42" s="76"/>
      <c r="H42" s="60">
        <f>+'Funds Breakup'!O636</f>
        <v>930000</v>
      </c>
      <c r="I42" s="72"/>
      <c r="K42" s="76"/>
      <c r="L42" s="60">
        <f>+'Funds Breakup'!S663</f>
        <v>0</v>
      </c>
      <c r="M42" s="72"/>
      <c r="P42" s="76"/>
      <c r="Q42" s="60">
        <f>+'Funds Breakup'!O663</f>
        <v>930000</v>
      </c>
      <c r="R42" s="72"/>
      <c r="T42" s="76"/>
      <c r="U42" s="60">
        <f>+'Funds Breakup'!O690</f>
        <v>930000</v>
      </c>
      <c r="V42" s="72"/>
    </row>
    <row r="43" spans="2:22" ht="15.6" x14ac:dyDescent="0.3">
      <c r="C43" t="s">
        <v>1516</v>
      </c>
      <c r="D43" s="72"/>
      <c r="E43" s="76"/>
      <c r="G43" s="76"/>
      <c r="H43" s="60">
        <f>+'Funds Breakup'!I636</f>
        <v>857518</v>
      </c>
      <c r="I43" s="72"/>
      <c r="K43" s="76"/>
      <c r="L43" s="60">
        <f>+'Funds Breakup'!M663</f>
        <v>0</v>
      </c>
      <c r="M43" s="72"/>
      <c r="P43" s="76"/>
      <c r="Q43" s="60">
        <f>+'Funds Breakup'!I663</f>
        <v>883823</v>
      </c>
      <c r="R43" s="72"/>
      <c r="T43" s="76"/>
      <c r="U43" s="60">
        <f>+'Funds Breakup'!I690</f>
        <v>1332583</v>
      </c>
      <c r="V43" s="72"/>
    </row>
    <row r="44" spans="2:22" ht="15.6" x14ac:dyDescent="0.3">
      <c r="C44" t="s">
        <v>1517</v>
      </c>
      <c r="D44" s="72"/>
      <c r="E44" s="76"/>
      <c r="G44" s="76"/>
      <c r="H44" s="60">
        <f>+'Funds Breakup'!L636</f>
        <v>1381000</v>
      </c>
      <c r="I44" s="72"/>
      <c r="K44" s="76"/>
      <c r="L44" s="60">
        <f>+'Funds Breakup'!P663</f>
        <v>0</v>
      </c>
      <c r="M44" s="72"/>
      <c r="P44" s="76"/>
      <c r="Q44" s="60">
        <f>+'Funds Breakup'!L663</f>
        <v>1381000</v>
      </c>
      <c r="R44" s="72"/>
      <c r="T44" s="76"/>
      <c r="U44" s="60">
        <f>+'Funds Breakup'!L690</f>
        <v>1381000</v>
      </c>
      <c r="V44" s="72"/>
    </row>
    <row r="45" spans="2:22" ht="15.6" x14ac:dyDescent="0.3">
      <c r="C45" t="s">
        <v>1518</v>
      </c>
      <c r="D45" s="72"/>
      <c r="E45" s="76"/>
      <c r="G45" s="76"/>
      <c r="H45" s="60">
        <f>+'Funds Breakup'!F636</f>
        <v>261017</v>
      </c>
      <c r="I45" s="72"/>
      <c r="K45" s="76"/>
      <c r="L45" s="60">
        <f>+'Funds Breakup'!J663</f>
        <v>0</v>
      </c>
      <c r="M45" s="72"/>
      <c r="P45" s="76"/>
      <c r="Q45" s="60">
        <f>+'Funds Breakup'!F663</f>
        <v>260049</v>
      </c>
      <c r="R45" s="72"/>
      <c r="T45" s="76"/>
      <c r="U45" s="60">
        <f>+'Funds Breakup'!F690</f>
        <v>206731</v>
      </c>
      <c r="V45" s="72"/>
    </row>
    <row r="46" spans="2:22" ht="18.600000000000001" thickBot="1" x14ac:dyDescent="0.4">
      <c r="D46" s="72"/>
      <c r="E46" s="76"/>
      <c r="G46" s="76"/>
      <c r="H46" s="59">
        <f>SUM(H41:H45)</f>
        <v>6352776</v>
      </c>
      <c r="I46" s="72"/>
      <c r="K46" s="76"/>
      <c r="L46" s="59">
        <f>SUM(L41:L45)</f>
        <v>0</v>
      </c>
      <c r="M46" s="72"/>
      <c r="P46" s="76"/>
      <c r="Q46" s="59">
        <f>SUM(Q41:Q45)</f>
        <v>6378113</v>
      </c>
      <c r="R46" s="72"/>
      <c r="T46" s="76"/>
      <c r="U46" s="59">
        <f>SUM(U41:U45)</f>
        <v>6773555</v>
      </c>
      <c r="V46" s="72"/>
    </row>
    <row r="47" spans="2:22" ht="15" thickTop="1" x14ac:dyDescent="0.3"/>
    <row r="49" spans="8:21" x14ac:dyDescent="0.3">
      <c r="H49" s="74">
        <f>H46-H38</f>
        <v>0</v>
      </c>
      <c r="L49" s="74">
        <f>L46-L38</f>
        <v>-6352774</v>
      </c>
      <c r="Q49" s="74">
        <f>Q46-Q38</f>
        <v>0</v>
      </c>
      <c r="U49" s="74">
        <f>U46-U38</f>
        <v>0</v>
      </c>
    </row>
    <row r="52" spans="8:21" x14ac:dyDescent="0.3">
      <c r="H52" s="74"/>
    </row>
  </sheetData>
  <mergeCells count="4">
    <mergeCell ref="F6:H6"/>
    <mergeCell ref="J6:L6"/>
    <mergeCell ref="O6:Q6"/>
    <mergeCell ref="S6:U6"/>
  </mergeCells>
  <pageMargins left="0.7" right="0.7" top="0.75" bottom="0.75" header="0.3" footer="0.3"/>
  <pageSetup scale="67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1CCA-4D42-4B96-8706-C38B0A82D31C}">
  <sheetPr>
    <pageSetUpPr fitToPage="1"/>
  </sheetPr>
  <dimension ref="B3:W121"/>
  <sheetViews>
    <sheetView topLeftCell="A57" zoomScale="110" workbookViewId="0">
      <selection activeCell="G65" sqref="G65"/>
    </sheetView>
  </sheetViews>
  <sheetFormatPr defaultRowHeight="14.4" x14ac:dyDescent="0.3"/>
  <cols>
    <col min="2" max="2" width="19.5546875" customWidth="1"/>
    <col min="3" max="3" width="11.88671875" customWidth="1"/>
    <col min="4" max="4" width="12.88671875" customWidth="1"/>
    <col min="5" max="5" width="10.6640625" bestFit="1" customWidth="1"/>
    <col min="6" max="6" width="12.88671875" customWidth="1"/>
    <col min="7" max="7" width="12.21875" customWidth="1"/>
    <col min="8" max="8" width="10.6640625" bestFit="1" customWidth="1"/>
    <col min="9" max="15" width="11.6640625" customWidth="1"/>
    <col min="16" max="16" width="2.6640625" customWidth="1"/>
    <col min="17" max="17" width="14.33203125" customWidth="1"/>
    <col min="18" max="18" width="19.109375" customWidth="1"/>
    <col min="19" max="21" width="13.77734375" customWidth="1"/>
    <col min="22" max="22" width="17.77734375" customWidth="1"/>
    <col min="23" max="23" width="11.109375" customWidth="1"/>
  </cols>
  <sheetData>
    <row r="3" spans="2:23" x14ac:dyDescent="0.3">
      <c r="B3" s="29" t="s">
        <v>0</v>
      </c>
      <c r="Q3" s="29" t="s">
        <v>0</v>
      </c>
      <c r="R3" s="29"/>
    </row>
    <row r="4" spans="2:23" ht="15" thickBot="1" x14ac:dyDescent="0.35">
      <c r="B4" s="29" t="s">
        <v>1867</v>
      </c>
      <c r="Q4" s="29" t="s">
        <v>1813</v>
      </c>
      <c r="R4" s="29"/>
    </row>
    <row r="5" spans="2:23" ht="14.4" customHeight="1" x14ac:dyDescent="0.3">
      <c r="B5" s="572" t="s">
        <v>3</v>
      </c>
      <c r="C5" s="574"/>
      <c r="D5" s="572">
        <v>46023</v>
      </c>
      <c r="E5" s="573"/>
      <c r="F5" s="574"/>
      <c r="G5" s="572">
        <v>46054</v>
      </c>
      <c r="H5" s="573"/>
      <c r="I5" s="574"/>
      <c r="J5" s="572">
        <v>46082</v>
      </c>
      <c r="K5" s="573"/>
      <c r="L5" s="574"/>
      <c r="M5" s="572">
        <v>46113</v>
      </c>
      <c r="N5" s="573"/>
      <c r="O5" s="574"/>
      <c r="Q5" s="577" t="s">
        <v>670</v>
      </c>
      <c r="R5" s="579" t="s">
        <v>1745</v>
      </c>
      <c r="S5" s="577" t="s">
        <v>61</v>
      </c>
      <c r="T5" s="575" t="s">
        <v>1815</v>
      </c>
      <c r="U5" s="575" t="s">
        <v>1919</v>
      </c>
      <c r="V5" s="575" t="s">
        <v>1814</v>
      </c>
      <c r="W5" s="575" t="s">
        <v>1920</v>
      </c>
    </row>
    <row r="6" spans="2:23" ht="34.200000000000003" customHeight="1" thickBot="1" x14ac:dyDescent="0.35">
      <c r="B6" s="63" t="s">
        <v>4</v>
      </c>
      <c r="C6" s="289" t="s">
        <v>5</v>
      </c>
      <c r="D6" s="63" t="s">
        <v>1</v>
      </c>
      <c r="E6" s="64" t="s">
        <v>2</v>
      </c>
      <c r="F6" s="65" t="s">
        <v>6</v>
      </c>
      <c r="G6" s="63" t="s">
        <v>1</v>
      </c>
      <c r="H6" s="64" t="s">
        <v>2</v>
      </c>
      <c r="I6" s="65" t="s">
        <v>6</v>
      </c>
      <c r="J6" s="63" t="s">
        <v>1</v>
      </c>
      <c r="K6" s="64" t="s">
        <v>2</v>
      </c>
      <c r="L6" s="65" t="s">
        <v>6</v>
      </c>
      <c r="M6" s="63" t="s">
        <v>1</v>
      </c>
      <c r="N6" s="64" t="s">
        <v>2</v>
      </c>
      <c r="O6" s="65" t="s">
        <v>6</v>
      </c>
      <c r="Q6" s="578"/>
      <c r="R6" s="580"/>
      <c r="S6" s="578"/>
      <c r="T6" s="576"/>
      <c r="U6" s="576"/>
      <c r="V6" s="576"/>
      <c r="W6" s="576"/>
    </row>
    <row r="7" spans="2:23" ht="7.5" customHeight="1" thickBot="1" x14ac:dyDescent="0.35">
      <c r="B7" s="62"/>
      <c r="C7" s="135"/>
      <c r="D7" s="142"/>
      <c r="E7" s="141"/>
      <c r="F7" s="143"/>
      <c r="G7" s="142"/>
      <c r="H7" s="141"/>
      <c r="I7" s="143"/>
      <c r="J7" s="142"/>
      <c r="K7" s="141"/>
      <c r="L7" s="143"/>
      <c r="M7" s="142"/>
      <c r="N7" s="141"/>
      <c r="O7" s="143"/>
    </row>
    <row r="8" spans="2:23" x14ac:dyDescent="0.3">
      <c r="B8" s="3" t="s">
        <v>1336</v>
      </c>
      <c r="C8" s="9">
        <v>101</v>
      </c>
      <c r="D8" s="95">
        <v>28500</v>
      </c>
      <c r="E8" s="37" t="s">
        <v>1788</v>
      </c>
      <c r="F8" s="38">
        <v>46028</v>
      </c>
      <c r="G8" s="95"/>
      <c r="H8" s="37"/>
      <c r="I8" s="38"/>
      <c r="J8" s="95"/>
      <c r="K8" s="37"/>
      <c r="L8" s="38"/>
      <c r="M8" s="95"/>
      <c r="N8" s="37"/>
      <c r="O8" s="38"/>
      <c r="Q8" s="262">
        <v>101</v>
      </c>
      <c r="R8" s="480" t="s">
        <v>1336</v>
      </c>
      <c r="S8" s="368">
        <f>9500*12</f>
        <v>114000</v>
      </c>
      <c r="T8" s="504">
        <v>28500</v>
      </c>
      <c r="U8" s="263">
        <f>9500*3</f>
        <v>28500</v>
      </c>
      <c r="V8" s="263">
        <f>D8+G8+J8</f>
        <v>28500</v>
      </c>
      <c r="W8" s="504">
        <f>T8+U8-V8</f>
        <v>28500</v>
      </c>
    </row>
    <row r="9" spans="2:23" ht="15" customHeight="1" x14ac:dyDescent="0.3">
      <c r="B9" s="3" t="s">
        <v>1337</v>
      </c>
      <c r="C9" s="9">
        <v>102</v>
      </c>
      <c r="D9" s="95">
        <v>14000</v>
      </c>
      <c r="E9" s="37" t="s">
        <v>1778</v>
      </c>
      <c r="F9" s="38">
        <v>46030</v>
      </c>
      <c r="G9" s="95">
        <v>7000</v>
      </c>
      <c r="H9" s="37" t="s">
        <v>1847</v>
      </c>
      <c r="I9" s="38">
        <v>46058</v>
      </c>
      <c r="J9" s="95">
        <v>7000</v>
      </c>
      <c r="K9" s="37" t="s">
        <v>1883</v>
      </c>
      <c r="L9" s="38">
        <v>46085</v>
      </c>
      <c r="M9" s="95"/>
      <c r="N9" s="37"/>
      <c r="O9" s="38"/>
      <c r="Q9" s="265">
        <v>102</v>
      </c>
      <c r="R9" s="481" t="s">
        <v>1337</v>
      </c>
      <c r="S9" s="369">
        <f>7000*12</f>
        <v>84000</v>
      </c>
      <c r="T9" s="505">
        <v>28000</v>
      </c>
      <c r="U9" s="369">
        <f>7000*3</f>
        <v>21000</v>
      </c>
      <c r="V9" s="260">
        <f>D9+G9+J9</f>
        <v>28000</v>
      </c>
      <c r="W9" s="505">
        <f>T9+U9-V9</f>
        <v>21000</v>
      </c>
    </row>
    <row r="10" spans="2:23" ht="15" customHeight="1" x14ac:dyDescent="0.3">
      <c r="B10" s="3" t="s">
        <v>41</v>
      </c>
      <c r="C10" s="9">
        <v>103</v>
      </c>
      <c r="D10" s="159"/>
      <c r="E10" s="37"/>
      <c r="F10" s="38"/>
      <c r="G10" s="95">
        <v>5000</v>
      </c>
      <c r="H10" s="37" t="s">
        <v>1897</v>
      </c>
      <c r="I10" s="38">
        <v>46059</v>
      </c>
      <c r="J10" s="159"/>
      <c r="K10" s="37"/>
      <c r="L10" s="38"/>
      <c r="M10" s="159"/>
      <c r="N10" s="37"/>
      <c r="O10" s="38"/>
      <c r="Q10" s="265">
        <v>103</v>
      </c>
      <c r="R10" s="481" t="s">
        <v>41</v>
      </c>
      <c r="S10" s="369">
        <f>2500*12</f>
        <v>30000</v>
      </c>
      <c r="T10" s="505">
        <v>0</v>
      </c>
      <c r="U10" s="369">
        <f>2500*3</f>
        <v>7500</v>
      </c>
      <c r="V10" s="260">
        <f>D10+G10+J10</f>
        <v>5000</v>
      </c>
      <c r="W10" s="505">
        <f>T10+U10-V10</f>
        <v>2500</v>
      </c>
    </row>
    <row r="11" spans="2:23" ht="15" customHeight="1" thickBot="1" x14ac:dyDescent="0.35">
      <c r="B11" s="3" t="s">
        <v>1338</v>
      </c>
      <c r="C11" s="9">
        <v>104</v>
      </c>
      <c r="D11" s="95">
        <v>7000</v>
      </c>
      <c r="E11" s="37" t="s">
        <v>1780</v>
      </c>
      <c r="F11" s="38">
        <v>46029</v>
      </c>
      <c r="G11" s="95">
        <v>7000</v>
      </c>
      <c r="H11" s="37" t="s">
        <v>1838</v>
      </c>
      <c r="I11" s="38">
        <v>46055</v>
      </c>
      <c r="J11" s="95">
        <v>7000</v>
      </c>
      <c r="K11" s="37" t="s">
        <v>1881</v>
      </c>
      <c r="L11" s="38">
        <v>46083</v>
      </c>
      <c r="M11" s="95"/>
      <c r="N11" s="37"/>
      <c r="O11" s="38"/>
      <c r="Q11" s="266">
        <v>104</v>
      </c>
      <c r="R11" s="482" t="s">
        <v>1338</v>
      </c>
      <c r="S11" s="370">
        <f>7000*12</f>
        <v>84000</v>
      </c>
      <c r="T11" s="506">
        <v>0</v>
      </c>
      <c r="U11" s="370">
        <f>7000*3</f>
        <v>21000</v>
      </c>
      <c r="V11" s="267">
        <f>D11+G11+J11</f>
        <v>21000</v>
      </c>
      <c r="W11" s="506">
        <f>T11+U11-V11</f>
        <v>0</v>
      </c>
    </row>
    <row r="12" spans="2:23" ht="4.8" customHeight="1" thickBot="1" x14ac:dyDescent="0.35">
      <c r="B12" s="13"/>
      <c r="C12" s="14"/>
      <c r="D12" s="142"/>
      <c r="E12" s="141"/>
      <c r="F12" s="143"/>
      <c r="G12" s="142"/>
      <c r="H12" s="141"/>
      <c r="I12" s="143"/>
      <c r="J12" s="142"/>
      <c r="K12" s="141"/>
      <c r="L12" s="143"/>
      <c r="M12" s="142"/>
      <c r="N12" s="141"/>
      <c r="O12" s="143"/>
      <c r="Q12" s="261"/>
      <c r="R12" s="483"/>
      <c r="T12" s="49"/>
      <c r="W12" s="49"/>
    </row>
    <row r="13" spans="2:23" ht="15" customHeight="1" x14ac:dyDescent="0.3">
      <c r="B13" s="3" t="s">
        <v>1816</v>
      </c>
      <c r="C13" s="9">
        <v>201</v>
      </c>
      <c r="D13" s="95">
        <v>5500</v>
      </c>
      <c r="E13" s="37" t="s">
        <v>1782</v>
      </c>
      <c r="F13" s="38">
        <v>46028</v>
      </c>
      <c r="G13" s="95">
        <v>5500</v>
      </c>
      <c r="H13" s="37" t="s">
        <v>1839</v>
      </c>
      <c r="I13" s="38">
        <v>46055</v>
      </c>
      <c r="J13" s="95">
        <v>5500</v>
      </c>
      <c r="K13" s="37" t="s">
        <v>1880</v>
      </c>
      <c r="L13" s="38">
        <v>46082</v>
      </c>
      <c r="M13" s="95">
        <v>5500</v>
      </c>
      <c r="N13" s="37" t="s">
        <v>1924</v>
      </c>
      <c r="O13" s="38">
        <v>46114</v>
      </c>
      <c r="Q13" s="262">
        <v>201</v>
      </c>
      <c r="R13" s="480" t="s">
        <v>1816</v>
      </c>
      <c r="S13" s="371">
        <f>5500*12</f>
        <v>66000</v>
      </c>
      <c r="T13" s="504">
        <v>0</v>
      </c>
      <c r="U13" s="371">
        <f>5500*3</f>
        <v>16500</v>
      </c>
      <c r="V13" s="263">
        <f>D13+G13+J13</f>
        <v>16500</v>
      </c>
      <c r="W13" s="504">
        <f>T13+U13-V13</f>
        <v>0</v>
      </c>
    </row>
    <row r="14" spans="2:23" ht="15" customHeight="1" x14ac:dyDescent="0.3">
      <c r="B14" s="3" t="s">
        <v>1340</v>
      </c>
      <c r="C14" s="9">
        <v>202</v>
      </c>
      <c r="D14" s="95">
        <v>21000</v>
      </c>
      <c r="E14" s="37" t="s">
        <v>1770</v>
      </c>
      <c r="F14" s="38">
        <v>46034</v>
      </c>
      <c r="G14" s="95"/>
      <c r="H14" s="37"/>
      <c r="I14" s="38"/>
      <c r="J14" s="95"/>
      <c r="K14" s="37"/>
      <c r="L14" s="38"/>
      <c r="M14" s="95"/>
      <c r="N14" s="37"/>
      <c r="O14" s="38"/>
      <c r="Q14" s="265">
        <v>202</v>
      </c>
      <c r="R14" s="481" t="s">
        <v>1340</v>
      </c>
      <c r="S14" s="369">
        <f>7000*12</f>
        <v>84000</v>
      </c>
      <c r="T14" s="505">
        <v>14000</v>
      </c>
      <c r="U14" s="369">
        <f>7000+9000+9000</f>
        <v>25000</v>
      </c>
      <c r="V14" s="260">
        <f>D14+G14+J14</f>
        <v>21000</v>
      </c>
      <c r="W14" s="505">
        <f>T14+U14-V14</f>
        <v>18000</v>
      </c>
    </row>
    <row r="15" spans="2:23" ht="15" customHeight="1" x14ac:dyDescent="0.3">
      <c r="B15" s="3" t="s">
        <v>1341</v>
      </c>
      <c r="C15" s="9">
        <v>203</v>
      </c>
      <c r="D15" s="95">
        <v>7000</v>
      </c>
      <c r="E15" s="37" t="s">
        <v>1776</v>
      </c>
      <c r="F15" s="38">
        <v>46030</v>
      </c>
      <c r="G15" s="95"/>
      <c r="H15" s="37"/>
      <c r="I15" s="38"/>
      <c r="J15" s="95"/>
      <c r="K15" s="37"/>
      <c r="L15" s="38"/>
      <c r="M15" s="95"/>
      <c r="N15" s="37"/>
      <c r="O15" s="38"/>
      <c r="Q15" s="265">
        <v>203</v>
      </c>
      <c r="R15" s="481" t="s">
        <v>1341</v>
      </c>
      <c r="S15" s="369">
        <f>7000*12</f>
        <v>84000</v>
      </c>
      <c r="T15" s="505">
        <v>0</v>
      </c>
      <c r="U15" s="369">
        <f>7000*3</f>
        <v>21000</v>
      </c>
      <c r="V15" s="260">
        <f>D15+G15+J15</f>
        <v>7000</v>
      </c>
      <c r="W15" s="505">
        <f>T15+U15-V15</f>
        <v>14000</v>
      </c>
    </row>
    <row r="16" spans="2:23" ht="15" customHeight="1" thickBot="1" x14ac:dyDescent="0.35">
      <c r="B16" s="3" t="s">
        <v>1342</v>
      </c>
      <c r="C16" s="9">
        <v>204</v>
      </c>
      <c r="D16" s="95">
        <v>7500</v>
      </c>
      <c r="E16" s="37" t="s">
        <v>1835</v>
      </c>
      <c r="F16" s="38">
        <v>46052</v>
      </c>
      <c r="G16" s="95">
        <v>7500</v>
      </c>
      <c r="H16" s="37" t="s">
        <v>1877</v>
      </c>
      <c r="I16" s="38">
        <v>46079</v>
      </c>
      <c r="J16" s="95">
        <v>7500</v>
      </c>
      <c r="K16" s="37" t="s">
        <v>1916</v>
      </c>
      <c r="L16" s="38">
        <v>46101</v>
      </c>
      <c r="M16" s="95"/>
      <c r="N16" s="37"/>
      <c r="O16" s="38"/>
      <c r="Q16" s="266">
        <v>204</v>
      </c>
      <c r="R16" s="482" t="s">
        <v>1342</v>
      </c>
      <c r="S16" s="511">
        <f>7500*12</f>
        <v>90000</v>
      </c>
      <c r="T16" s="506">
        <v>0</v>
      </c>
      <c r="U16" s="511">
        <f>7500*3</f>
        <v>22500</v>
      </c>
      <c r="V16" s="267">
        <f>D16+G16+J16</f>
        <v>22500</v>
      </c>
      <c r="W16" s="506">
        <f>T16+U16-V16</f>
        <v>0</v>
      </c>
    </row>
    <row r="17" spans="2:23" ht="5.25" customHeight="1" thickBot="1" x14ac:dyDescent="0.35">
      <c r="B17" s="13"/>
      <c r="C17" s="14"/>
      <c r="D17" s="142"/>
      <c r="E17" s="141"/>
      <c r="F17" s="143"/>
      <c r="G17" s="142"/>
      <c r="H17" s="141"/>
      <c r="I17" s="143"/>
      <c r="J17" s="142"/>
      <c r="K17" s="141"/>
      <c r="L17" s="143"/>
      <c r="M17" s="142"/>
      <c r="N17" s="141"/>
      <c r="O17" s="143"/>
      <c r="Q17" s="261"/>
      <c r="R17" s="483"/>
      <c r="T17" s="49"/>
      <c r="W17" s="49"/>
    </row>
    <row r="18" spans="2:23" ht="15" customHeight="1" x14ac:dyDescent="0.3">
      <c r="B18" s="3" t="s">
        <v>1343</v>
      </c>
      <c r="C18" s="9">
        <v>301</v>
      </c>
      <c r="D18" s="95">
        <v>5500</v>
      </c>
      <c r="E18" s="37" t="s">
        <v>1784</v>
      </c>
      <c r="F18" s="38">
        <v>46027</v>
      </c>
      <c r="G18" s="95">
        <v>5500</v>
      </c>
      <c r="H18" s="37" t="s">
        <v>1848</v>
      </c>
      <c r="I18" s="38">
        <v>46059</v>
      </c>
      <c r="J18" s="95">
        <v>5500</v>
      </c>
      <c r="K18" s="37" t="s">
        <v>1890</v>
      </c>
      <c r="L18" s="38">
        <v>46088</v>
      </c>
      <c r="M18" s="95"/>
      <c r="N18" s="37"/>
      <c r="O18" s="38"/>
      <c r="Q18" s="262">
        <v>301</v>
      </c>
      <c r="R18" s="480" t="s">
        <v>1343</v>
      </c>
      <c r="S18" s="371">
        <f>5500*12</f>
        <v>66000</v>
      </c>
      <c r="T18" s="504">
        <v>0</v>
      </c>
      <c r="U18" s="371">
        <f>5500*3</f>
        <v>16500</v>
      </c>
      <c r="V18" s="263">
        <f>D18+G18+J18</f>
        <v>16500</v>
      </c>
      <c r="W18" s="504">
        <f>T18+U18-V18</f>
        <v>0</v>
      </c>
    </row>
    <row r="19" spans="2:23" ht="15" customHeight="1" x14ac:dyDescent="0.3">
      <c r="B19" s="3" t="s">
        <v>1344</v>
      </c>
      <c r="C19" s="9">
        <v>302</v>
      </c>
      <c r="D19" s="95"/>
      <c r="E19" s="37"/>
      <c r="F19" s="38"/>
      <c r="G19" s="95">
        <v>33000</v>
      </c>
      <c r="H19" s="37" t="s">
        <v>1875</v>
      </c>
      <c r="I19" s="38">
        <v>46079</v>
      </c>
      <c r="J19" s="95"/>
      <c r="K19" s="37"/>
      <c r="L19" s="38"/>
      <c r="M19" s="95"/>
      <c r="N19" s="37"/>
      <c r="O19" s="38"/>
      <c r="Q19" s="265">
        <v>302</v>
      </c>
      <c r="R19" s="481" t="s">
        <v>1344</v>
      </c>
      <c r="S19" s="369">
        <f>5500*12</f>
        <v>66000</v>
      </c>
      <c r="T19" s="505">
        <v>0</v>
      </c>
      <c r="U19" s="369">
        <f>5500*3</f>
        <v>16500</v>
      </c>
      <c r="V19" s="260">
        <f t="shared" ref="V19:V21" si="0">D19+G19+J19</f>
        <v>33000</v>
      </c>
      <c r="W19" s="540">
        <f>T19+U19-V19</f>
        <v>-16500</v>
      </c>
    </row>
    <row r="20" spans="2:23" ht="15" customHeight="1" x14ac:dyDescent="0.3">
      <c r="B20" s="3" t="s">
        <v>1345</v>
      </c>
      <c r="C20" s="9">
        <v>303</v>
      </c>
      <c r="D20" s="95">
        <v>9000</v>
      </c>
      <c r="E20" s="37" t="s">
        <v>1781</v>
      </c>
      <c r="F20" s="38">
        <v>46028</v>
      </c>
      <c r="G20" s="95">
        <v>9000</v>
      </c>
      <c r="H20" s="37" t="s">
        <v>1851</v>
      </c>
      <c r="I20" s="38">
        <v>46062</v>
      </c>
      <c r="J20" s="95">
        <v>9000</v>
      </c>
      <c r="K20" s="37" t="s">
        <v>1884</v>
      </c>
      <c r="L20" s="38">
        <v>46085</v>
      </c>
      <c r="M20" s="95"/>
      <c r="N20" s="37"/>
      <c r="O20" s="38"/>
      <c r="Q20" s="265">
        <v>303</v>
      </c>
      <c r="R20" s="481" t="s">
        <v>1345</v>
      </c>
      <c r="S20" s="512">
        <f>9000*12</f>
        <v>108000</v>
      </c>
      <c r="T20" s="505">
        <v>0</v>
      </c>
      <c r="U20" s="512">
        <f>9000*3</f>
        <v>27000</v>
      </c>
      <c r="V20" s="260">
        <f>D20+G20+J20</f>
        <v>27000</v>
      </c>
      <c r="W20" s="505">
        <f>T20+U20-V20</f>
        <v>0</v>
      </c>
    </row>
    <row r="21" spans="2:23" ht="15" customHeight="1" thickBot="1" x14ac:dyDescent="0.35">
      <c r="B21" s="3" t="s">
        <v>1346</v>
      </c>
      <c r="C21" s="9">
        <v>304</v>
      </c>
      <c r="D21" s="95">
        <v>5500</v>
      </c>
      <c r="E21" s="37" t="s">
        <v>1783</v>
      </c>
      <c r="F21" s="38">
        <v>46028</v>
      </c>
      <c r="G21" s="95">
        <v>5500</v>
      </c>
      <c r="H21" s="37" t="s">
        <v>1845</v>
      </c>
      <c r="I21" s="38">
        <v>46058</v>
      </c>
      <c r="J21" s="95">
        <v>5500</v>
      </c>
      <c r="K21" s="37" t="s">
        <v>1889</v>
      </c>
      <c r="L21" s="38">
        <v>46088</v>
      </c>
      <c r="M21" s="95"/>
      <c r="N21" s="37"/>
      <c r="O21" s="38"/>
      <c r="Q21" s="266">
        <v>304</v>
      </c>
      <c r="R21" s="482" t="s">
        <v>1346</v>
      </c>
      <c r="S21" s="370">
        <f>5500*12</f>
        <v>66000</v>
      </c>
      <c r="T21" s="506">
        <v>0</v>
      </c>
      <c r="U21" s="370">
        <f>5500*3</f>
        <v>16500</v>
      </c>
      <c r="V21" s="267">
        <f t="shared" si="0"/>
        <v>16500</v>
      </c>
      <c r="W21" s="506">
        <f>T21+U21-V21</f>
        <v>0</v>
      </c>
    </row>
    <row r="22" spans="2:23" ht="5.25" customHeight="1" thickBot="1" x14ac:dyDescent="0.35">
      <c r="B22" s="13"/>
      <c r="C22" s="14"/>
      <c r="D22" s="142"/>
      <c r="E22" s="141"/>
      <c r="F22" s="143"/>
      <c r="G22" s="142"/>
      <c r="H22" s="141"/>
      <c r="I22" s="143"/>
      <c r="J22" s="142"/>
      <c r="K22" s="141"/>
      <c r="L22" s="143"/>
      <c r="M22" s="142"/>
      <c r="N22" s="141"/>
      <c r="O22" s="143"/>
      <c r="Q22" s="261"/>
      <c r="R22" s="483"/>
      <c r="T22" s="49"/>
      <c r="W22" s="49"/>
    </row>
    <row r="23" spans="2:23" x14ac:dyDescent="0.3">
      <c r="B23" s="3" t="s">
        <v>37</v>
      </c>
      <c r="C23" s="9">
        <v>401</v>
      </c>
      <c r="D23" s="95">
        <v>9500</v>
      </c>
      <c r="E23" s="37" t="s">
        <v>1787</v>
      </c>
      <c r="F23" s="38">
        <v>46026</v>
      </c>
      <c r="G23" s="95">
        <v>9500</v>
      </c>
      <c r="H23" s="37" t="s">
        <v>1841</v>
      </c>
      <c r="I23" s="38">
        <v>46058</v>
      </c>
      <c r="J23" s="95">
        <v>9500</v>
      </c>
      <c r="K23" s="37" t="s">
        <v>1885</v>
      </c>
      <c r="L23" s="38">
        <v>46085</v>
      </c>
      <c r="M23" s="95"/>
      <c r="N23" s="37"/>
      <c r="O23" s="38"/>
      <c r="Q23" s="262">
        <v>401</v>
      </c>
      <c r="R23" s="480" t="s">
        <v>37</v>
      </c>
      <c r="S23" s="368">
        <f>9500*12</f>
        <v>114000</v>
      </c>
      <c r="T23" s="504">
        <v>0</v>
      </c>
      <c r="U23" s="368">
        <f>9500*3</f>
        <v>28500</v>
      </c>
      <c r="V23" s="263">
        <f>D23+G23+J23</f>
        <v>28500</v>
      </c>
      <c r="W23" s="504">
        <f>T23+U23-V23</f>
        <v>0</v>
      </c>
    </row>
    <row r="24" spans="2:23" ht="15" customHeight="1" x14ac:dyDescent="0.3">
      <c r="B24" s="3" t="s">
        <v>1858</v>
      </c>
      <c r="C24" s="9">
        <v>402</v>
      </c>
      <c r="D24" s="95">
        <v>33000</v>
      </c>
      <c r="E24" s="37" t="s">
        <v>1793</v>
      </c>
      <c r="F24" s="38">
        <v>46023</v>
      </c>
      <c r="G24" s="95"/>
      <c r="H24" s="37"/>
      <c r="I24" s="38"/>
      <c r="J24" s="95"/>
      <c r="K24" s="37"/>
      <c r="L24" s="38"/>
      <c r="M24" s="95"/>
      <c r="N24" s="37"/>
      <c r="O24" s="38"/>
      <c r="Q24" s="265">
        <v>402</v>
      </c>
      <c r="R24" s="481" t="s">
        <v>1858</v>
      </c>
      <c r="S24" s="375">
        <f>5500*12</f>
        <v>66000</v>
      </c>
      <c r="T24" s="505">
        <v>0</v>
      </c>
      <c r="U24" s="375">
        <f>5500*3</f>
        <v>16500</v>
      </c>
      <c r="V24" s="260">
        <f t="shared" ref="V24:V26" si="1">D24+G24+J24</f>
        <v>33000</v>
      </c>
      <c r="W24" s="540">
        <f>T24+U24-V24</f>
        <v>-16500</v>
      </c>
    </row>
    <row r="25" spans="2:23" ht="15" customHeight="1" x14ac:dyDescent="0.3">
      <c r="B25" s="3" t="s">
        <v>1348</v>
      </c>
      <c r="C25" s="9">
        <v>403</v>
      </c>
      <c r="D25" s="95"/>
      <c r="E25" s="37"/>
      <c r="F25" s="38"/>
      <c r="G25" s="95"/>
      <c r="H25" s="37"/>
      <c r="I25" s="38"/>
      <c r="J25" s="95"/>
      <c r="K25" s="37"/>
      <c r="L25" s="38"/>
      <c r="M25" s="95"/>
      <c r="N25" s="37"/>
      <c r="O25" s="38"/>
      <c r="Q25" s="265">
        <v>403</v>
      </c>
      <c r="R25" s="481" t="s">
        <v>1348</v>
      </c>
      <c r="S25" s="369">
        <f>7000*12</f>
        <v>84000</v>
      </c>
      <c r="T25" s="505">
        <v>7000</v>
      </c>
      <c r="U25" s="369">
        <f>7000*3</f>
        <v>21000</v>
      </c>
      <c r="V25" s="260">
        <f>D25+G25+J25</f>
        <v>0</v>
      </c>
      <c r="W25" s="505">
        <f>T25+U25-V25</f>
        <v>28000</v>
      </c>
    </row>
    <row r="26" spans="2:23" ht="15" customHeight="1" thickBot="1" x14ac:dyDescent="0.35">
      <c r="B26" s="3" t="s">
        <v>1349</v>
      </c>
      <c r="C26" s="9">
        <v>404</v>
      </c>
      <c r="D26" s="159"/>
      <c r="E26" s="37"/>
      <c r="F26" s="38"/>
      <c r="G26" s="159"/>
      <c r="H26" s="37"/>
      <c r="I26" s="38"/>
      <c r="J26" s="159"/>
      <c r="K26" s="37"/>
      <c r="L26" s="38"/>
      <c r="M26" s="159"/>
      <c r="N26" s="37"/>
      <c r="O26" s="38"/>
      <c r="Q26" s="266">
        <v>404</v>
      </c>
      <c r="R26" s="482" t="s">
        <v>1349</v>
      </c>
      <c r="S26" s="511">
        <f>7500*12</f>
        <v>90000</v>
      </c>
      <c r="T26" s="506">
        <v>22500</v>
      </c>
      <c r="U26" s="511">
        <f>5500*3</f>
        <v>16500</v>
      </c>
      <c r="V26" s="267">
        <f t="shared" si="1"/>
        <v>0</v>
      </c>
      <c r="W26" s="506">
        <f>T26+U26-V26</f>
        <v>39000</v>
      </c>
    </row>
    <row r="27" spans="2:23" ht="5.25" customHeight="1" thickBot="1" x14ac:dyDescent="0.35">
      <c r="B27" s="13"/>
      <c r="C27" s="14"/>
      <c r="D27" s="142"/>
      <c r="E27" s="141"/>
      <c r="F27" s="143"/>
      <c r="G27" s="142"/>
      <c r="H27" s="141"/>
      <c r="I27" s="143"/>
      <c r="J27" s="142"/>
      <c r="K27" s="141"/>
      <c r="L27" s="143"/>
      <c r="M27" s="142"/>
      <c r="N27" s="141"/>
      <c r="O27" s="143"/>
      <c r="Q27" s="261"/>
      <c r="R27" s="483"/>
      <c r="S27" s="261"/>
      <c r="T27" s="49"/>
      <c r="W27" s="49"/>
    </row>
    <row r="28" spans="2:23" ht="15" customHeight="1" x14ac:dyDescent="0.3">
      <c r="B28" s="3" t="s">
        <v>1350</v>
      </c>
      <c r="C28" s="9">
        <v>501</v>
      </c>
      <c r="D28" s="95"/>
      <c r="E28" s="37"/>
      <c r="F28" s="38"/>
      <c r="G28" s="95"/>
      <c r="H28" s="37"/>
      <c r="I28" s="38"/>
      <c r="J28" s="95"/>
      <c r="K28" s="37"/>
      <c r="L28" s="38"/>
      <c r="M28" s="95"/>
      <c r="N28" s="37"/>
      <c r="O28" s="38"/>
      <c r="Q28" s="262">
        <v>501</v>
      </c>
      <c r="R28" s="480" t="s">
        <v>1817</v>
      </c>
      <c r="S28" s="513">
        <f>7500*12</f>
        <v>90000</v>
      </c>
      <c r="T28" s="504">
        <v>7500</v>
      </c>
      <c r="U28" s="513">
        <f>7500*3</f>
        <v>22500</v>
      </c>
      <c r="V28" s="263">
        <f>D28+G28+J28</f>
        <v>0</v>
      </c>
      <c r="W28" s="504">
        <f>T28+U28-V28</f>
        <v>30000</v>
      </c>
    </row>
    <row r="29" spans="2:23" ht="15" customHeight="1" x14ac:dyDescent="0.3">
      <c r="B29" s="3" t="s">
        <v>1351</v>
      </c>
      <c r="C29" s="9">
        <v>502</v>
      </c>
      <c r="D29" s="159"/>
      <c r="E29" s="37"/>
      <c r="F29" s="38"/>
      <c r="G29" s="157"/>
      <c r="H29" s="37"/>
      <c r="I29" s="38"/>
      <c r="J29" s="159">
        <v>16500</v>
      </c>
      <c r="K29" s="37" t="s">
        <v>1914</v>
      </c>
      <c r="L29" s="38">
        <v>46112</v>
      </c>
      <c r="M29" s="159"/>
      <c r="N29" s="37"/>
      <c r="O29" s="38"/>
      <c r="Q29" s="265">
        <v>502</v>
      </c>
      <c r="R29" s="481" t="s">
        <v>1351</v>
      </c>
      <c r="S29" s="512">
        <f>5500*12</f>
        <v>66000</v>
      </c>
      <c r="T29" s="505">
        <v>16500</v>
      </c>
      <c r="U29" s="512">
        <f>5500*3</f>
        <v>16500</v>
      </c>
      <c r="V29" s="260">
        <f t="shared" ref="V29:V31" si="2">D29+G29+J29</f>
        <v>16500</v>
      </c>
      <c r="W29" s="505">
        <f>T29+U29-V29</f>
        <v>16500</v>
      </c>
    </row>
    <row r="30" spans="2:23" ht="15" customHeight="1" x14ac:dyDescent="0.3">
      <c r="B30" s="3" t="s">
        <v>1352</v>
      </c>
      <c r="C30" s="9">
        <v>503</v>
      </c>
      <c r="D30" s="95"/>
      <c r="E30" s="37"/>
      <c r="F30" s="38"/>
      <c r="G30" s="95"/>
      <c r="H30" s="37"/>
      <c r="I30" s="38"/>
      <c r="J30" s="95"/>
      <c r="K30" s="37"/>
      <c r="L30" s="38"/>
      <c r="M30" s="95"/>
      <c r="N30" s="37"/>
      <c r="O30" s="38"/>
      <c r="Q30" s="265">
        <v>503</v>
      </c>
      <c r="R30" s="481" t="s">
        <v>1352</v>
      </c>
      <c r="S30" s="369">
        <f>7000*12</f>
        <v>84000</v>
      </c>
      <c r="T30" s="505">
        <v>0</v>
      </c>
      <c r="U30" s="369">
        <f>7000*3</f>
        <v>21000</v>
      </c>
      <c r="V30" s="260">
        <f>D30+G30+J30</f>
        <v>0</v>
      </c>
      <c r="W30" s="505">
        <f>T30+U30-V30</f>
        <v>21000</v>
      </c>
    </row>
    <row r="31" spans="2:23" ht="15" customHeight="1" thickBot="1" x14ac:dyDescent="0.35">
      <c r="B31" s="3" t="s">
        <v>1353</v>
      </c>
      <c r="C31" s="9">
        <v>504</v>
      </c>
      <c r="D31" s="95">
        <v>5500</v>
      </c>
      <c r="E31" s="37" t="s">
        <v>1792</v>
      </c>
      <c r="F31" s="38">
        <v>46027</v>
      </c>
      <c r="G31" s="95">
        <v>5500</v>
      </c>
      <c r="H31" s="37" t="s">
        <v>1843</v>
      </c>
      <c r="I31" s="38">
        <v>46058</v>
      </c>
      <c r="J31" s="95">
        <v>5500</v>
      </c>
      <c r="K31" s="37" t="s">
        <v>1886</v>
      </c>
      <c r="L31" s="38">
        <v>46087</v>
      </c>
      <c r="M31" s="95"/>
      <c r="N31" s="37"/>
      <c r="O31" s="38"/>
      <c r="Q31" s="266">
        <v>504</v>
      </c>
      <c r="R31" s="482" t="s">
        <v>1353</v>
      </c>
      <c r="S31" s="370">
        <f>5500*12</f>
        <v>66000</v>
      </c>
      <c r="T31" s="506">
        <v>0</v>
      </c>
      <c r="U31" s="370">
        <f>5500*3</f>
        <v>16500</v>
      </c>
      <c r="V31" s="267">
        <f t="shared" si="2"/>
        <v>16500</v>
      </c>
      <c r="W31" s="506">
        <f>T31+U31-V31</f>
        <v>0</v>
      </c>
    </row>
    <row r="32" spans="2:23" ht="5.25" customHeight="1" thickBot="1" x14ac:dyDescent="0.35">
      <c r="B32" s="13"/>
      <c r="C32" s="14"/>
      <c r="D32" s="142"/>
      <c r="E32" s="141"/>
      <c r="F32" s="143"/>
      <c r="G32" s="142"/>
      <c r="H32" s="141"/>
      <c r="I32" s="143"/>
      <c r="J32" s="142"/>
      <c r="K32" s="141"/>
      <c r="L32" s="143"/>
      <c r="M32" s="142"/>
      <c r="N32" s="141"/>
      <c r="O32" s="143"/>
      <c r="Q32" s="261"/>
      <c r="R32" s="483"/>
      <c r="T32" s="49"/>
      <c r="W32" s="49"/>
    </row>
    <row r="33" spans="2:23" ht="15" customHeight="1" x14ac:dyDescent="0.3">
      <c r="B33" s="3" t="s">
        <v>1354</v>
      </c>
      <c r="C33" s="9">
        <v>601</v>
      </c>
      <c r="D33" s="95">
        <v>5500</v>
      </c>
      <c r="E33" s="37" t="s">
        <v>1842</v>
      </c>
      <c r="F33" s="38">
        <v>46048</v>
      </c>
      <c r="G33" s="95">
        <v>5500</v>
      </c>
      <c r="H33" s="37" t="s">
        <v>1876</v>
      </c>
      <c r="I33" s="38">
        <v>46080</v>
      </c>
      <c r="J33" s="95">
        <v>5500</v>
      </c>
      <c r="K33" s="37" t="s">
        <v>1918</v>
      </c>
      <c r="L33" s="38">
        <v>46109</v>
      </c>
      <c r="M33" s="95"/>
      <c r="N33" s="37"/>
      <c r="O33" s="38"/>
      <c r="Q33" s="262">
        <v>601</v>
      </c>
      <c r="R33" s="480" t="s">
        <v>1354</v>
      </c>
      <c r="S33" s="371">
        <f>5500*12</f>
        <v>66000</v>
      </c>
      <c r="T33" s="504">
        <v>0</v>
      </c>
      <c r="U33" s="371">
        <f>5500*3</f>
        <v>16500</v>
      </c>
      <c r="V33" s="263">
        <f>D33+G33+J33</f>
        <v>16500</v>
      </c>
      <c r="W33" s="504">
        <f>T33+U33-V33</f>
        <v>0</v>
      </c>
    </row>
    <row r="34" spans="2:23" ht="15" customHeight="1" x14ac:dyDescent="0.3">
      <c r="B34" s="3" t="s">
        <v>1355</v>
      </c>
      <c r="C34" s="9">
        <v>602</v>
      </c>
      <c r="D34" s="95">
        <v>5500</v>
      </c>
      <c r="E34" s="37" t="s">
        <v>1772</v>
      </c>
      <c r="F34" s="38">
        <v>46037</v>
      </c>
      <c r="G34" s="95">
        <v>5500</v>
      </c>
      <c r="H34" s="37" t="s">
        <v>1855</v>
      </c>
      <c r="I34" s="38">
        <v>46060</v>
      </c>
      <c r="J34" s="95">
        <v>5500</v>
      </c>
      <c r="K34" s="37" t="s">
        <v>1894</v>
      </c>
      <c r="L34" s="38">
        <v>46092</v>
      </c>
      <c r="M34" s="95"/>
      <c r="N34" s="37"/>
      <c r="O34" s="38"/>
      <c r="Q34" s="265">
        <v>602</v>
      </c>
      <c r="R34" s="481" t="s">
        <v>1355</v>
      </c>
      <c r="S34" s="369">
        <f>5500*12</f>
        <v>66000</v>
      </c>
      <c r="T34" s="505">
        <v>0</v>
      </c>
      <c r="U34" s="369">
        <f>5500*3</f>
        <v>16500</v>
      </c>
      <c r="V34" s="260">
        <f t="shared" ref="V34:V36" si="3">D34+G34+J34</f>
        <v>16500</v>
      </c>
      <c r="W34" s="505">
        <f>T34+U34-V34</f>
        <v>0</v>
      </c>
    </row>
    <row r="35" spans="2:23" ht="15" customHeight="1" x14ac:dyDescent="0.3">
      <c r="B35" s="3" t="s">
        <v>1356</v>
      </c>
      <c r="C35" s="9">
        <v>603</v>
      </c>
      <c r="D35" s="95"/>
      <c r="E35" s="37"/>
      <c r="F35" s="38"/>
      <c r="G35" s="95">
        <v>18000</v>
      </c>
      <c r="H35" s="37" t="s">
        <v>1849</v>
      </c>
      <c r="I35" s="38">
        <v>46061</v>
      </c>
      <c r="J35" s="95"/>
      <c r="K35" s="37"/>
      <c r="L35" s="38"/>
      <c r="M35" s="95"/>
      <c r="N35" s="37"/>
      <c r="O35" s="38"/>
      <c r="Q35" s="265">
        <v>603</v>
      </c>
      <c r="R35" s="481" t="s">
        <v>1356</v>
      </c>
      <c r="S35" s="512">
        <f>9000*12</f>
        <v>108000</v>
      </c>
      <c r="T35" s="505">
        <v>27000</v>
      </c>
      <c r="U35" s="512">
        <f>9000*3</f>
        <v>27000</v>
      </c>
      <c r="V35" s="260">
        <f>D35+G35+J35</f>
        <v>18000</v>
      </c>
      <c r="W35" s="505">
        <f>T35+U35-V35</f>
        <v>36000</v>
      </c>
    </row>
    <row r="36" spans="2:23" ht="15" customHeight="1" thickBot="1" x14ac:dyDescent="0.35">
      <c r="B36" s="3" t="s">
        <v>1357</v>
      </c>
      <c r="C36" s="9">
        <v>604</v>
      </c>
      <c r="D36" s="95">
        <v>5500</v>
      </c>
      <c r="E36" s="37" t="s">
        <v>1844</v>
      </c>
      <c r="F36" s="38">
        <v>46051</v>
      </c>
      <c r="G36" s="95">
        <v>5500</v>
      </c>
      <c r="H36" s="37" t="s">
        <v>1888</v>
      </c>
      <c r="I36" s="38">
        <v>46081</v>
      </c>
      <c r="J36" s="95"/>
      <c r="K36" s="37"/>
      <c r="L36" s="38"/>
      <c r="M36" s="95"/>
      <c r="N36" s="37"/>
      <c r="O36" s="38"/>
      <c r="Q36" s="266">
        <v>604</v>
      </c>
      <c r="R36" s="482" t="s">
        <v>1357</v>
      </c>
      <c r="S36" s="370">
        <f>5500*12</f>
        <v>66000</v>
      </c>
      <c r="T36" s="506">
        <v>0</v>
      </c>
      <c r="U36" s="370">
        <f>5500*3</f>
        <v>16500</v>
      </c>
      <c r="V36" s="267">
        <f t="shared" si="3"/>
        <v>11000</v>
      </c>
      <c r="W36" s="506">
        <f>T36+U36-V36</f>
        <v>5500</v>
      </c>
    </row>
    <row r="37" spans="2:23" ht="5.25" customHeight="1" thickBot="1" x14ac:dyDescent="0.35">
      <c r="B37" s="13"/>
      <c r="C37" s="14"/>
      <c r="D37" s="142"/>
      <c r="E37" s="141"/>
      <c r="F37" s="143"/>
      <c r="G37" s="142"/>
      <c r="H37" s="141"/>
      <c r="I37" s="143"/>
      <c r="J37" s="142"/>
      <c r="K37" s="141"/>
      <c r="L37" s="143"/>
      <c r="M37" s="142"/>
      <c r="N37" s="141"/>
      <c r="O37" s="143"/>
      <c r="Q37" s="261"/>
      <c r="R37" s="483"/>
      <c r="S37" s="261"/>
      <c r="T37" s="49"/>
      <c r="W37" s="49"/>
    </row>
    <row r="38" spans="2:23" ht="15" customHeight="1" x14ac:dyDescent="0.3">
      <c r="B38" s="3" t="s">
        <v>1868</v>
      </c>
      <c r="C38" s="9">
        <v>701</v>
      </c>
      <c r="D38" s="95">
        <v>5500</v>
      </c>
      <c r="E38" s="37" t="s">
        <v>1771</v>
      </c>
      <c r="F38" s="38">
        <v>46033</v>
      </c>
      <c r="G38" s="95"/>
      <c r="H38" s="37"/>
      <c r="I38" s="38"/>
      <c r="J38" s="95">
        <v>11000</v>
      </c>
      <c r="K38" s="37" t="s">
        <v>1882</v>
      </c>
      <c r="L38" s="38">
        <v>46085</v>
      </c>
      <c r="M38" s="95"/>
      <c r="N38" s="37"/>
      <c r="O38" s="38"/>
      <c r="Q38" s="262">
        <v>701</v>
      </c>
      <c r="R38" s="480" t="s">
        <v>1868</v>
      </c>
      <c r="S38" s="276">
        <f>5500*12</f>
        <v>66000</v>
      </c>
      <c r="T38" s="504">
        <v>0</v>
      </c>
      <c r="U38" s="276">
        <f>5500*3</f>
        <v>16500</v>
      </c>
      <c r="V38" s="263">
        <f>D38+G38+J38</f>
        <v>16500</v>
      </c>
      <c r="W38" s="504">
        <f>T38+U38-V38</f>
        <v>0</v>
      </c>
    </row>
    <row r="39" spans="2:23" ht="15" customHeight="1" x14ac:dyDescent="0.3">
      <c r="B39" s="3" t="s">
        <v>38</v>
      </c>
      <c r="C39" s="9">
        <v>702</v>
      </c>
      <c r="D39" s="95"/>
      <c r="E39" s="37"/>
      <c r="F39" s="38"/>
      <c r="G39" s="95">
        <v>21500</v>
      </c>
      <c r="H39" s="37" t="s">
        <v>1850</v>
      </c>
      <c r="I39" s="38">
        <v>46061</v>
      </c>
      <c r="J39" s="95">
        <v>5500</v>
      </c>
      <c r="K39" s="37" t="s">
        <v>1917</v>
      </c>
      <c r="L39" s="38">
        <v>46097</v>
      </c>
      <c r="M39" s="95"/>
      <c r="N39" s="37"/>
      <c r="O39" s="38"/>
      <c r="Q39" s="265">
        <v>702</v>
      </c>
      <c r="R39" s="481" t="s">
        <v>38</v>
      </c>
      <c r="S39" s="277">
        <f>5500*12</f>
        <v>66000</v>
      </c>
      <c r="T39" s="505">
        <v>12000</v>
      </c>
      <c r="U39" s="277">
        <f>4000+5500+5500</f>
        <v>15000</v>
      </c>
      <c r="V39" s="260">
        <f t="shared" ref="V39" si="4">D39+G39+J39</f>
        <v>27000</v>
      </c>
      <c r="W39" s="505">
        <f>T39+U39-V39</f>
        <v>0</v>
      </c>
    </row>
    <row r="40" spans="2:23" x14ac:dyDescent="0.3">
      <c r="B40" s="3" t="s">
        <v>1359</v>
      </c>
      <c r="C40" s="9">
        <v>703</v>
      </c>
      <c r="D40" s="95">
        <v>11000</v>
      </c>
      <c r="E40" s="37" t="s">
        <v>1768</v>
      </c>
      <c r="F40" s="38">
        <v>46035</v>
      </c>
      <c r="G40" s="95">
        <v>11000</v>
      </c>
      <c r="H40" s="37" t="s">
        <v>1853</v>
      </c>
      <c r="I40" s="38">
        <v>46065</v>
      </c>
      <c r="J40" s="95">
        <v>11000</v>
      </c>
      <c r="K40" s="37" t="s">
        <v>1891</v>
      </c>
      <c r="L40" s="38">
        <v>46089</v>
      </c>
      <c r="M40" s="95"/>
      <c r="N40" s="37"/>
      <c r="O40" s="38"/>
      <c r="Q40" s="265">
        <v>703</v>
      </c>
      <c r="R40" s="481" t="s">
        <v>1359</v>
      </c>
      <c r="S40" s="372">
        <f>11000*12</f>
        <v>132000</v>
      </c>
      <c r="T40" s="505">
        <v>0</v>
      </c>
      <c r="U40" s="372">
        <f>11000*3</f>
        <v>33000</v>
      </c>
      <c r="V40" s="260">
        <f>D40+G40+J40</f>
        <v>33000</v>
      </c>
      <c r="W40" s="505">
        <f>T40+U40-V40</f>
        <v>0</v>
      </c>
    </row>
    <row r="41" spans="2:23" ht="15" customHeight="1" thickBot="1" x14ac:dyDescent="0.35">
      <c r="B41" s="3" t="s">
        <v>1366</v>
      </c>
      <c r="C41" s="9">
        <v>704</v>
      </c>
      <c r="D41" s="95">
        <f>7500+5500</f>
        <v>13000</v>
      </c>
      <c r="E41" s="37" t="s">
        <v>1774</v>
      </c>
      <c r="F41" s="38" t="s">
        <v>1775</v>
      </c>
      <c r="G41" s="95">
        <v>5500</v>
      </c>
      <c r="H41" s="37" t="s">
        <v>1857</v>
      </c>
      <c r="I41" s="38">
        <v>46069</v>
      </c>
      <c r="J41" s="95">
        <v>5500</v>
      </c>
      <c r="K41" s="37" t="s">
        <v>1895</v>
      </c>
      <c r="L41" s="38">
        <v>46096</v>
      </c>
      <c r="M41" s="95"/>
      <c r="N41" s="37"/>
      <c r="O41" s="38"/>
      <c r="Q41" s="266">
        <v>704</v>
      </c>
      <c r="R41" s="482" t="s">
        <v>1366</v>
      </c>
      <c r="S41" s="339">
        <f>5500*12</f>
        <v>66000</v>
      </c>
      <c r="T41" s="506">
        <v>15000</v>
      </c>
      <c r="U41" s="339">
        <f>5500*3</f>
        <v>16500</v>
      </c>
      <c r="V41" s="267">
        <f>D41+G41+J41</f>
        <v>24000</v>
      </c>
      <c r="W41" s="506">
        <f>T41+U41-V41</f>
        <v>7500</v>
      </c>
    </row>
    <row r="42" spans="2:23" ht="6" customHeight="1" thickBot="1" x14ac:dyDescent="0.35">
      <c r="B42" s="13"/>
      <c r="C42" s="14"/>
      <c r="D42" s="142"/>
      <c r="E42" s="141"/>
      <c r="F42" s="143"/>
      <c r="G42" s="142"/>
      <c r="H42" s="141"/>
      <c r="I42" s="143"/>
      <c r="J42" s="142"/>
      <c r="K42" s="141"/>
      <c r="L42" s="143"/>
      <c r="M42" s="142"/>
      <c r="N42" s="141"/>
      <c r="O42" s="143"/>
      <c r="Q42" s="261"/>
      <c r="R42" s="483"/>
      <c r="S42" s="261"/>
      <c r="T42" s="49"/>
      <c r="U42" s="261"/>
      <c r="W42" s="49"/>
    </row>
    <row r="43" spans="2:23" x14ac:dyDescent="0.3">
      <c r="B43" s="3" t="s">
        <v>1859</v>
      </c>
      <c r="C43" s="9">
        <v>801</v>
      </c>
      <c r="D43" s="159"/>
      <c r="E43" s="160"/>
      <c r="F43" s="38"/>
      <c r="G43" s="95">
        <v>11000</v>
      </c>
      <c r="H43" s="37" t="s">
        <v>1856</v>
      </c>
      <c r="I43" s="38">
        <v>46068</v>
      </c>
      <c r="J43" s="95">
        <v>5500</v>
      </c>
      <c r="K43" s="37" t="s">
        <v>1892</v>
      </c>
      <c r="L43" s="38">
        <v>46088</v>
      </c>
      <c r="M43" s="95"/>
      <c r="N43" s="37"/>
      <c r="O43" s="38"/>
      <c r="Q43" s="262">
        <v>801</v>
      </c>
      <c r="R43" s="480" t="s">
        <v>1859</v>
      </c>
      <c r="S43" s="368">
        <f>5500*12</f>
        <v>66000</v>
      </c>
      <c r="T43" s="504">
        <v>0</v>
      </c>
      <c r="U43" s="368">
        <f>5500*3</f>
        <v>16500</v>
      </c>
      <c r="V43" s="263">
        <f>D43+G43+J43</f>
        <v>16500</v>
      </c>
      <c r="W43" s="504">
        <f>T43+U43-V43</f>
        <v>0</v>
      </c>
    </row>
    <row r="44" spans="2:23" x14ac:dyDescent="0.3">
      <c r="B44" s="3" t="s">
        <v>1362</v>
      </c>
      <c r="C44" s="9">
        <v>802</v>
      </c>
      <c r="D44" s="95">
        <v>7500</v>
      </c>
      <c r="E44" s="37" t="s">
        <v>1785</v>
      </c>
      <c r="F44" s="38">
        <v>46026</v>
      </c>
      <c r="G44" s="95">
        <v>7500</v>
      </c>
      <c r="H44" s="37" t="s">
        <v>1852</v>
      </c>
      <c r="I44" s="38">
        <v>46065</v>
      </c>
      <c r="J44" s="95">
        <v>5500</v>
      </c>
      <c r="K44" s="37" t="s">
        <v>1921</v>
      </c>
      <c r="L44" s="38">
        <v>46111</v>
      </c>
      <c r="M44" s="95"/>
      <c r="N44" s="37"/>
      <c r="O44" s="38"/>
      <c r="Q44" s="265">
        <v>802</v>
      </c>
      <c r="R44" s="481" t="s">
        <v>1362</v>
      </c>
      <c r="S44" s="277">
        <f>7500*12</f>
        <v>90000</v>
      </c>
      <c r="T44" s="505">
        <v>0</v>
      </c>
      <c r="U44" s="277">
        <f>7500+7500+5500</f>
        <v>20500</v>
      </c>
      <c r="V44" s="260">
        <f t="shared" ref="V44" si="5">D44+G44+J44</f>
        <v>20500</v>
      </c>
      <c r="W44" s="505">
        <f>T44+U44-V44</f>
        <v>0</v>
      </c>
    </row>
    <row r="45" spans="2:23" x14ac:dyDescent="0.3">
      <c r="B45" s="3" t="s">
        <v>1363</v>
      </c>
      <c r="C45" s="9">
        <v>803</v>
      </c>
      <c r="D45" s="95">
        <v>7000</v>
      </c>
      <c r="E45" s="37" t="s">
        <v>1786</v>
      </c>
      <c r="F45" s="38">
        <v>46026</v>
      </c>
      <c r="G45" s="95">
        <v>7000</v>
      </c>
      <c r="H45" s="37" t="s">
        <v>1840</v>
      </c>
      <c r="I45" s="38">
        <v>46057</v>
      </c>
      <c r="J45" s="95">
        <v>7000</v>
      </c>
      <c r="K45" s="37" t="s">
        <v>1915</v>
      </c>
      <c r="L45" s="38">
        <v>46098</v>
      </c>
      <c r="M45" s="95"/>
      <c r="N45" s="37"/>
      <c r="O45" s="38"/>
      <c r="Q45" s="265">
        <v>803</v>
      </c>
      <c r="R45" s="481" t="s">
        <v>1363</v>
      </c>
      <c r="S45" s="277">
        <f>7000*12</f>
        <v>84000</v>
      </c>
      <c r="T45" s="505">
        <v>0</v>
      </c>
      <c r="U45" s="277">
        <f>7000*3</f>
        <v>21000</v>
      </c>
      <c r="V45" s="260">
        <f>D45+G45+J45</f>
        <v>21000</v>
      </c>
      <c r="W45" s="505">
        <f>T45+U45-V45</f>
        <v>0</v>
      </c>
    </row>
    <row r="46" spans="2:23" ht="15" thickBot="1" x14ac:dyDescent="0.35">
      <c r="B46" s="3" t="s">
        <v>1364</v>
      </c>
      <c r="C46" s="9">
        <v>804</v>
      </c>
      <c r="D46" s="95">
        <v>5500</v>
      </c>
      <c r="E46" s="37" t="s">
        <v>1797</v>
      </c>
      <c r="F46" s="38">
        <v>46023</v>
      </c>
      <c r="G46" s="95">
        <v>5500</v>
      </c>
      <c r="H46" s="37" t="s">
        <v>1836</v>
      </c>
      <c r="I46" s="38">
        <v>46054</v>
      </c>
      <c r="J46" s="95">
        <v>5500</v>
      </c>
      <c r="K46" s="37" t="s">
        <v>1879</v>
      </c>
      <c r="L46" s="38">
        <v>46082</v>
      </c>
      <c r="M46" s="95">
        <v>5500</v>
      </c>
      <c r="N46" s="37" t="s">
        <v>1923</v>
      </c>
      <c r="O46" s="38">
        <v>46113</v>
      </c>
      <c r="Q46" s="266">
        <v>804</v>
      </c>
      <c r="R46" s="482" t="s">
        <v>1364</v>
      </c>
      <c r="S46" s="339">
        <f>5500*12</f>
        <v>66000</v>
      </c>
      <c r="T46" s="506">
        <v>0</v>
      </c>
      <c r="U46" s="339">
        <f>5500*3</f>
        <v>16500</v>
      </c>
      <c r="V46" s="267">
        <f>D46+G46+J46</f>
        <v>16500</v>
      </c>
      <c r="W46" s="506">
        <f>T46+U46-V46</f>
        <v>0</v>
      </c>
    </row>
    <row r="47" spans="2:23" ht="4.5" customHeight="1" thickBot="1" x14ac:dyDescent="0.35">
      <c r="B47" s="13"/>
      <c r="C47" s="14"/>
      <c r="D47" s="142"/>
      <c r="E47" s="141"/>
      <c r="F47" s="143"/>
      <c r="G47" s="142"/>
      <c r="H47" s="141"/>
      <c r="I47" s="143"/>
      <c r="J47" s="142"/>
      <c r="K47" s="141"/>
      <c r="L47" s="143"/>
      <c r="M47" s="142"/>
      <c r="N47" s="141"/>
      <c r="O47" s="143"/>
      <c r="Q47" s="261"/>
      <c r="R47" s="483"/>
      <c r="S47" s="373"/>
      <c r="T47" s="49"/>
      <c r="W47" s="49"/>
    </row>
    <row r="48" spans="2:23" x14ac:dyDescent="0.3">
      <c r="B48" s="3" t="s">
        <v>1365</v>
      </c>
      <c r="C48" s="9">
        <v>901</v>
      </c>
      <c r="D48" s="95"/>
      <c r="E48" s="37"/>
      <c r="F48" s="38"/>
      <c r="G48" s="95"/>
      <c r="H48" s="37"/>
      <c r="I48" s="38"/>
      <c r="J48" s="95"/>
      <c r="K48" s="37"/>
      <c r="L48" s="38"/>
      <c r="M48" s="95"/>
      <c r="N48" s="37"/>
      <c r="O48" s="38"/>
      <c r="Q48" s="262">
        <v>901</v>
      </c>
      <c r="R48" s="480" t="s">
        <v>1365</v>
      </c>
      <c r="S48" s="278">
        <f>4000*12</f>
        <v>48000</v>
      </c>
      <c r="T48" s="504">
        <v>0</v>
      </c>
      <c r="U48" s="278">
        <f>4000*3</f>
        <v>12000</v>
      </c>
      <c r="V48" s="263">
        <f>D48+G48+J48</f>
        <v>0</v>
      </c>
      <c r="W48" s="504">
        <f>T48+U48-V48</f>
        <v>12000</v>
      </c>
    </row>
    <row r="49" spans="2:23" x14ac:dyDescent="0.3">
      <c r="B49" s="3" t="s">
        <v>1818</v>
      </c>
      <c r="C49" s="9">
        <v>902</v>
      </c>
      <c r="D49" s="95">
        <v>5500</v>
      </c>
      <c r="E49" s="37" t="s">
        <v>1811</v>
      </c>
      <c r="F49" s="38">
        <v>46039</v>
      </c>
      <c r="G49" s="95">
        <v>5500</v>
      </c>
      <c r="H49" s="37" t="s">
        <v>1874</v>
      </c>
      <c r="I49" s="38">
        <v>46079</v>
      </c>
      <c r="J49" s="95"/>
      <c r="K49" s="37"/>
      <c r="L49" s="38"/>
      <c r="M49" s="95"/>
      <c r="N49" s="37"/>
      <c r="O49" s="38"/>
      <c r="Q49" s="265">
        <v>902</v>
      </c>
      <c r="R49" s="481" t="s">
        <v>1818</v>
      </c>
      <c r="S49" s="277">
        <f>5500*12</f>
        <v>66000</v>
      </c>
      <c r="T49" s="505">
        <v>0</v>
      </c>
      <c r="U49" s="277">
        <f>5500*3</f>
        <v>16500</v>
      </c>
      <c r="V49" s="260">
        <f t="shared" ref="V49" si="6">D49+G49+J49</f>
        <v>11000</v>
      </c>
      <c r="W49" s="505">
        <f>T49+U49-V49</f>
        <v>5500</v>
      </c>
    </row>
    <row r="50" spans="2:23" x14ac:dyDescent="0.3">
      <c r="B50" s="3" t="s">
        <v>1367</v>
      </c>
      <c r="C50" s="9">
        <v>903</v>
      </c>
      <c r="D50" s="95">
        <v>7000</v>
      </c>
      <c r="E50" s="37" t="s">
        <v>1812</v>
      </c>
      <c r="F50" s="38">
        <v>46039</v>
      </c>
      <c r="G50" s="95">
        <v>7000</v>
      </c>
      <c r="H50" s="37" t="s">
        <v>1873</v>
      </c>
      <c r="I50" s="38">
        <v>46079</v>
      </c>
      <c r="J50" s="95"/>
      <c r="K50" s="37"/>
      <c r="L50" s="38"/>
      <c r="M50" s="95"/>
      <c r="N50" s="37"/>
      <c r="O50" s="38"/>
      <c r="Q50" s="265">
        <v>903</v>
      </c>
      <c r="R50" s="481" t="s">
        <v>1367</v>
      </c>
      <c r="S50" s="277">
        <f>7000*12</f>
        <v>84000</v>
      </c>
      <c r="T50" s="505">
        <v>0</v>
      </c>
      <c r="U50" s="277">
        <f>7000*3</f>
        <v>21000</v>
      </c>
      <c r="V50" s="260">
        <f>D50+G50+J50</f>
        <v>14000</v>
      </c>
      <c r="W50" s="505">
        <f>T50+U50-V50</f>
        <v>7000</v>
      </c>
    </row>
    <row r="51" spans="2:23" ht="15" thickBot="1" x14ac:dyDescent="0.35">
      <c r="B51" s="3" t="s">
        <v>1368</v>
      </c>
      <c r="C51" s="9">
        <v>904</v>
      </c>
      <c r="D51" s="95">
        <v>5500</v>
      </c>
      <c r="E51" s="37" t="s">
        <v>1769</v>
      </c>
      <c r="F51" s="38">
        <v>46034</v>
      </c>
      <c r="G51" s="95">
        <v>5500</v>
      </c>
      <c r="H51" s="37" t="s">
        <v>1860</v>
      </c>
      <c r="I51" s="38">
        <v>46070</v>
      </c>
      <c r="J51" s="95">
        <v>5500</v>
      </c>
      <c r="K51" s="37" t="s">
        <v>1896</v>
      </c>
      <c r="L51" s="38">
        <v>46096</v>
      </c>
      <c r="M51" s="95"/>
      <c r="N51" s="37"/>
      <c r="O51" s="38"/>
      <c r="Q51" s="266">
        <v>904</v>
      </c>
      <c r="R51" s="482" t="s">
        <v>1368</v>
      </c>
      <c r="S51" s="339">
        <f>5500*12</f>
        <v>66000</v>
      </c>
      <c r="T51" s="506">
        <v>0</v>
      </c>
      <c r="U51" s="339">
        <f>5500*3</f>
        <v>16500</v>
      </c>
      <c r="V51" s="267">
        <f>D51+G51+J51</f>
        <v>16500</v>
      </c>
      <c r="W51" s="506">
        <f>T51+U51-V51</f>
        <v>0</v>
      </c>
    </row>
    <row r="52" spans="2:23" ht="5.4" customHeight="1" thickBot="1" x14ac:dyDescent="0.35">
      <c r="B52" s="13"/>
      <c r="C52" s="14"/>
      <c r="D52" s="142"/>
      <c r="E52" s="141"/>
      <c r="F52" s="143"/>
      <c r="G52" s="142"/>
      <c r="H52" s="141"/>
      <c r="I52" s="143"/>
      <c r="J52" s="142"/>
      <c r="K52" s="141"/>
      <c r="L52" s="143"/>
      <c r="M52" s="142"/>
      <c r="N52" s="141"/>
      <c r="O52" s="143"/>
      <c r="Q52" s="261"/>
      <c r="R52" s="483"/>
      <c r="T52" s="49"/>
      <c r="W52" s="49"/>
    </row>
    <row r="53" spans="2:23" x14ac:dyDescent="0.3">
      <c r="B53" s="3" t="s">
        <v>1369</v>
      </c>
      <c r="C53" s="9">
        <v>1001</v>
      </c>
      <c r="D53" s="157"/>
      <c r="E53" s="158"/>
      <c r="F53" s="273"/>
      <c r="G53" s="157"/>
      <c r="H53" s="158"/>
      <c r="I53" s="273"/>
      <c r="J53" s="157"/>
      <c r="K53" s="158"/>
      <c r="L53" s="273"/>
      <c r="M53" s="157">
        <v>12000</v>
      </c>
      <c r="N53" s="37" t="s">
        <v>1925</v>
      </c>
      <c r="O53" s="38">
        <v>46116</v>
      </c>
      <c r="Q53" s="262">
        <v>1001</v>
      </c>
      <c r="R53" s="480" t="s">
        <v>1369</v>
      </c>
      <c r="S53" s="276">
        <f>4000*12</f>
        <v>48000</v>
      </c>
      <c r="T53" s="504">
        <v>12000</v>
      </c>
      <c r="U53" s="276">
        <f>4000*3</f>
        <v>12000</v>
      </c>
      <c r="V53" s="263">
        <f>D53+G53+J53</f>
        <v>0</v>
      </c>
      <c r="W53" s="504">
        <f>T53+U53-V53</f>
        <v>24000</v>
      </c>
    </row>
    <row r="54" spans="2:23" x14ac:dyDescent="0.3">
      <c r="B54" s="3" t="s">
        <v>42</v>
      </c>
      <c r="C54" s="9">
        <v>1002</v>
      </c>
      <c r="D54" s="95">
        <v>5500</v>
      </c>
      <c r="E54" s="37" t="s">
        <v>1798</v>
      </c>
      <c r="F54" s="38">
        <v>46023</v>
      </c>
      <c r="G54" s="95">
        <v>5500</v>
      </c>
      <c r="H54" s="37" t="s">
        <v>1837</v>
      </c>
      <c r="I54" s="38">
        <v>46054</v>
      </c>
      <c r="J54" s="95">
        <v>5500</v>
      </c>
      <c r="K54" s="37" t="s">
        <v>1878</v>
      </c>
      <c r="L54" s="38">
        <v>46082</v>
      </c>
      <c r="M54" s="95">
        <v>5500</v>
      </c>
      <c r="N54" s="37" t="s">
        <v>1922</v>
      </c>
      <c r="O54" s="38">
        <v>46113</v>
      </c>
      <c r="Q54" s="265">
        <v>1002</v>
      </c>
      <c r="R54" s="481" t="s">
        <v>42</v>
      </c>
      <c r="S54" s="277">
        <f>5500*12</f>
        <v>66000</v>
      </c>
      <c r="T54" s="505">
        <v>0</v>
      </c>
      <c r="U54" s="277">
        <f>5500*3</f>
        <v>16500</v>
      </c>
      <c r="V54" s="260">
        <f t="shared" ref="V54" si="7">D54+G54+J54</f>
        <v>16500</v>
      </c>
      <c r="W54" s="505">
        <f>T54+U54-V54</f>
        <v>0</v>
      </c>
    </row>
    <row r="55" spans="2:23" x14ac:dyDescent="0.3">
      <c r="B55" s="3" t="s">
        <v>1370</v>
      </c>
      <c r="C55" s="9">
        <v>1003</v>
      </c>
      <c r="D55" s="95">
        <v>9000</v>
      </c>
      <c r="E55" s="37" t="s">
        <v>1779</v>
      </c>
      <c r="F55" s="38">
        <v>46030</v>
      </c>
      <c r="G55" s="95">
        <v>9000</v>
      </c>
      <c r="H55" s="37" t="s">
        <v>1846</v>
      </c>
      <c r="I55" s="38">
        <v>46058</v>
      </c>
      <c r="J55" s="95">
        <v>9000</v>
      </c>
      <c r="K55" s="37" t="s">
        <v>1887</v>
      </c>
      <c r="L55" s="38">
        <v>46087</v>
      </c>
      <c r="M55" s="95"/>
      <c r="N55" s="37"/>
      <c r="O55" s="38"/>
      <c r="Q55" s="265">
        <v>1003</v>
      </c>
      <c r="R55" s="481" t="s">
        <v>1370</v>
      </c>
      <c r="S55" s="510">
        <f>9000*12</f>
        <v>108000</v>
      </c>
      <c r="T55" s="505">
        <v>0</v>
      </c>
      <c r="U55" s="510">
        <f>9000*3</f>
        <v>27000</v>
      </c>
      <c r="V55" s="260">
        <f>D55+G55+J55</f>
        <v>27000</v>
      </c>
      <c r="W55" s="505">
        <f>T55+U55-V55</f>
        <v>0</v>
      </c>
    </row>
    <row r="56" spans="2:23" ht="15" thickBot="1" x14ac:dyDescent="0.35">
      <c r="B56" s="3" t="s">
        <v>1371</v>
      </c>
      <c r="C56" s="9">
        <v>1004</v>
      </c>
      <c r="D56" s="95">
        <v>5500</v>
      </c>
      <c r="E56" s="37" t="s">
        <v>1777</v>
      </c>
      <c r="F56" s="38">
        <v>46030</v>
      </c>
      <c r="G56" s="95">
        <v>5500</v>
      </c>
      <c r="H56" s="37" t="s">
        <v>1854</v>
      </c>
      <c r="I56" s="38">
        <v>46065</v>
      </c>
      <c r="J56" s="95">
        <v>5500</v>
      </c>
      <c r="K56" s="37" t="s">
        <v>1893</v>
      </c>
      <c r="L56" s="38">
        <v>46090</v>
      </c>
      <c r="M56" s="95"/>
      <c r="N56" s="37"/>
      <c r="O56" s="38"/>
      <c r="Q56" s="266">
        <v>1004</v>
      </c>
      <c r="R56" s="482" t="s">
        <v>1371</v>
      </c>
      <c r="S56" s="339">
        <f>5500*12</f>
        <v>66000</v>
      </c>
      <c r="T56" s="506">
        <v>0</v>
      </c>
      <c r="U56" s="339">
        <f>5500*3</f>
        <v>16500</v>
      </c>
      <c r="V56" s="267">
        <f>D56+G56+J56</f>
        <v>16500</v>
      </c>
      <c r="W56" s="506">
        <f>T56+U56-V56</f>
        <v>0</v>
      </c>
    </row>
    <row r="57" spans="2:23" ht="6" customHeight="1" thickBot="1" x14ac:dyDescent="0.35">
      <c r="B57" s="13"/>
      <c r="C57" s="14"/>
      <c r="D57" s="142"/>
      <c r="E57" s="141"/>
      <c r="F57" s="143"/>
      <c r="G57" s="142"/>
      <c r="H57" s="141"/>
      <c r="I57" s="143"/>
      <c r="J57" s="142"/>
      <c r="K57" s="141"/>
      <c r="L57" s="143"/>
      <c r="M57" s="142"/>
      <c r="N57" s="141"/>
      <c r="O57" s="143"/>
      <c r="Q57" s="261"/>
      <c r="R57" s="261"/>
    </row>
    <row r="58" spans="2:23" ht="15" thickBot="1" x14ac:dyDescent="0.35">
      <c r="B58" s="17" t="s">
        <v>8</v>
      </c>
      <c r="C58" s="10"/>
      <c r="D58" s="41">
        <f>SUM(D8:D56)</f>
        <v>262500</v>
      </c>
      <c r="E58" s="147"/>
      <c r="F58" s="148"/>
      <c r="G58" s="41">
        <f>SUM(G8:G56)</f>
        <v>241500</v>
      </c>
      <c r="H58" s="147"/>
      <c r="I58" s="148"/>
      <c r="J58" s="41">
        <f>SUM(J8:J56)</f>
        <v>171500</v>
      </c>
      <c r="K58" s="147"/>
      <c r="L58" s="148"/>
      <c r="M58" s="41">
        <f>SUM(M8:M56)</f>
        <v>28500</v>
      </c>
      <c r="N58" s="147"/>
      <c r="O58" s="148"/>
      <c r="Q58" s="345" t="s">
        <v>1043</v>
      </c>
      <c r="R58" s="507"/>
      <c r="S58" s="514">
        <f>7500*12</f>
        <v>90000</v>
      </c>
      <c r="T58" s="514">
        <v>22500</v>
      </c>
      <c r="U58" s="514">
        <f>7500*2</f>
        <v>15000</v>
      </c>
      <c r="V58" s="335">
        <f>D61+G61</f>
        <v>0</v>
      </c>
      <c r="W58" s="508">
        <f>T58+U58-V58</f>
        <v>37500</v>
      </c>
    </row>
    <row r="59" spans="2:23" ht="8.25" customHeight="1" thickBot="1" x14ac:dyDescent="0.35">
      <c r="B59" s="246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</row>
    <row r="60" spans="2:23" ht="15" thickBot="1" x14ac:dyDescent="0.35">
      <c r="B60" s="29" t="s">
        <v>35</v>
      </c>
      <c r="Q60" s="509" t="s">
        <v>8</v>
      </c>
      <c r="R60" s="478"/>
      <c r="S60" s="344">
        <f>SUM(S8:S58)</f>
        <v>3186000</v>
      </c>
      <c r="T60" s="344">
        <f>SUM(T8:T58)</f>
        <v>212500</v>
      </c>
      <c r="U60" s="344">
        <f>SUM(U8:U58)</f>
        <v>783500</v>
      </c>
      <c r="V60" s="344">
        <f>SUM(V8:V58)</f>
        <v>675500</v>
      </c>
      <c r="W60" s="344">
        <f>SUM(W8:W58)</f>
        <v>320500</v>
      </c>
    </row>
    <row r="61" spans="2:23" x14ac:dyDescent="0.3">
      <c r="B61" s="557" t="s">
        <v>145</v>
      </c>
      <c r="C61" s="558"/>
      <c r="D61" s="549">
        <v>0</v>
      </c>
      <c r="E61" s="550"/>
      <c r="F61" s="551"/>
      <c r="G61" s="569">
        <v>0</v>
      </c>
      <c r="H61" s="550"/>
      <c r="I61" s="551"/>
      <c r="J61" s="569"/>
      <c r="K61" s="550"/>
      <c r="L61" s="551"/>
      <c r="M61" s="569"/>
      <c r="N61" s="550"/>
      <c r="O61" s="551"/>
    </row>
    <row r="62" spans="2:23" x14ac:dyDescent="0.3">
      <c r="B62" s="145" t="s">
        <v>25</v>
      </c>
      <c r="C62" s="547"/>
      <c r="D62" s="552">
        <v>0</v>
      </c>
      <c r="E62" s="272"/>
      <c r="F62" s="137"/>
      <c r="G62" s="255">
        <v>0</v>
      </c>
      <c r="H62" s="272"/>
      <c r="I62" s="137"/>
      <c r="J62" s="255"/>
      <c r="K62" s="272"/>
      <c r="L62" s="137"/>
      <c r="M62" s="255"/>
      <c r="N62" s="272"/>
      <c r="O62" s="137"/>
    </row>
    <row r="63" spans="2:23" x14ac:dyDescent="0.3">
      <c r="B63" s="145" t="s">
        <v>63</v>
      </c>
      <c r="C63" s="547"/>
      <c r="D63" s="552">
        <v>500000</v>
      </c>
      <c r="E63" s="272"/>
      <c r="F63" s="137">
        <v>46042</v>
      </c>
      <c r="G63" s="255">
        <v>500000</v>
      </c>
      <c r="H63" s="272"/>
      <c r="I63" s="553">
        <v>46070</v>
      </c>
      <c r="J63" s="255">
        <v>1000000</v>
      </c>
      <c r="K63" s="272"/>
      <c r="L63" s="553" t="s">
        <v>1937</v>
      </c>
      <c r="M63" s="255"/>
      <c r="N63" s="272"/>
      <c r="O63" s="553"/>
    </row>
    <row r="64" spans="2:23" x14ac:dyDescent="0.3">
      <c r="B64" s="145" t="s">
        <v>64</v>
      </c>
      <c r="C64" s="547"/>
      <c r="D64" s="552">
        <v>0</v>
      </c>
      <c r="E64" s="272"/>
      <c r="F64" s="553"/>
      <c r="G64" s="255">
        <v>0</v>
      </c>
      <c r="H64" s="272"/>
      <c r="I64" s="553"/>
      <c r="J64" s="255"/>
      <c r="K64" s="272"/>
      <c r="L64" s="553"/>
      <c r="M64" s="255"/>
      <c r="N64" s="272"/>
      <c r="O64" s="553"/>
    </row>
    <row r="65" spans="2:15" x14ac:dyDescent="0.3">
      <c r="B65" s="145" t="s">
        <v>1699</v>
      </c>
      <c r="C65" s="547"/>
      <c r="D65" s="552">
        <v>0</v>
      </c>
      <c r="E65" s="272"/>
      <c r="F65" s="553"/>
      <c r="G65" s="255">
        <v>200000</v>
      </c>
      <c r="H65" s="272"/>
      <c r="I65" s="553">
        <v>46069</v>
      </c>
      <c r="J65" s="255">
        <v>200000</v>
      </c>
      <c r="K65" s="272"/>
      <c r="L65" s="553">
        <v>46097</v>
      </c>
      <c r="M65" s="255"/>
      <c r="N65" s="272"/>
      <c r="O65" s="553"/>
    </row>
    <row r="66" spans="2:15" x14ac:dyDescent="0.3">
      <c r="B66" s="145" t="s">
        <v>1267</v>
      </c>
      <c r="C66" s="547"/>
      <c r="D66" s="552">
        <v>27500</v>
      </c>
      <c r="E66" s="272"/>
      <c r="F66" s="137">
        <v>46053</v>
      </c>
      <c r="G66" s="255">
        <v>0</v>
      </c>
      <c r="H66" s="272"/>
      <c r="I66" s="553"/>
      <c r="J66" s="255"/>
      <c r="K66" s="272"/>
      <c r="L66" s="553"/>
      <c r="M66" s="255"/>
      <c r="N66" s="272"/>
      <c r="O66" s="553"/>
    </row>
    <row r="67" spans="2:15" ht="15" thickBot="1" x14ac:dyDescent="0.35">
      <c r="B67" s="559" t="s">
        <v>1866</v>
      </c>
      <c r="C67" s="560"/>
      <c r="D67" s="554">
        <v>50000</v>
      </c>
      <c r="E67" s="555"/>
      <c r="F67" s="570">
        <v>46037</v>
      </c>
      <c r="G67" s="241">
        <v>0</v>
      </c>
      <c r="H67" s="555"/>
      <c r="I67" s="556"/>
      <c r="J67" s="241"/>
      <c r="K67" s="555"/>
      <c r="L67" s="556"/>
      <c r="M67" s="241"/>
      <c r="N67" s="555"/>
      <c r="O67" s="556"/>
    </row>
    <row r="68" spans="2:15" ht="15" thickBot="1" x14ac:dyDescent="0.35">
      <c r="B68" s="247" t="s">
        <v>36</v>
      </c>
      <c r="C68" s="247"/>
      <c r="D68" s="254">
        <f>D62+D63+D64+D65+D58+D61+D66+D67</f>
        <v>840000</v>
      </c>
      <c r="E68" s="247"/>
      <c r="F68" s="247"/>
      <c r="G68" s="254">
        <f>G62+G63+G64+G65+G58+G61+G66</f>
        <v>941500</v>
      </c>
      <c r="H68" s="247"/>
      <c r="I68" s="247"/>
      <c r="J68" s="254">
        <f>J62+J63+J64+J65+J58+J61+J66</f>
        <v>1371500</v>
      </c>
      <c r="K68" s="247"/>
      <c r="L68" s="247"/>
      <c r="M68" s="254">
        <f>M62+M63+M64+M65+M58+M61+M66</f>
        <v>28500</v>
      </c>
      <c r="N68" s="247"/>
      <c r="O68" s="247"/>
    </row>
    <row r="69" spans="2:15" ht="15" thickTop="1" x14ac:dyDescent="0.3"/>
    <row r="70" spans="2:15" x14ac:dyDescent="0.3">
      <c r="D70" s="74">
        <f>+D58+D62+D61</f>
        <v>262500</v>
      </c>
      <c r="G70" s="74">
        <f>+G58+G62+G61</f>
        <v>241500</v>
      </c>
      <c r="J70" s="74">
        <f>+J58+J62+J61</f>
        <v>171500</v>
      </c>
      <c r="M70" s="74">
        <f>+M58+M62+M61</f>
        <v>28500</v>
      </c>
    </row>
    <row r="71" spans="2:15" hidden="1" x14ac:dyDescent="0.3"/>
    <row r="72" spans="2:15" hidden="1" x14ac:dyDescent="0.3"/>
    <row r="73" spans="2:15" hidden="1" x14ac:dyDescent="0.3"/>
    <row r="74" spans="2:15" hidden="1" x14ac:dyDescent="0.3"/>
    <row r="75" spans="2:15" hidden="1" x14ac:dyDescent="0.3"/>
    <row r="78" spans="2:15" x14ac:dyDescent="0.3">
      <c r="G78" t="s">
        <v>1641</v>
      </c>
      <c r="I78" s="49">
        <f>+'Recpt 2025'!DG86</f>
        <v>206030</v>
      </c>
    </row>
    <row r="79" spans="2:15" x14ac:dyDescent="0.3">
      <c r="G79" t="s">
        <v>1911</v>
      </c>
      <c r="I79" s="49">
        <f>+'Recpt 2025'!DG87</f>
        <v>1774501</v>
      </c>
    </row>
    <row r="80" spans="2:15" x14ac:dyDescent="0.3">
      <c r="G80" t="s">
        <v>1912</v>
      </c>
      <c r="I80" s="452">
        <f>D70+G70+J70+M70</f>
        <v>704000</v>
      </c>
    </row>
    <row r="81" spans="7:10" x14ac:dyDescent="0.3">
      <c r="G81" t="s">
        <v>1913</v>
      </c>
      <c r="J81" s="74">
        <f>I80+I79+I78</f>
        <v>2684531</v>
      </c>
    </row>
    <row r="83" spans="7:10" x14ac:dyDescent="0.3">
      <c r="G83" t="s">
        <v>1582</v>
      </c>
      <c r="H83" s="77">
        <v>45901</v>
      </c>
      <c r="I83" s="49">
        <v>261172</v>
      </c>
    </row>
    <row r="84" spans="7:10" x14ac:dyDescent="0.3">
      <c r="G84" t="s">
        <v>1582</v>
      </c>
      <c r="H84" s="77">
        <v>45931</v>
      </c>
      <c r="I84" s="49">
        <v>237312</v>
      </c>
    </row>
    <row r="85" spans="7:10" x14ac:dyDescent="0.3">
      <c r="G85" t="s">
        <v>1581</v>
      </c>
      <c r="H85" s="77">
        <v>45933</v>
      </c>
      <c r="I85" s="49">
        <v>25000</v>
      </c>
    </row>
    <row r="86" spans="7:10" x14ac:dyDescent="0.3">
      <c r="G86" t="s">
        <v>1580</v>
      </c>
      <c r="H86" s="77">
        <v>45934</v>
      </c>
      <c r="I86" s="49">
        <v>100000</v>
      </c>
    </row>
    <row r="87" spans="7:10" x14ac:dyDescent="0.3">
      <c r="G87" t="s">
        <v>1579</v>
      </c>
      <c r="H87" s="77">
        <v>45931</v>
      </c>
      <c r="I87" s="75">
        <v>129000</v>
      </c>
    </row>
    <row r="88" spans="7:10" x14ac:dyDescent="0.3">
      <c r="G88" t="s">
        <v>1582</v>
      </c>
      <c r="H88" s="77">
        <v>45964</v>
      </c>
      <c r="I88" s="75">
        <v>249928</v>
      </c>
    </row>
    <row r="89" spans="7:10" x14ac:dyDescent="0.3">
      <c r="G89" t="s">
        <v>1582</v>
      </c>
      <c r="H89" s="77">
        <v>46025</v>
      </c>
      <c r="I89" s="75">
        <v>219111</v>
      </c>
    </row>
    <row r="90" spans="7:10" x14ac:dyDescent="0.3">
      <c r="G90" t="s">
        <v>1582</v>
      </c>
      <c r="H90" s="77">
        <v>46055</v>
      </c>
      <c r="I90" s="75">
        <v>226381</v>
      </c>
    </row>
    <row r="91" spans="7:10" x14ac:dyDescent="0.3">
      <c r="G91" t="s">
        <v>1582</v>
      </c>
      <c r="H91" s="77">
        <v>46087</v>
      </c>
      <c r="I91" s="75">
        <v>242468</v>
      </c>
    </row>
    <row r="92" spans="7:10" ht="15" thickBot="1" x14ac:dyDescent="0.35">
      <c r="G92" t="s">
        <v>1582</v>
      </c>
      <c r="H92" s="77">
        <v>46114</v>
      </c>
      <c r="I92" s="468">
        <v>224818</v>
      </c>
    </row>
    <row r="93" spans="7:10" x14ac:dyDescent="0.3">
      <c r="J93" s="74">
        <f>-SUM(I83:I92)</f>
        <v>-1915190</v>
      </c>
    </row>
    <row r="95" spans="7:10" x14ac:dyDescent="0.3">
      <c r="G95" t="s">
        <v>1606</v>
      </c>
      <c r="H95" s="208">
        <v>45910</v>
      </c>
      <c r="I95" s="49">
        <v>48960</v>
      </c>
    </row>
    <row r="96" spans="7:10" x14ac:dyDescent="0.3">
      <c r="G96" t="s">
        <v>1606</v>
      </c>
      <c r="H96" s="208">
        <v>45971</v>
      </c>
      <c r="I96" s="49">
        <v>17900</v>
      </c>
    </row>
    <row r="97" spans="7:13" x14ac:dyDescent="0.3">
      <c r="G97" t="s">
        <v>1605</v>
      </c>
      <c r="H97" s="208">
        <v>45971</v>
      </c>
      <c r="I97" s="49">
        <v>20000</v>
      </c>
    </row>
    <row r="98" spans="7:13" x14ac:dyDescent="0.3">
      <c r="G98" t="s">
        <v>1605</v>
      </c>
      <c r="H98" s="208" t="s">
        <v>1601</v>
      </c>
      <c r="I98" s="49">
        <v>20000</v>
      </c>
    </row>
    <row r="99" spans="7:13" x14ac:dyDescent="0.3">
      <c r="G99" t="s">
        <v>1606</v>
      </c>
      <c r="H99" s="208" t="s">
        <v>1602</v>
      </c>
      <c r="I99" s="49">
        <v>29850</v>
      </c>
    </row>
    <row r="100" spans="7:13" x14ac:dyDescent="0.3">
      <c r="G100" t="s">
        <v>1605</v>
      </c>
      <c r="H100" s="208" t="s">
        <v>1603</v>
      </c>
      <c r="I100" s="49">
        <v>20000</v>
      </c>
    </row>
    <row r="101" spans="7:13" x14ac:dyDescent="0.3">
      <c r="G101" t="s">
        <v>1605</v>
      </c>
      <c r="H101" s="208" t="s">
        <v>1604</v>
      </c>
      <c r="I101" s="49">
        <v>30000</v>
      </c>
    </row>
    <row r="102" spans="7:13" x14ac:dyDescent="0.3">
      <c r="G102" t="s">
        <v>1606</v>
      </c>
      <c r="H102" s="208" t="s">
        <v>1630</v>
      </c>
      <c r="I102" s="49">
        <v>74480</v>
      </c>
    </row>
    <row r="103" spans="7:13" x14ac:dyDescent="0.3">
      <c r="G103" t="s">
        <v>1606</v>
      </c>
      <c r="H103" s="208">
        <v>45727</v>
      </c>
      <c r="I103" s="49">
        <v>51640</v>
      </c>
    </row>
    <row r="104" spans="7:13" x14ac:dyDescent="0.3">
      <c r="G104" t="s">
        <v>1605</v>
      </c>
      <c r="H104" s="208">
        <v>45727</v>
      </c>
      <c r="I104" s="75">
        <v>30000</v>
      </c>
    </row>
    <row r="105" spans="7:13" x14ac:dyDescent="0.3">
      <c r="G105" t="s">
        <v>1606</v>
      </c>
      <c r="H105" s="208">
        <v>45788</v>
      </c>
      <c r="I105" s="255">
        <v>6260</v>
      </c>
    </row>
    <row r="106" spans="7:13" x14ac:dyDescent="0.3">
      <c r="G106" t="s">
        <v>1606</v>
      </c>
      <c r="H106" s="208">
        <v>45788</v>
      </c>
      <c r="I106" s="255">
        <v>6000</v>
      </c>
    </row>
    <row r="107" spans="7:13" x14ac:dyDescent="0.3">
      <c r="G107" t="s">
        <v>1606</v>
      </c>
      <c r="H107" s="208">
        <v>45880</v>
      </c>
      <c r="I107" s="255">
        <v>62570</v>
      </c>
    </row>
    <row r="108" spans="7:13" x14ac:dyDescent="0.3">
      <c r="G108" t="s">
        <v>1605</v>
      </c>
      <c r="H108" s="208">
        <v>45880</v>
      </c>
      <c r="I108" s="49">
        <v>60000</v>
      </c>
    </row>
    <row r="109" spans="7:13" x14ac:dyDescent="0.3">
      <c r="G109" t="s">
        <v>1605</v>
      </c>
      <c r="H109" s="208">
        <v>45972</v>
      </c>
      <c r="I109" s="75">
        <v>50000</v>
      </c>
    </row>
    <row r="110" spans="7:13" ht="15" thickBot="1" x14ac:dyDescent="0.35">
      <c r="G110" t="s">
        <v>1606</v>
      </c>
      <c r="H110" s="208" t="s">
        <v>1680</v>
      </c>
      <c r="I110" s="468">
        <v>6450</v>
      </c>
    </row>
    <row r="111" spans="7:13" x14ac:dyDescent="0.3">
      <c r="J111" s="453">
        <f>-SUM(I95:I110)</f>
        <v>-534110</v>
      </c>
      <c r="L111">
        <f>+'FP 2026'!U45</f>
        <v>206731</v>
      </c>
    </row>
    <row r="112" spans="7:13" ht="15" thickBot="1" x14ac:dyDescent="0.35">
      <c r="J112" s="115">
        <f>J81+J93+J111</f>
        <v>235231</v>
      </c>
      <c r="L112" s="74">
        <f>+M70</f>
        <v>28500</v>
      </c>
      <c r="M112" s="74">
        <f>L112+L111</f>
        <v>235231</v>
      </c>
    </row>
    <row r="113" spans="8:10" ht="15" thickTop="1" x14ac:dyDescent="0.3"/>
    <row r="114" spans="8:10" x14ac:dyDescent="0.3">
      <c r="H114" t="s">
        <v>1599</v>
      </c>
      <c r="J114" s="49">
        <v>151141</v>
      </c>
    </row>
    <row r="115" spans="8:10" x14ac:dyDescent="0.3">
      <c r="H115" t="s">
        <v>1600</v>
      </c>
      <c r="J115" s="452">
        <f>130000+45000+54500+20000</f>
        <v>249500</v>
      </c>
    </row>
    <row r="116" spans="8:10" x14ac:dyDescent="0.3">
      <c r="J116" s="74">
        <f>J112-J114-J115</f>
        <v>-165410</v>
      </c>
    </row>
    <row r="117" spans="8:10" x14ac:dyDescent="0.3">
      <c r="J117" s="49"/>
    </row>
    <row r="118" spans="8:10" x14ac:dyDescent="0.3">
      <c r="H118" t="s">
        <v>1578</v>
      </c>
      <c r="J118" s="49">
        <v>7000</v>
      </c>
    </row>
    <row r="119" spans="8:10" x14ac:dyDescent="0.3">
      <c r="H119" t="s">
        <v>1245</v>
      </c>
      <c r="J119" s="49">
        <v>5000</v>
      </c>
    </row>
    <row r="120" spans="8:10" ht="15" thickBot="1" x14ac:dyDescent="0.35">
      <c r="J120" s="115">
        <f>J116-J118-J119</f>
        <v>-177410</v>
      </c>
    </row>
    <row r="121" spans="8:10" ht="15" thickTop="1" x14ac:dyDescent="0.3"/>
  </sheetData>
  <mergeCells count="12">
    <mergeCell ref="D5:F5"/>
    <mergeCell ref="G5:I5"/>
    <mergeCell ref="B5:C5"/>
    <mergeCell ref="J5:L5"/>
    <mergeCell ref="W5:W6"/>
    <mergeCell ref="Q5:Q6"/>
    <mergeCell ref="R5:R6"/>
    <mergeCell ref="S5:S6"/>
    <mergeCell ref="T5:T6"/>
    <mergeCell ref="U5:U6"/>
    <mergeCell ref="V5:V6"/>
    <mergeCell ref="M5:O5"/>
  </mergeCells>
  <pageMargins left="0.7" right="0.7" top="0.75" bottom="0.75" header="0.3" footer="0.3"/>
  <pageSetup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EA02-8091-4798-80A9-399089C7DB51}">
  <dimension ref="B2:O117"/>
  <sheetViews>
    <sheetView topLeftCell="A92" workbookViewId="0">
      <selection activeCell="C123" sqref="C123"/>
    </sheetView>
  </sheetViews>
  <sheetFormatPr defaultRowHeight="14.4" x14ac:dyDescent="0.3"/>
  <cols>
    <col min="2" max="2" width="30.21875" customWidth="1"/>
    <col min="3" max="3" width="53" bestFit="1" customWidth="1"/>
    <col min="7" max="7" width="9.6640625" bestFit="1" customWidth="1"/>
    <col min="8" max="10" width="9.6640625" customWidth="1"/>
    <col min="11" max="11" width="2.109375" customWidth="1"/>
    <col min="12" max="12" width="7" customWidth="1"/>
    <col min="13" max="13" width="21.6640625" bestFit="1" customWidth="1"/>
    <col min="14" max="14" width="9.6640625" bestFit="1" customWidth="1"/>
    <col min="15" max="15" width="9.109375" bestFit="1" customWidth="1"/>
  </cols>
  <sheetData>
    <row r="2" spans="2:15" x14ac:dyDescent="0.3">
      <c r="B2" t="s">
        <v>0</v>
      </c>
    </row>
    <row r="3" spans="2:15" ht="15" thickBot="1" x14ac:dyDescent="0.35">
      <c r="B3" t="s">
        <v>1449</v>
      </c>
    </row>
    <row r="4" spans="2:15" x14ac:dyDescent="0.3">
      <c r="B4" s="584" t="s">
        <v>3</v>
      </c>
      <c r="C4" s="585"/>
      <c r="D4" s="573">
        <v>46023</v>
      </c>
      <c r="E4" s="574"/>
      <c r="F4" s="573">
        <v>46054</v>
      </c>
      <c r="G4" s="574"/>
      <c r="H4" s="573">
        <v>46054</v>
      </c>
      <c r="I4" s="574"/>
      <c r="J4" s="599"/>
      <c r="L4" t="s">
        <v>21</v>
      </c>
    </row>
    <row r="5" spans="2:15" ht="15" thickBot="1" x14ac:dyDescent="0.35">
      <c r="B5" s="8" t="s">
        <v>30</v>
      </c>
      <c r="C5" s="166" t="s">
        <v>31</v>
      </c>
      <c r="D5" s="47"/>
      <c r="E5" s="527"/>
      <c r="F5" s="47"/>
      <c r="G5" s="527"/>
      <c r="H5" s="47"/>
      <c r="I5" s="527"/>
      <c r="J5" s="599"/>
      <c r="L5" s="47" t="s">
        <v>1898</v>
      </c>
      <c r="M5" s="47" t="s">
        <v>11</v>
      </c>
      <c r="N5" s="47" t="s">
        <v>22</v>
      </c>
      <c r="O5" s="47" t="s">
        <v>1</v>
      </c>
    </row>
    <row r="6" spans="2:15" x14ac:dyDescent="0.3">
      <c r="B6" s="586" t="s">
        <v>15</v>
      </c>
      <c r="C6" s="526"/>
      <c r="D6" s="447"/>
      <c r="E6" s="522"/>
      <c r="F6" s="447">
        <v>15000</v>
      </c>
      <c r="G6" s="522">
        <v>46068</v>
      </c>
      <c r="H6" s="447"/>
      <c r="I6" s="522"/>
      <c r="J6" s="600"/>
      <c r="L6" s="24">
        <v>1</v>
      </c>
      <c r="M6" s="18" t="s">
        <v>44</v>
      </c>
      <c r="N6" s="48">
        <v>46051</v>
      </c>
      <c r="O6" s="81">
        <v>3000</v>
      </c>
    </row>
    <row r="7" spans="2:15" x14ac:dyDescent="0.3">
      <c r="B7" s="582"/>
      <c r="C7" s="117"/>
      <c r="D7" s="447"/>
      <c r="E7" s="522"/>
      <c r="F7" s="447"/>
      <c r="G7" s="522"/>
      <c r="H7" s="447"/>
      <c r="I7" s="522"/>
      <c r="J7" s="600"/>
      <c r="L7" s="24">
        <v>2</v>
      </c>
      <c r="M7" s="18" t="s">
        <v>89</v>
      </c>
      <c r="N7" s="48">
        <v>46035</v>
      </c>
      <c r="O7" s="81">
        <v>2800</v>
      </c>
    </row>
    <row r="8" spans="2:15" x14ac:dyDescent="0.3">
      <c r="B8" s="582"/>
      <c r="C8" s="117"/>
      <c r="D8" s="447"/>
      <c r="E8" s="522"/>
      <c r="F8" s="447"/>
      <c r="G8" s="522"/>
      <c r="H8" s="447"/>
      <c r="I8" s="522"/>
      <c r="J8" s="600"/>
      <c r="L8" s="24">
        <v>3</v>
      </c>
      <c r="M8" s="439" t="s">
        <v>952</v>
      </c>
      <c r="N8" s="48">
        <v>46040</v>
      </c>
      <c r="O8" s="205">
        <v>5940</v>
      </c>
    </row>
    <row r="9" spans="2:15" x14ac:dyDescent="0.3">
      <c r="B9" s="583"/>
      <c r="C9" s="119"/>
      <c r="D9" s="447"/>
      <c r="E9" s="522"/>
      <c r="F9" s="447"/>
      <c r="G9" s="522"/>
      <c r="H9" s="447"/>
      <c r="I9" s="522"/>
      <c r="J9" s="600"/>
      <c r="L9" s="24">
        <v>4</v>
      </c>
      <c r="M9" s="18" t="s">
        <v>1826</v>
      </c>
      <c r="N9" s="48">
        <v>46035</v>
      </c>
      <c r="O9" s="81">
        <v>4000</v>
      </c>
    </row>
    <row r="10" spans="2:15" ht="15" thickBot="1" x14ac:dyDescent="0.35">
      <c r="B10" s="44"/>
      <c r="C10" s="118"/>
      <c r="D10" s="524">
        <f>SUM(D6:D9)</f>
        <v>0</v>
      </c>
      <c r="E10" s="525"/>
      <c r="F10" s="524">
        <f>SUM(F6:F9)</f>
        <v>15000</v>
      </c>
      <c r="G10" s="525"/>
      <c r="H10" s="524">
        <f>SUM(H6:H9)</f>
        <v>0</v>
      </c>
      <c r="I10" s="525"/>
      <c r="J10" s="603"/>
      <c r="L10" s="100">
        <v>46023</v>
      </c>
      <c r="M10" s="70"/>
      <c r="N10" s="70"/>
      <c r="O10" s="544">
        <f>SUM(O6:O9)</f>
        <v>15740</v>
      </c>
    </row>
    <row r="11" spans="2:15" ht="15" thickTop="1" x14ac:dyDescent="0.3">
      <c r="B11" s="581" t="s">
        <v>16</v>
      </c>
      <c r="C11" s="122" t="s">
        <v>1247</v>
      </c>
      <c r="D11" s="519">
        <v>40000</v>
      </c>
      <c r="E11" s="521">
        <v>46023</v>
      </c>
      <c r="F11" s="519">
        <v>40000</v>
      </c>
      <c r="G11" s="521">
        <v>46055</v>
      </c>
      <c r="H11" s="519">
        <v>50000</v>
      </c>
      <c r="I11" s="521">
        <v>46082</v>
      </c>
      <c r="J11" s="600"/>
      <c r="K11" s="428"/>
      <c r="M11" s="77"/>
      <c r="N11" s="75"/>
    </row>
    <row r="12" spans="2:15" x14ac:dyDescent="0.3">
      <c r="B12" s="582"/>
      <c r="C12" s="119" t="s">
        <v>1246</v>
      </c>
      <c r="D12" s="447">
        <v>28000</v>
      </c>
      <c r="E12" s="522">
        <v>46023</v>
      </c>
      <c r="F12" s="447">
        <v>28000</v>
      </c>
      <c r="G12" s="522">
        <v>46055</v>
      </c>
      <c r="H12" s="447">
        <v>28000</v>
      </c>
      <c r="I12" s="522">
        <v>46082</v>
      </c>
      <c r="J12" s="600"/>
      <c r="L12" s="47" t="s">
        <v>1898</v>
      </c>
      <c r="M12" s="47" t="s">
        <v>11</v>
      </c>
      <c r="N12" s="47" t="s">
        <v>22</v>
      </c>
      <c r="O12" s="47" t="s">
        <v>1</v>
      </c>
    </row>
    <row r="13" spans="2:15" x14ac:dyDescent="0.3">
      <c r="B13" s="582"/>
      <c r="C13" s="119" t="s">
        <v>1244</v>
      </c>
      <c r="D13" s="447">
        <v>26000</v>
      </c>
      <c r="E13" s="522">
        <v>46023</v>
      </c>
      <c r="F13" s="447">
        <v>15000</v>
      </c>
      <c r="G13" s="522">
        <v>46055</v>
      </c>
      <c r="H13" s="447">
        <v>31000</v>
      </c>
      <c r="I13" s="522">
        <v>46082</v>
      </c>
      <c r="J13" s="600"/>
      <c r="K13" s="428"/>
      <c r="L13" s="24">
        <v>1</v>
      </c>
      <c r="M13" s="18" t="s">
        <v>44</v>
      </c>
      <c r="N13" s="48">
        <v>46058</v>
      </c>
      <c r="O13" s="81">
        <v>3000</v>
      </c>
    </row>
    <row r="14" spans="2:15" x14ac:dyDescent="0.3">
      <c r="B14" s="582"/>
      <c r="C14" s="119" t="s">
        <v>1823</v>
      </c>
      <c r="D14" s="447">
        <v>26000</v>
      </c>
      <c r="E14" s="522">
        <v>46023</v>
      </c>
      <c r="F14" s="447">
        <v>25000</v>
      </c>
      <c r="G14" s="522">
        <v>46055</v>
      </c>
      <c r="H14" s="447">
        <v>31000</v>
      </c>
      <c r="I14" s="522">
        <v>46082</v>
      </c>
      <c r="J14" s="600"/>
      <c r="L14" s="24">
        <v>2</v>
      </c>
      <c r="M14" s="18" t="s">
        <v>89</v>
      </c>
      <c r="N14" s="48" t="s">
        <v>1905</v>
      </c>
      <c r="O14" s="81">
        <f>7740+800</f>
        <v>8540</v>
      </c>
    </row>
    <row r="15" spans="2:15" x14ac:dyDescent="0.3">
      <c r="B15" s="582"/>
      <c r="C15" s="119" t="s">
        <v>1515</v>
      </c>
      <c r="D15" s="515">
        <v>13000</v>
      </c>
      <c r="E15" s="522">
        <v>46023</v>
      </c>
      <c r="F15" s="515">
        <v>0</v>
      </c>
      <c r="G15" s="522"/>
      <c r="H15" s="515"/>
      <c r="I15" s="522"/>
      <c r="J15" s="600"/>
      <c r="L15" s="24">
        <v>3</v>
      </c>
      <c r="M15" s="439" t="s">
        <v>952</v>
      </c>
      <c r="N15" s="48" t="s">
        <v>1906</v>
      </c>
      <c r="O15" s="205" t="s">
        <v>1906</v>
      </c>
    </row>
    <row r="16" spans="2:15" x14ac:dyDescent="0.3">
      <c r="B16" s="582"/>
      <c r="C16" s="119" t="s">
        <v>1245</v>
      </c>
      <c r="D16" s="447">
        <v>37000</v>
      </c>
      <c r="E16" s="522">
        <v>46023</v>
      </c>
      <c r="F16" s="447">
        <v>37000</v>
      </c>
      <c r="G16" s="522">
        <v>46055</v>
      </c>
      <c r="H16" s="447">
        <v>42000</v>
      </c>
      <c r="I16" s="522">
        <v>46082</v>
      </c>
      <c r="J16" s="600"/>
      <c r="L16" s="24">
        <v>4</v>
      </c>
      <c r="M16" s="18" t="s">
        <v>1902</v>
      </c>
      <c r="N16" s="48">
        <v>46056</v>
      </c>
      <c r="O16" s="81">
        <v>520</v>
      </c>
    </row>
    <row r="17" spans="2:15" x14ac:dyDescent="0.3">
      <c r="B17" s="582"/>
      <c r="C17" s="119" t="s">
        <v>1900</v>
      </c>
      <c r="D17" s="447">
        <v>30000</v>
      </c>
      <c r="E17" s="522">
        <v>46023</v>
      </c>
      <c r="F17" s="447">
        <v>9800</v>
      </c>
      <c r="G17" s="522">
        <v>46055</v>
      </c>
      <c r="H17" s="447">
        <v>14000</v>
      </c>
      <c r="I17" s="522">
        <v>46082</v>
      </c>
      <c r="J17" s="600"/>
      <c r="L17" s="448">
        <v>5</v>
      </c>
      <c r="M17" s="414" t="s">
        <v>236</v>
      </c>
      <c r="N17" s="48">
        <v>46067</v>
      </c>
      <c r="O17" s="239">
        <v>500</v>
      </c>
    </row>
    <row r="18" spans="2:15" x14ac:dyDescent="0.3">
      <c r="B18" s="583"/>
      <c r="C18" s="119" t="s">
        <v>1899</v>
      </c>
      <c r="D18" s="528"/>
      <c r="E18" s="523"/>
      <c r="F18" s="528">
        <v>6000</v>
      </c>
      <c r="G18" s="522">
        <v>46055</v>
      </c>
      <c r="H18" s="528">
        <v>10000</v>
      </c>
      <c r="I18" s="522">
        <v>46082</v>
      </c>
      <c r="J18" s="600"/>
      <c r="L18" s="100">
        <v>46054</v>
      </c>
      <c r="M18" s="70"/>
      <c r="N18" s="70"/>
      <c r="O18" s="544">
        <f>SUM(O13:O17)</f>
        <v>12560</v>
      </c>
    </row>
    <row r="19" spans="2:15" ht="15" thickBot="1" x14ac:dyDescent="0.35">
      <c r="B19" s="44"/>
      <c r="C19" s="118"/>
      <c r="D19" s="524">
        <f>SUM(D11:D18)</f>
        <v>200000</v>
      </c>
      <c r="E19" s="530"/>
      <c r="F19" s="524">
        <f>SUM(F11:F18)</f>
        <v>160800</v>
      </c>
      <c r="G19" s="530"/>
      <c r="H19" s="524">
        <f>SUM(H11:H18)</f>
        <v>206000</v>
      </c>
      <c r="I19" s="530"/>
      <c r="J19" s="603"/>
    </row>
    <row r="20" spans="2:15" ht="15" thickTop="1" x14ac:dyDescent="0.3">
      <c r="B20" s="581" t="s">
        <v>1825</v>
      </c>
      <c r="C20" s="122" t="s">
        <v>18</v>
      </c>
      <c r="D20" s="529">
        <v>32500</v>
      </c>
      <c r="E20" s="520">
        <v>46031</v>
      </c>
      <c r="F20" s="529">
        <v>32500</v>
      </c>
      <c r="G20" s="522">
        <v>46055</v>
      </c>
      <c r="H20" s="529">
        <v>35000</v>
      </c>
      <c r="I20" s="522">
        <v>46086</v>
      </c>
      <c r="J20" s="600"/>
      <c r="L20" s="47" t="s">
        <v>1898</v>
      </c>
      <c r="M20" s="47" t="s">
        <v>11</v>
      </c>
      <c r="N20" s="47" t="s">
        <v>22</v>
      </c>
      <c r="O20" s="47" t="s">
        <v>1</v>
      </c>
    </row>
    <row r="21" spans="2:15" x14ac:dyDescent="0.3">
      <c r="B21" s="583"/>
      <c r="C21" s="119" t="s">
        <v>19</v>
      </c>
      <c r="D21" s="81">
        <v>32500</v>
      </c>
      <c r="E21" s="48">
        <v>46031</v>
      </c>
      <c r="F21" s="81">
        <v>32500</v>
      </c>
      <c r="G21" s="522">
        <v>46055</v>
      </c>
      <c r="H21" s="81">
        <v>35000</v>
      </c>
      <c r="I21" s="522">
        <v>46086</v>
      </c>
      <c r="J21" s="600"/>
      <c r="L21" s="24">
        <v>1</v>
      </c>
      <c r="M21" s="18" t="s">
        <v>44</v>
      </c>
      <c r="N21" s="522">
        <v>46090</v>
      </c>
      <c r="O21" s="81">
        <v>3000</v>
      </c>
    </row>
    <row r="22" spans="2:15" ht="15" thickBot="1" x14ac:dyDescent="0.35">
      <c r="B22" s="44"/>
      <c r="C22" s="118"/>
      <c r="D22" s="524">
        <f>SUM(D20:D21)</f>
        <v>65000</v>
      </c>
      <c r="E22" s="531"/>
      <c r="F22" s="524">
        <f>SUM(F20:F21)</f>
        <v>65000</v>
      </c>
      <c r="G22" s="531"/>
      <c r="H22" s="524">
        <f>SUM(H20:H21)</f>
        <v>70000</v>
      </c>
      <c r="I22" s="531"/>
      <c r="J22" s="604"/>
      <c r="L22" s="24">
        <v>2</v>
      </c>
      <c r="M22" s="18" t="s">
        <v>89</v>
      </c>
      <c r="N22" s="522">
        <v>46092</v>
      </c>
      <c r="O22" s="81">
        <v>6930</v>
      </c>
    </row>
    <row r="23" spans="2:15" ht="15" thickTop="1" x14ac:dyDescent="0.3">
      <c r="B23" s="581" t="s">
        <v>62</v>
      </c>
      <c r="C23" s="120" t="s">
        <v>61</v>
      </c>
      <c r="D23" s="529">
        <v>12000</v>
      </c>
      <c r="E23" s="520">
        <v>46026</v>
      </c>
      <c r="F23" s="529">
        <v>12000</v>
      </c>
      <c r="G23" s="522">
        <v>46055</v>
      </c>
      <c r="H23" s="529">
        <v>12000</v>
      </c>
      <c r="I23" s="522">
        <v>46083</v>
      </c>
      <c r="J23" s="600"/>
      <c r="L23" s="24">
        <v>3</v>
      </c>
      <c r="M23" s="439" t="s">
        <v>952</v>
      </c>
      <c r="N23" s="522">
        <v>46083</v>
      </c>
      <c r="O23" s="205">
        <v>3740</v>
      </c>
    </row>
    <row r="24" spans="2:15" x14ac:dyDescent="0.3">
      <c r="B24" s="582"/>
      <c r="C24" s="120" t="s">
        <v>1824</v>
      </c>
      <c r="D24" s="81">
        <v>3800</v>
      </c>
      <c r="E24" s="48">
        <v>46026</v>
      </c>
      <c r="F24" s="81"/>
      <c r="G24" s="48"/>
      <c r="H24" s="81"/>
      <c r="I24" s="48"/>
      <c r="J24" s="600"/>
      <c r="L24" s="24">
        <v>4</v>
      </c>
      <c r="M24" s="18" t="s">
        <v>1930</v>
      </c>
      <c r="N24" s="522">
        <v>46098</v>
      </c>
      <c r="O24" s="81">
        <v>4500</v>
      </c>
    </row>
    <row r="25" spans="2:15" x14ac:dyDescent="0.3">
      <c r="B25" s="582"/>
      <c r="C25" s="120" t="s">
        <v>1831</v>
      </c>
      <c r="D25" s="81">
        <v>5500</v>
      </c>
      <c r="E25" s="48">
        <v>46048</v>
      </c>
      <c r="F25" s="81"/>
      <c r="G25" s="48"/>
      <c r="H25" s="81"/>
      <c r="I25" s="48"/>
      <c r="J25" s="600"/>
      <c r="L25" s="448"/>
      <c r="M25" s="414"/>
      <c r="N25" s="48"/>
      <c r="O25" s="239"/>
    </row>
    <row r="26" spans="2:15" x14ac:dyDescent="0.3">
      <c r="B26" s="582"/>
      <c r="C26" s="120" t="s">
        <v>1929</v>
      </c>
      <c r="D26" s="81"/>
      <c r="E26" s="48"/>
      <c r="F26" s="81">
        <v>4500</v>
      </c>
      <c r="G26" s="522">
        <v>46055</v>
      </c>
      <c r="H26" s="81">
        <v>21000</v>
      </c>
      <c r="I26" s="522">
        <v>46097</v>
      </c>
      <c r="J26" s="600"/>
      <c r="L26" s="100">
        <v>46082</v>
      </c>
      <c r="M26" s="70"/>
      <c r="N26" s="70"/>
      <c r="O26" s="544">
        <f>SUM(O21:O25)</f>
        <v>18170</v>
      </c>
    </row>
    <row r="27" spans="2:15" x14ac:dyDescent="0.3">
      <c r="B27" s="582"/>
      <c r="C27" s="120" t="s">
        <v>961</v>
      </c>
      <c r="D27" s="81"/>
      <c r="E27" s="48"/>
      <c r="F27" s="81"/>
      <c r="G27" s="48"/>
      <c r="H27" s="81"/>
      <c r="I27" s="48"/>
      <c r="J27" s="600"/>
    </row>
    <row r="28" spans="2:15" x14ac:dyDescent="0.3">
      <c r="B28" s="582"/>
      <c r="C28" s="120" t="s">
        <v>1156</v>
      </c>
      <c r="D28" s="515"/>
      <c r="E28" s="48"/>
      <c r="F28" s="515"/>
      <c r="G28" s="48"/>
      <c r="H28" s="515"/>
      <c r="I28" s="48"/>
      <c r="J28" s="600"/>
    </row>
    <row r="29" spans="2:15" x14ac:dyDescent="0.3">
      <c r="B29" s="583"/>
      <c r="C29" s="120" t="s">
        <v>1131</v>
      </c>
      <c r="D29" s="81"/>
      <c r="E29" s="48"/>
      <c r="F29" s="81"/>
      <c r="G29" s="48"/>
      <c r="H29" s="81"/>
      <c r="I29" s="48"/>
      <c r="J29" s="600"/>
    </row>
    <row r="30" spans="2:15" ht="15" thickBot="1" x14ac:dyDescent="0.35">
      <c r="B30" s="44"/>
      <c r="C30" s="118"/>
      <c r="D30" s="524">
        <f>SUM(D23:D29)</f>
        <v>21300</v>
      </c>
      <c r="E30" s="531"/>
      <c r="F30" s="524">
        <f>SUM(F23:F29)</f>
        <v>16500</v>
      </c>
      <c r="G30" s="531"/>
      <c r="H30" s="524">
        <f>SUM(H23:H29)</f>
        <v>33000</v>
      </c>
      <c r="I30" s="531"/>
      <c r="J30" s="604"/>
    </row>
    <row r="31" spans="2:15" ht="15" thickTop="1" x14ac:dyDescent="0.3">
      <c r="B31" s="581" t="s">
        <v>21</v>
      </c>
      <c r="C31" s="80"/>
      <c r="D31" s="529">
        <f>+O10</f>
        <v>15740</v>
      </c>
      <c r="E31" s="532" t="s">
        <v>754</v>
      </c>
      <c r="F31" s="529">
        <f>+O18</f>
        <v>12560</v>
      </c>
      <c r="G31" s="532" t="s">
        <v>754</v>
      </c>
      <c r="H31" s="529">
        <f>+O26</f>
        <v>18170</v>
      </c>
      <c r="I31" s="532" t="s">
        <v>754</v>
      </c>
      <c r="J31" s="605"/>
    </row>
    <row r="32" spans="2:15" x14ac:dyDescent="0.3">
      <c r="B32" s="583"/>
      <c r="C32" s="80"/>
      <c r="D32" s="81"/>
      <c r="E32" s="18"/>
      <c r="F32" s="81"/>
      <c r="G32" s="18"/>
      <c r="H32" s="81"/>
      <c r="I32" s="18"/>
      <c r="J32" s="601"/>
    </row>
    <row r="33" spans="2:10" ht="15" thickBot="1" x14ac:dyDescent="0.35">
      <c r="B33" s="44"/>
      <c r="C33" s="118"/>
      <c r="D33" s="524">
        <f>SUM(D31:D32)</f>
        <v>15740</v>
      </c>
      <c r="E33" s="531"/>
      <c r="F33" s="524">
        <f>SUM(F31:F32)</f>
        <v>12560</v>
      </c>
      <c r="G33" s="531"/>
      <c r="H33" s="524">
        <f>SUM(H31:H32)</f>
        <v>18170</v>
      </c>
      <c r="I33" s="531"/>
      <c r="J33" s="604"/>
    </row>
    <row r="34" spans="2:10" ht="15" thickTop="1" x14ac:dyDescent="0.3">
      <c r="B34" s="581" t="s">
        <v>33</v>
      </c>
      <c r="C34" s="120" t="s">
        <v>34</v>
      </c>
      <c r="D34" s="519">
        <v>226381</v>
      </c>
      <c r="E34" s="520">
        <v>46053</v>
      </c>
      <c r="F34" s="519">
        <v>242468</v>
      </c>
      <c r="G34" s="520">
        <v>46081</v>
      </c>
      <c r="H34" s="519">
        <v>224818</v>
      </c>
      <c r="I34" s="520">
        <v>46112</v>
      </c>
      <c r="J34" s="600"/>
    </row>
    <row r="35" spans="2:10" x14ac:dyDescent="0.3">
      <c r="B35" s="583"/>
      <c r="C35" s="117"/>
      <c r="D35" s="18"/>
      <c r="E35" s="18"/>
      <c r="F35" s="18"/>
      <c r="G35" s="18"/>
      <c r="H35" s="18"/>
      <c r="I35" s="18"/>
      <c r="J35" s="601"/>
    </row>
    <row r="36" spans="2:10" ht="15" thickBot="1" x14ac:dyDescent="0.35">
      <c r="B36" s="44"/>
      <c r="C36" s="118"/>
      <c r="D36" s="524">
        <f>SUM(D34:D35)</f>
        <v>226381</v>
      </c>
      <c r="E36" s="531"/>
      <c r="F36" s="524">
        <f>SUM(F34:F35)</f>
        <v>242468</v>
      </c>
      <c r="G36" s="531"/>
      <c r="H36" s="524">
        <f>SUM(H34:H35)</f>
        <v>224818</v>
      </c>
      <c r="I36" s="531"/>
      <c r="J36" s="604"/>
    </row>
    <row r="37" spans="2:10" ht="15" thickTop="1" x14ac:dyDescent="0.3">
      <c r="B37" s="581" t="s">
        <v>143</v>
      </c>
      <c r="C37" s="120" t="s">
        <v>1833</v>
      </c>
      <c r="D37" s="529"/>
      <c r="E37" s="520"/>
      <c r="F37" s="529"/>
      <c r="G37" s="520"/>
      <c r="H37" s="529"/>
      <c r="I37" s="520"/>
      <c r="J37" s="600"/>
    </row>
    <row r="38" spans="2:10" x14ac:dyDescent="0.3">
      <c r="B38" s="582"/>
      <c r="C38" s="117" t="s">
        <v>1832</v>
      </c>
      <c r="D38" s="81">
        <v>33080</v>
      </c>
      <c r="E38" s="48">
        <v>46051</v>
      </c>
      <c r="F38" s="81">
        <v>3640</v>
      </c>
      <c r="G38" s="48">
        <v>46068</v>
      </c>
      <c r="H38" s="81">
        <f>3250+44860</f>
        <v>48110</v>
      </c>
      <c r="I38" s="48" t="s">
        <v>1927</v>
      </c>
      <c r="J38" s="600"/>
    </row>
    <row r="39" spans="2:10" x14ac:dyDescent="0.3">
      <c r="B39" s="582"/>
      <c r="C39" s="117" t="s">
        <v>309</v>
      </c>
      <c r="D39" s="81">
        <v>1500</v>
      </c>
      <c r="E39" s="48">
        <v>46035</v>
      </c>
      <c r="F39" s="81"/>
      <c r="G39" s="48"/>
      <c r="H39" s="81"/>
      <c r="I39" s="48"/>
      <c r="J39" s="600"/>
    </row>
    <row r="40" spans="2:10" x14ac:dyDescent="0.3">
      <c r="B40" s="582"/>
      <c r="C40" s="117" t="s">
        <v>1653</v>
      </c>
      <c r="D40" s="291"/>
      <c r="E40" s="48"/>
      <c r="F40" s="291"/>
      <c r="G40" s="48"/>
      <c r="H40" s="291"/>
      <c r="I40" s="48"/>
      <c r="J40" s="600"/>
    </row>
    <row r="41" spans="2:10" x14ac:dyDescent="0.3">
      <c r="B41" s="582"/>
      <c r="C41" s="117" t="s">
        <v>1926</v>
      </c>
      <c r="D41" s="81"/>
      <c r="E41" s="48"/>
      <c r="F41" s="81"/>
      <c r="G41" s="48"/>
      <c r="H41" s="81">
        <v>2000</v>
      </c>
      <c r="I41" s="522">
        <v>46089</v>
      </c>
      <c r="J41" s="600"/>
    </row>
    <row r="42" spans="2:10" x14ac:dyDescent="0.3">
      <c r="B42" s="583"/>
      <c r="C42" s="117"/>
      <c r="D42" s="81"/>
      <c r="E42" s="48"/>
      <c r="F42" s="81"/>
      <c r="G42" s="48"/>
      <c r="H42" s="81"/>
      <c r="I42" s="48"/>
      <c r="J42" s="600"/>
    </row>
    <row r="43" spans="2:10" ht="15" thickBot="1" x14ac:dyDescent="0.35">
      <c r="B43" s="44"/>
      <c r="C43" s="118"/>
      <c r="D43" s="524">
        <f>SUM(D37:D42)</f>
        <v>34580</v>
      </c>
      <c r="E43" s="531"/>
      <c r="F43" s="524">
        <f>SUM(F37:F42)</f>
        <v>3640</v>
      </c>
      <c r="G43" s="531"/>
      <c r="H43" s="524">
        <f>SUM(H37:H42)</f>
        <v>50110</v>
      </c>
      <c r="I43" s="531"/>
      <c r="J43" s="604"/>
    </row>
    <row r="44" spans="2:10" ht="15" thickTop="1" x14ac:dyDescent="0.3">
      <c r="B44" s="581" t="s">
        <v>83</v>
      </c>
      <c r="C44" s="120" t="s">
        <v>75</v>
      </c>
      <c r="D44" s="533"/>
      <c r="E44" s="520"/>
      <c r="F44" s="533">
        <v>43600</v>
      </c>
      <c r="G44" s="48">
        <v>46079</v>
      </c>
      <c r="H44" s="533"/>
      <c r="I44" s="48"/>
      <c r="J44" s="600"/>
    </row>
    <row r="45" spans="2:10" x14ac:dyDescent="0.3">
      <c r="B45" s="582"/>
      <c r="C45" s="117" t="s">
        <v>76</v>
      </c>
      <c r="D45" s="291">
        <v>10000</v>
      </c>
      <c r="E45" s="48">
        <v>46043</v>
      </c>
      <c r="F45" s="291">
        <v>10000</v>
      </c>
      <c r="G45" s="48">
        <v>46077</v>
      </c>
      <c r="H45" s="291">
        <v>40000</v>
      </c>
      <c r="I45" s="522">
        <v>46089</v>
      </c>
      <c r="J45" s="600"/>
    </row>
    <row r="46" spans="2:10" x14ac:dyDescent="0.3">
      <c r="B46" s="582"/>
      <c r="C46" s="117" t="s">
        <v>76</v>
      </c>
      <c r="D46" s="291"/>
      <c r="E46" s="48"/>
      <c r="F46" s="291"/>
      <c r="G46" s="48"/>
      <c r="H46" s="291">
        <v>50000</v>
      </c>
      <c r="I46" s="522">
        <v>46104</v>
      </c>
      <c r="J46" s="600"/>
    </row>
    <row r="47" spans="2:10" x14ac:dyDescent="0.3">
      <c r="B47" s="582"/>
      <c r="C47" s="117" t="s">
        <v>76</v>
      </c>
      <c r="D47" s="291"/>
      <c r="E47" s="48"/>
      <c r="F47" s="291"/>
      <c r="G47" s="48"/>
      <c r="H47" s="291"/>
      <c r="I47" s="48"/>
      <c r="J47" s="600"/>
    </row>
    <row r="48" spans="2:10" x14ac:dyDescent="0.3">
      <c r="B48" s="583"/>
      <c r="C48" s="117" t="s">
        <v>1931</v>
      </c>
      <c r="D48" s="291">
        <v>1500</v>
      </c>
      <c r="E48" s="48">
        <v>46048</v>
      </c>
      <c r="F48" s="291"/>
      <c r="G48" s="48"/>
      <c r="H48" s="291">
        <f>570+1700</f>
        <v>2270</v>
      </c>
      <c r="I48" s="522" t="s">
        <v>1932</v>
      </c>
      <c r="J48" s="600"/>
    </row>
    <row r="49" spans="2:10" ht="15" thickBot="1" x14ac:dyDescent="0.35">
      <c r="B49" s="44"/>
      <c r="C49" s="118"/>
      <c r="D49" s="536">
        <f>SUM(D44:D48)</f>
        <v>11500</v>
      </c>
      <c r="E49" s="530"/>
      <c r="F49" s="536">
        <f>SUM(F44:F48)</f>
        <v>53600</v>
      </c>
      <c r="G49" s="530"/>
      <c r="H49" s="536">
        <f>SUM(H44:H48)</f>
        <v>92270</v>
      </c>
      <c r="I49" s="530"/>
      <c r="J49" s="603"/>
    </row>
    <row r="50" spans="2:10" ht="15" thickTop="1" x14ac:dyDescent="0.3">
      <c r="B50" s="581" t="s">
        <v>1704</v>
      </c>
      <c r="C50" s="120" t="s">
        <v>1863</v>
      </c>
      <c r="D50" s="534"/>
      <c r="E50" s="535"/>
      <c r="F50" s="534">
        <f>60770+58680</f>
        <v>119450</v>
      </c>
      <c r="G50" s="535">
        <v>46081</v>
      </c>
      <c r="H50" s="534"/>
      <c r="I50" s="535"/>
      <c r="J50" s="606"/>
    </row>
    <row r="51" spans="2:10" x14ac:dyDescent="0.3">
      <c r="B51" s="583"/>
      <c r="C51" s="117" t="s">
        <v>417</v>
      </c>
      <c r="D51" s="515"/>
      <c r="E51" s="516"/>
      <c r="F51" s="515">
        <v>50000</v>
      </c>
      <c r="G51" s="535">
        <v>46081</v>
      </c>
      <c r="H51" s="515"/>
      <c r="I51" s="535"/>
      <c r="J51" s="606"/>
    </row>
    <row r="52" spans="2:10" ht="15" thickBot="1" x14ac:dyDescent="0.35">
      <c r="B52" s="44"/>
      <c r="C52" s="118"/>
      <c r="D52" s="537">
        <f>SUM(D50:D51)</f>
        <v>0</v>
      </c>
      <c r="E52" s="530"/>
      <c r="F52" s="537">
        <f>SUM(F50:F51)</f>
        <v>169450</v>
      </c>
      <c r="G52" s="530"/>
      <c r="H52" s="537">
        <f>SUM(H50:H51)</f>
        <v>0</v>
      </c>
      <c r="I52" s="530"/>
      <c r="J52" s="603"/>
    </row>
    <row r="53" spans="2:10" ht="15" thickTop="1" x14ac:dyDescent="0.3">
      <c r="B53" s="581" t="s">
        <v>1862</v>
      </c>
      <c r="C53" s="120" t="s">
        <v>1901</v>
      </c>
      <c r="D53" s="533"/>
      <c r="E53" s="520"/>
      <c r="F53" s="533">
        <v>4500</v>
      </c>
      <c r="G53" s="520">
        <v>46058</v>
      </c>
      <c r="H53" s="533"/>
      <c r="I53" s="520"/>
      <c r="J53" s="600"/>
    </row>
    <row r="54" spans="2:10" x14ac:dyDescent="0.3">
      <c r="B54" s="582"/>
      <c r="C54" s="120" t="s">
        <v>976</v>
      </c>
      <c r="D54" s="291"/>
      <c r="E54" s="516"/>
      <c r="F54" s="291"/>
      <c r="G54" s="516"/>
      <c r="H54" s="291"/>
      <c r="I54" s="522"/>
      <c r="J54" s="606"/>
    </row>
    <row r="55" spans="2:10" x14ac:dyDescent="0.3">
      <c r="B55" s="582"/>
      <c r="C55" s="120" t="s">
        <v>1903</v>
      </c>
      <c r="D55" s="291"/>
      <c r="E55" s="516"/>
      <c r="F55" s="291">
        <v>2100</v>
      </c>
      <c r="G55" s="520">
        <v>46062</v>
      </c>
      <c r="H55" s="291"/>
      <c r="I55" s="520"/>
      <c r="J55" s="600"/>
    </row>
    <row r="56" spans="2:10" x14ac:dyDescent="0.3">
      <c r="B56" s="582"/>
      <c r="C56" s="120" t="s">
        <v>1645</v>
      </c>
      <c r="D56" s="291"/>
      <c r="E56" s="516"/>
      <c r="F56" s="291"/>
      <c r="G56" s="516"/>
      <c r="H56" s="291"/>
      <c r="I56" s="516"/>
      <c r="J56" s="606"/>
    </row>
    <row r="57" spans="2:10" x14ac:dyDescent="0.3">
      <c r="B57" s="583"/>
      <c r="C57" s="120" t="s">
        <v>1949</v>
      </c>
      <c r="D57" s="291">
        <v>18500</v>
      </c>
      <c r="E57" s="48">
        <v>46041</v>
      </c>
      <c r="F57" s="291"/>
      <c r="G57" s="48"/>
      <c r="H57" s="291">
        <v>6970</v>
      </c>
      <c r="I57" s="522">
        <v>46109</v>
      </c>
      <c r="J57" s="600"/>
    </row>
    <row r="58" spans="2:10" ht="15" thickBot="1" x14ac:dyDescent="0.35">
      <c r="B58" s="44"/>
      <c r="C58" s="118"/>
      <c r="D58" s="537">
        <f>SUM(D53:D57)</f>
        <v>18500</v>
      </c>
      <c r="E58" s="530"/>
      <c r="F58" s="537">
        <f>SUM(F53:F57)</f>
        <v>6600</v>
      </c>
      <c r="G58" s="530"/>
      <c r="H58" s="537">
        <f>SUM(H53:H57)</f>
        <v>6970</v>
      </c>
      <c r="I58" s="530"/>
      <c r="J58" s="603"/>
    </row>
    <row r="59" spans="2:10" ht="15" thickTop="1" x14ac:dyDescent="0.3">
      <c r="B59" s="581" t="s">
        <v>843</v>
      </c>
      <c r="C59" t="s">
        <v>1379</v>
      </c>
      <c r="D59" s="533"/>
      <c r="E59" s="520"/>
      <c r="F59" s="533"/>
      <c r="G59" s="520"/>
      <c r="H59" s="533"/>
      <c r="I59" s="520"/>
      <c r="J59" s="600"/>
    </row>
    <row r="60" spans="2:10" x14ac:dyDescent="0.3">
      <c r="B60" s="582"/>
      <c r="C60" s="608" t="s">
        <v>1928</v>
      </c>
      <c r="D60" s="533"/>
      <c r="E60" s="520"/>
      <c r="F60" s="533"/>
      <c r="G60" s="520"/>
      <c r="H60" s="533">
        <v>15000</v>
      </c>
      <c r="I60" s="522">
        <v>46097</v>
      </c>
      <c r="J60" s="600"/>
    </row>
    <row r="61" spans="2:10" x14ac:dyDescent="0.3">
      <c r="B61" s="583"/>
      <c r="C61" t="s">
        <v>758</v>
      </c>
      <c r="D61" s="291"/>
      <c r="E61" s="48"/>
      <c r="F61" s="291"/>
      <c r="G61" s="48"/>
      <c r="H61" s="291"/>
      <c r="I61" s="48"/>
      <c r="J61" s="600"/>
    </row>
    <row r="62" spans="2:10" ht="15" thickBot="1" x14ac:dyDescent="0.35">
      <c r="B62" s="44"/>
      <c r="C62" s="118"/>
      <c r="D62" s="537">
        <f>SUM(D59:D61)</f>
        <v>0</v>
      </c>
      <c r="E62" s="530"/>
      <c r="F62" s="537">
        <f>SUM(F59:F61)</f>
        <v>0</v>
      </c>
      <c r="G62" s="530"/>
      <c r="H62" s="537">
        <f>SUM(H59:H61)</f>
        <v>15000</v>
      </c>
      <c r="I62" s="530"/>
      <c r="J62" s="603"/>
    </row>
    <row r="63" spans="2:10" ht="15" thickTop="1" x14ac:dyDescent="0.3">
      <c r="B63" s="581" t="s">
        <v>77</v>
      </c>
      <c r="C63" s="120" t="s">
        <v>225</v>
      </c>
      <c r="D63" s="529"/>
      <c r="E63" s="520"/>
      <c r="F63" s="529"/>
      <c r="G63" s="520"/>
      <c r="H63" s="529"/>
      <c r="I63" s="520"/>
      <c r="J63" s="600"/>
    </row>
    <row r="64" spans="2:10" x14ac:dyDescent="0.3">
      <c r="B64" s="582"/>
      <c r="C64" s="120" t="s">
        <v>151</v>
      </c>
      <c r="D64" s="81"/>
      <c r="E64" s="48"/>
      <c r="F64" s="81"/>
      <c r="G64" s="48"/>
      <c r="H64" s="81"/>
      <c r="I64" s="48"/>
      <c r="J64" s="600"/>
    </row>
    <row r="65" spans="2:12" x14ac:dyDescent="0.3">
      <c r="B65" s="583"/>
      <c r="C65" s="120" t="s">
        <v>966</v>
      </c>
      <c r="D65" s="81"/>
      <c r="E65" s="48"/>
      <c r="F65" s="81"/>
      <c r="G65" s="48"/>
      <c r="H65" s="81"/>
      <c r="I65" s="48"/>
      <c r="J65" s="600"/>
    </row>
    <row r="66" spans="2:12" ht="15" thickBot="1" x14ac:dyDescent="0.35">
      <c r="B66" s="44"/>
      <c r="C66" s="118"/>
      <c r="D66" s="537">
        <f>SUM(D63:D65)</f>
        <v>0</v>
      </c>
      <c r="E66" s="530"/>
      <c r="F66" s="537">
        <f>SUM(F63:F65)</f>
        <v>0</v>
      </c>
      <c r="G66" s="530"/>
      <c r="H66" s="537">
        <f>SUM(H63:H65)</f>
        <v>0</v>
      </c>
      <c r="I66" s="530"/>
      <c r="J66" s="603"/>
    </row>
    <row r="67" spans="2:12" ht="15" customHeight="1" thickTop="1" x14ac:dyDescent="0.3">
      <c r="B67" s="581" t="s">
        <v>82</v>
      </c>
      <c r="C67" s="120" t="s">
        <v>830</v>
      </c>
      <c r="D67" s="534">
        <v>11500</v>
      </c>
      <c r="E67" s="520">
        <v>46023</v>
      </c>
      <c r="F67" s="534"/>
      <c r="G67" s="520"/>
      <c r="H67" s="534">
        <v>5990</v>
      </c>
      <c r="I67" s="522">
        <v>46097</v>
      </c>
      <c r="J67" s="600"/>
      <c r="L67" s="117" t="s">
        <v>818</v>
      </c>
    </row>
    <row r="68" spans="2:12" x14ac:dyDescent="0.3">
      <c r="B68" s="582"/>
      <c r="C68" s="120" t="s">
        <v>309</v>
      </c>
      <c r="D68" s="291">
        <v>7000</v>
      </c>
      <c r="E68" s="48">
        <v>46023</v>
      </c>
      <c r="F68" s="291"/>
      <c r="G68" s="48"/>
      <c r="H68" s="291"/>
      <c r="I68" s="48"/>
      <c r="J68" s="600"/>
      <c r="L68" s="117" t="s">
        <v>1751</v>
      </c>
    </row>
    <row r="69" spans="2:12" x14ac:dyDescent="0.3">
      <c r="B69" s="582"/>
      <c r="C69" s="120" t="s">
        <v>1821</v>
      </c>
      <c r="D69" s="81">
        <v>52000</v>
      </c>
      <c r="E69" s="48">
        <v>46023</v>
      </c>
      <c r="F69" s="81"/>
      <c r="G69" s="48"/>
      <c r="H69" s="81"/>
      <c r="I69" s="48"/>
      <c r="J69" s="600"/>
      <c r="L69" s="122" t="s">
        <v>831</v>
      </c>
    </row>
    <row r="70" spans="2:12" x14ac:dyDescent="0.3">
      <c r="B70" s="582"/>
      <c r="C70" s="120" t="s">
        <v>1822</v>
      </c>
      <c r="D70" s="81"/>
      <c r="E70" s="48"/>
      <c r="F70" s="81">
        <v>31780</v>
      </c>
      <c r="G70" s="48">
        <v>46079</v>
      </c>
      <c r="H70" s="81"/>
      <c r="I70" s="48"/>
      <c r="J70" s="600"/>
      <c r="L70" s="117" t="s">
        <v>956</v>
      </c>
    </row>
    <row r="71" spans="2:12" x14ac:dyDescent="0.3">
      <c r="B71" s="582"/>
      <c r="C71" s="120" t="s">
        <v>1827</v>
      </c>
      <c r="D71" s="81">
        <f>12245+122050+16600</f>
        <v>150895</v>
      </c>
      <c r="E71" s="48">
        <v>46039</v>
      </c>
      <c r="F71" s="534">
        <f>51820-4000</f>
        <v>47820</v>
      </c>
      <c r="G71" s="48">
        <v>46072</v>
      </c>
      <c r="H71" s="534"/>
      <c r="I71" s="48"/>
      <c r="J71" s="600"/>
      <c r="L71" s="117" t="s">
        <v>953</v>
      </c>
    </row>
    <row r="72" spans="2:12" x14ac:dyDescent="0.3">
      <c r="B72" s="582"/>
      <c r="C72" s="120" t="s">
        <v>1828</v>
      </c>
      <c r="D72" s="81">
        <v>46500</v>
      </c>
      <c r="E72" s="48">
        <v>46039</v>
      </c>
      <c r="F72" s="291">
        <v>4000</v>
      </c>
      <c r="G72" s="48">
        <v>46072</v>
      </c>
      <c r="H72" s="291"/>
      <c r="I72" s="48"/>
      <c r="J72" s="600"/>
      <c r="L72" s="117" t="s">
        <v>967</v>
      </c>
    </row>
    <row r="73" spans="2:12" x14ac:dyDescent="0.3">
      <c r="B73" s="582"/>
      <c r="C73" s="120" t="s">
        <v>1830</v>
      </c>
      <c r="D73" s="81">
        <v>5845</v>
      </c>
      <c r="E73" s="48">
        <v>46048</v>
      </c>
      <c r="F73" s="81"/>
      <c r="G73" s="48"/>
      <c r="H73" s="81"/>
      <c r="I73" s="48"/>
      <c r="J73" s="600"/>
      <c r="L73" s="117" t="s">
        <v>1126</v>
      </c>
    </row>
    <row r="74" spans="2:12" x14ac:dyDescent="0.3">
      <c r="B74" s="582"/>
      <c r="C74" s="120"/>
      <c r="D74" s="81"/>
      <c r="E74" s="48"/>
      <c r="F74" s="81"/>
      <c r="G74" s="48"/>
      <c r="H74" s="81"/>
      <c r="I74" s="48"/>
      <c r="J74" s="600"/>
      <c r="L74" s="117" t="s">
        <v>1650</v>
      </c>
    </row>
    <row r="75" spans="2:12" x14ac:dyDescent="0.3">
      <c r="B75" s="582"/>
      <c r="C75" s="120"/>
      <c r="D75" s="81"/>
      <c r="E75" s="48"/>
      <c r="F75" s="81"/>
      <c r="G75" s="48"/>
      <c r="H75" s="81"/>
      <c r="I75" s="48"/>
      <c r="J75" s="600"/>
      <c r="L75" s="117" t="s">
        <v>1127</v>
      </c>
    </row>
    <row r="76" spans="2:12" x14ac:dyDescent="0.3">
      <c r="B76" s="582"/>
      <c r="C76" s="120"/>
      <c r="D76" s="81"/>
      <c r="E76" s="48"/>
      <c r="F76" s="81"/>
      <c r="G76" s="48"/>
      <c r="H76" s="81"/>
      <c r="I76" s="48"/>
      <c r="J76" s="600"/>
      <c r="L76" s="117" t="s">
        <v>1753</v>
      </c>
    </row>
    <row r="77" spans="2:12" x14ac:dyDescent="0.3">
      <c r="B77" s="583"/>
      <c r="C77" s="120"/>
      <c r="D77" s="81"/>
      <c r="E77" s="48"/>
      <c r="F77" s="81"/>
      <c r="G77" s="48"/>
      <c r="H77" s="81"/>
      <c r="I77" s="48"/>
      <c r="J77" s="600"/>
      <c r="L77" s="117" t="s">
        <v>1752</v>
      </c>
    </row>
    <row r="78" spans="2:12" ht="15" thickBot="1" x14ac:dyDescent="0.35">
      <c r="B78" s="44"/>
      <c r="C78" s="118"/>
      <c r="D78" s="536">
        <f>SUM(D67:D77)</f>
        <v>273740</v>
      </c>
      <c r="E78" s="530"/>
      <c r="F78" s="536">
        <f>SUM(F67:F77)</f>
        <v>83600</v>
      </c>
      <c r="G78" s="530"/>
      <c r="H78" s="536">
        <f>SUM(H67:H77)</f>
        <v>5990</v>
      </c>
      <c r="I78" s="530"/>
      <c r="J78" s="603"/>
    </row>
    <row r="79" spans="2:12" ht="15" thickTop="1" x14ac:dyDescent="0.3">
      <c r="B79" s="581" t="s">
        <v>129</v>
      </c>
      <c r="C79" s="120" t="s">
        <v>988</v>
      </c>
      <c r="D79" s="534"/>
      <c r="E79" s="520"/>
      <c r="F79" s="534"/>
      <c r="G79" s="520"/>
      <c r="H79" s="534"/>
      <c r="I79" s="520"/>
      <c r="J79" s="600"/>
    </row>
    <row r="80" spans="2:12" x14ac:dyDescent="0.3">
      <c r="B80" s="582"/>
      <c r="C80" s="117" t="s">
        <v>130</v>
      </c>
      <c r="D80" s="515"/>
      <c r="E80" s="48"/>
      <c r="F80" s="515"/>
      <c r="G80" s="48"/>
      <c r="H80" s="515"/>
      <c r="I80" s="48"/>
      <c r="J80" s="600"/>
    </row>
    <row r="81" spans="2:10" x14ac:dyDescent="0.3">
      <c r="B81" s="582"/>
      <c r="C81" s="117" t="s">
        <v>964</v>
      </c>
      <c r="D81" s="515"/>
      <c r="E81" s="48"/>
      <c r="F81" s="515"/>
      <c r="G81" s="48"/>
      <c r="H81" s="515"/>
      <c r="I81" s="48"/>
      <c r="J81" s="600"/>
    </row>
    <row r="82" spans="2:10" x14ac:dyDescent="0.3">
      <c r="B82" s="582"/>
      <c r="C82" s="117" t="s">
        <v>530</v>
      </c>
      <c r="D82" s="515"/>
      <c r="E82" s="48"/>
      <c r="F82" s="515"/>
      <c r="G82" s="48"/>
      <c r="H82" s="515"/>
      <c r="I82" s="48"/>
      <c r="J82" s="600"/>
    </row>
    <row r="83" spans="2:10" x14ac:dyDescent="0.3">
      <c r="B83" s="583"/>
      <c r="C83" s="117" t="s">
        <v>131</v>
      </c>
      <c r="D83" s="515"/>
      <c r="E83" s="48"/>
      <c r="F83" s="515"/>
      <c r="G83" s="48"/>
      <c r="H83" s="515"/>
      <c r="I83" s="48"/>
      <c r="J83" s="600"/>
    </row>
    <row r="84" spans="2:10" ht="15" thickBot="1" x14ac:dyDescent="0.35">
      <c r="B84" s="44"/>
      <c r="C84" s="118"/>
      <c r="D84" s="538">
        <f>SUM(D79:D83)</f>
        <v>0</v>
      </c>
      <c r="E84" s="530"/>
      <c r="F84" s="538">
        <f>SUM(F79:F83)</f>
        <v>0</v>
      </c>
      <c r="G84" s="530"/>
      <c r="H84" s="538">
        <f>SUM(H79:H83)</f>
        <v>0</v>
      </c>
      <c r="I84" s="530"/>
      <c r="J84" s="603"/>
    </row>
    <row r="85" spans="2:10" ht="15" thickTop="1" x14ac:dyDescent="0.3">
      <c r="B85" s="581" t="s">
        <v>291</v>
      </c>
      <c r="C85" s="117" t="s">
        <v>97</v>
      </c>
      <c r="D85" s="529"/>
      <c r="E85" s="520"/>
      <c r="F85" s="529">
        <v>57395</v>
      </c>
      <c r="G85" s="48">
        <v>46072</v>
      </c>
      <c r="H85" s="529"/>
      <c r="I85" s="48"/>
      <c r="J85" s="600"/>
    </row>
    <row r="86" spans="2:10" x14ac:dyDescent="0.3">
      <c r="B86" s="582"/>
      <c r="C86" s="117" t="s">
        <v>1938</v>
      </c>
      <c r="D86" s="81"/>
      <c r="E86" s="48"/>
      <c r="F86" s="81">
        <v>1050</v>
      </c>
      <c r="G86" s="48">
        <v>46077</v>
      </c>
      <c r="H86" s="81"/>
      <c r="I86" s="48"/>
      <c r="J86" s="600"/>
    </row>
    <row r="87" spans="2:10" x14ac:dyDescent="0.3">
      <c r="B87" s="582"/>
      <c r="C87" s="120" t="s">
        <v>296</v>
      </c>
      <c r="D87" s="81"/>
      <c r="E87" s="48"/>
      <c r="F87" s="81"/>
      <c r="G87" s="48"/>
      <c r="H87" s="81">
        <v>19220</v>
      </c>
      <c r="I87" s="522">
        <v>46089</v>
      </c>
      <c r="J87" s="600"/>
    </row>
    <row r="88" spans="2:10" x14ac:dyDescent="0.3">
      <c r="B88" s="582"/>
      <c r="C88" s="117" t="s">
        <v>1265</v>
      </c>
      <c r="D88" s="515"/>
      <c r="E88" s="48"/>
      <c r="F88" s="515"/>
      <c r="G88" s="48"/>
      <c r="H88" s="515">
        <v>26520</v>
      </c>
      <c r="I88" s="522">
        <v>46097</v>
      </c>
      <c r="J88" s="600"/>
    </row>
    <row r="89" spans="2:10" x14ac:dyDescent="0.3">
      <c r="B89" s="582"/>
      <c r="C89" s="117" t="s">
        <v>98</v>
      </c>
      <c r="D89" s="291"/>
      <c r="E89" s="48"/>
      <c r="F89" s="291"/>
      <c r="G89" s="48"/>
      <c r="H89" s="291">
        <v>40000</v>
      </c>
      <c r="I89" s="522">
        <v>46097</v>
      </c>
      <c r="J89" s="600"/>
    </row>
    <row r="90" spans="2:10" x14ac:dyDescent="0.3">
      <c r="B90" s="583"/>
      <c r="C90" s="117" t="s">
        <v>1266</v>
      </c>
      <c r="D90" s="81"/>
      <c r="E90" s="48"/>
      <c r="F90" s="81"/>
      <c r="G90" s="48"/>
      <c r="H90" s="81">
        <f>13000+3750+94400+3340</f>
        <v>114490</v>
      </c>
      <c r="I90" s="522">
        <v>46097</v>
      </c>
      <c r="J90" s="600"/>
    </row>
    <row r="91" spans="2:10" ht="15" thickBot="1" x14ac:dyDescent="0.35">
      <c r="B91" s="44"/>
      <c r="C91" s="118"/>
      <c r="D91" s="536">
        <f>SUM(D85:D90)</f>
        <v>0</v>
      </c>
      <c r="E91" s="530"/>
      <c r="F91" s="536">
        <f>SUM(F85:F90)</f>
        <v>58445</v>
      </c>
      <c r="G91" s="530"/>
      <c r="H91" s="536">
        <f>SUM(H85:H90)</f>
        <v>200230</v>
      </c>
      <c r="I91" s="530"/>
      <c r="J91" s="603"/>
    </row>
    <row r="92" spans="2:10" ht="15" thickTop="1" x14ac:dyDescent="0.3">
      <c r="B92" s="581" t="s">
        <v>133</v>
      </c>
      <c r="C92" s="120" t="s">
        <v>1130</v>
      </c>
      <c r="D92" s="529"/>
      <c r="E92" s="539"/>
      <c r="F92" s="529"/>
      <c r="G92" s="539"/>
      <c r="H92" s="529"/>
      <c r="I92" s="539"/>
      <c r="J92" s="601"/>
    </row>
    <row r="93" spans="2:10" x14ac:dyDescent="0.3">
      <c r="B93" s="582"/>
      <c r="C93" s="120" t="s">
        <v>1257</v>
      </c>
      <c r="D93" s="81"/>
      <c r="E93" s="48"/>
      <c r="F93" s="81"/>
      <c r="G93" s="48"/>
      <c r="H93" s="81"/>
      <c r="I93" s="48"/>
      <c r="J93" s="600"/>
    </row>
    <row r="94" spans="2:10" x14ac:dyDescent="0.3">
      <c r="B94" s="582"/>
      <c r="C94" s="120"/>
      <c r="D94" s="81"/>
      <c r="E94" s="48"/>
      <c r="F94" s="81"/>
      <c r="G94" s="48"/>
      <c r="H94" s="81"/>
      <c r="I94" s="48"/>
      <c r="J94" s="600"/>
    </row>
    <row r="95" spans="2:10" x14ac:dyDescent="0.3">
      <c r="B95" s="582"/>
      <c r="C95" s="121"/>
      <c r="D95" s="81"/>
      <c r="E95" s="48"/>
      <c r="F95" s="81"/>
      <c r="G95" s="48"/>
      <c r="H95" s="81"/>
      <c r="I95" s="48"/>
      <c r="J95" s="600"/>
    </row>
    <row r="96" spans="2:10" ht="15" thickBot="1" x14ac:dyDescent="0.35">
      <c r="B96" s="44"/>
      <c r="C96" s="118"/>
      <c r="D96" s="536">
        <f>SUM(D92:D95)</f>
        <v>0</v>
      </c>
      <c r="E96" s="530"/>
      <c r="F96" s="536">
        <f>SUM(F92:F95)</f>
        <v>0</v>
      </c>
      <c r="G96" s="530"/>
      <c r="H96" s="536">
        <f>SUM(H92:H95)</f>
        <v>0</v>
      </c>
      <c r="I96" s="530"/>
      <c r="J96" s="603"/>
    </row>
    <row r="97" spans="2:10" ht="15" thickTop="1" x14ac:dyDescent="0.3">
      <c r="B97" s="581" t="s">
        <v>1834</v>
      </c>
      <c r="C97" s="120" t="s">
        <v>1414</v>
      </c>
      <c r="D97" s="529"/>
      <c r="E97" s="539"/>
      <c r="F97" s="529"/>
      <c r="G97" s="539"/>
      <c r="H97" s="529"/>
      <c r="I97" s="539"/>
      <c r="J97" s="601"/>
    </row>
    <row r="98" spans="2:10" x14ac:dyDescent="0.3">
      <c r="B98" s="582"/>
      <c r="C98" s="120" t="s">
        <v>1592</v>
      </c>
      <c r="D98" s="81">
        <v>50000</v>
      </c>
      <c r="E98" s="48">
        <v>46193</v>
      </c>
      <c r="F98" s="81"/>
      <c r="G98" s="48"/>
      <c r="H98" s="81"/>
      <c r="I98" s="48"/>
      <c r="J98" s="600"/>
    </row>
    <row r="99" spans="2:10" x14ac:dyDescent="0.3">
      <c r="B99" s="582"/>
      <c r="C99" s="120" t="s">
        <v>1759</v>
      </c>
      <c r="D99" s="81"/>
      <c r="E99" s="48"/>
      <c r="F99" s="81"/>
      <c r="G99" s="48"/>
      <c r="H99" s="81"/>
      <c r="I99" s="48"/>
      <c r="J99" s="600"/>
    </row>
    <row r="100" spans="2:10" x14ac:dyDescent="0.3">
      <c r="B100" s="582"/>
      <c r="C100" s="120" t="s">
        <v>1948</v>
      </c>
      <c r="D100" s="81"/>
      <c r="E100" s="48"/>
      <c r="F100" s="81">
        <f>9000+7000</f>
        <v>16000</v>
      </c>
      <c r="G100" s="48" t="s">
        <v>1904</v>
      </c>
      <c r="H100" s="291">
        <v>41000</v>
      </c>
      <c r="I100" s="522">
        <v>46106</v>
      </c>
      <c r="J100" s="600"/>
    </row>
    <row r="101" spans="2:10" ht="15" thickBot="1" x14ac:dyDescent="0.35">
      <c r="B101" s="44"/>
      <c r="C101" s="118"/>
      <c r="D101" s="536">
        <f>SUM(D97:D100)</f>
        <v>50000</v>
      </c>
      <c r="E101" s="530"/>
      <c r="F101" s="536">
        <f>SUM(F97:F100)</f>
        <v>16000</v>
      </c>
      <c r="G101" s="530"/>
      <c r="H101" s="536">
        <f>SUM(H97:H100)</f>
        <v>41000</v>
      </c>
      <c r="I101" s="530"/>
      <c r="J101" s="603"/>
    </row>
    <row r="102" spans="2:10" ht="15" thickTop="1" x14ac:dyDescent="0.3">
      <c r="B102" s="581" t="s">
        <v>1861</v>
      </c>
      <c r="C102" s="120" t="s">
        <v>115</v>
      </c>
      <c r="D102" s="81">
        <f>2500</f>
        <v>2500</v>
      </c>
      <c r="E102" s="48">
        <v>46041</v>
      </c>
      <c r="F102" s="81">
        <v>2500</v>
      </c>
      <c r="G102" s="520">
        <v>46062</v>
      </c>
      <c r="H102" s="81">
        <v>2500</v>
      </c>
      <c r="I102" s="522">
        <v>46097</v>
      </c>
      <c r="J102" s="600"/>
    </row>
    <row r="103" spans="2:10" x14ac:dyDescent="0.3">
      <c r="B103" s="582"/>
      <c r="C103" s="120" t="s">
        <v>1829</v>
      </c>
      <c r="D103" s="81">
        <v>10000</v>
      </c>
      <c r="E103" s="48">
        <v>46041</v>
      </c>
      <c r="F103" s="81">
        <v>10000</v>
      </c>
      <c r="G103" s="520">
        <v>46062</v>
      </c>
      <c r="H103" s="81">
        <v>10000</v>
      </c>
      <c r="I103" s="522">
        <v>46097</v>
      </c>
      <c r="J103" s="600"/>
    </row>
    <row r="104" spans="2:10" x14ac:dyDescent="0.3">
      <c r="B104" s="582"/>
      <c r="C104" s="120"/>
      <c r="D104" s="541"/>
      <c r="E104" s="493"/>
      <c r="F104" s="541"/>
      <c r="G104" s="493"/>
      <c r="H104" s="541"/>
      <c r="I104" s="493"/>
      <c r="J104" s="600"/>
    </row>
    <row r="105" spans="2:10" ht="15" thickBot="1" x14ac:dyDescent="0.35">
      <c r="B105" s="44"/>
      <c r="C105" s="118"/>
      <c r="D105" s="536">
        <f>SUM(D102:D103)</f>
        <v>12500</v>
      </c>
      <c r="E105" s="530"/>
      <c r="F105" s="536">
        <f>SUM(F102:F103)</f>
        <v>12500</v>
      </c>
      <c r="G105" s="530"/>
      <c r="H105" s="536">
        <f>SUM(H102:H103)</f>
        <v>12500</v>
      </c>
      <c r="I105" s="530"/>
      <c r="J105" s="603"/>
    </row>
    <row r="106" spans="2:10" ht="6" customHeight="1" thickTop="1" x14ac:dyDescent="0.3">
      <c r="B106" s="542"/>
      <c r="C106" s="543"/>
      <c r="D106" s="205"/>
      <c r="E106" s="441"/>
      <c r="F106" s="205"/>
      <c r="G106" s="441"/>
      <c r="H106" s="205"/>
      <c r="I106" s="441"/>
      <c r="J106" s="607"/>
    </row>
    <row r="107" spans="2:10" ht="15" thickBot="1" x14ac:dyDescent="0.35">
      <c r="B107" s="50" t="s">
        <v>8</v>
      </c>
      <c r="C107" s="167"/>
      <c r="D107" s="517">
        <f>D10+D19+D22+D30+D33+D36+D43+D49+D52+D58+D62+D66+D78+D84+D91+D96+D101+D105</f>
        <v>929241</v>
      </c>
      <c r="E107" s="518"/>
      <c r="F107" s="517">
        <f>F10+F19+F22+F30+F33+F36+F43+F49+F52+F58+F62+F66+F78+F84+F91+F96+F101+F105</f>
        <v>916163</v>
      </c>
      <c r="G107" s="518"/>
      <c r="H107" s="517">
        <f>H10+H19+H22+H30+H33+H36+H43+H49+H52+H58+H62+H66+H78+H84+H91+H96+H101+H105</f>
        <v>976058</v>
      </c>
      <c r="I107" s="518"/>
      <c r="J107" s="602"/>
    </row>
    <row r="108" spans="2:10" ht="15" thickTop="1" x14ac:dyDescent="0.3"/>
    <row r="109" spans="2:10" x14ac:dyDescent="0.3">
      <c r="D109" s="74">
        <v>0</v>
      </c>
      <c r="F109" s="74">
        <v>0</v>
      </c>
      <c r="H109" s="74">
        <v>0</v>
      </c>
    </row>
    <row r="110" spans="2:10" x14ac:dyDescent="0.3">
      <c r="D110" s="74">
        <f>D10+D19+D22+D30+D33+D43+D49+D52+D58+D62+D66+D78+D84+D91+D96+D101+D105</f>
        <v>702860</v>
      </c>
      <c r="F110" s="74">
        <f>F10+F19+F22+F30+F33+F43+F49+F52+F58+F62+F66+F78+F84+F91+F96+F101+F105</f>
        <v>673695</v>
      </c>
      <c r="H110" s="74">
        <f>H10+H19+H22+H30+H33+H43+H49+H52+H58+H62+H66+H78+H84+H91+H96+H101+H105</f>
        <v>751240</v>
      </c>
    </row>
    <row r="111" spans="2:10" x14ac:dyDescent="0.3">
      <c r="D111" s="74">
        <f>+D36</f>
        <v>226381</v>
      </c>
      <c r="F111" s="74">
        <f>+F36</f>
        <v>242468</v>
      </c>
      <c r="H111" s="74">
        <f>+H36</f>
        <v>224818</v>
      </c>
    </row>
    <row r="113" spans="4:8" x14ac:dyDescent="0.3">
      <c r="D113" s="74">
        <f>SUM(D109:D111)</f>
        <v>929241</v>
      </c>
      <c r="F113" s="74">
        <f>SUM(F109:F111)</f>
        <v>916163</v>
      </c>
      <c r="H113" s="74">
        <f>SUM(H109:H111)</f>
        <v>976058</v>
      </c>
    </row>
    <row r="114" spans="4:8" x14ac:dyDescent="0.3">
      <c r="D114" s="74">
        <f>D107-D113</f>
        <v>0</v>
      </c>
      <c r="F114" s="74">
        <f>F107-F113</f>
        <v>0</v>
      </c>
      <c r="H114" s="74">
        <f>H107-H113</f>
        <v>0</v>
      </c>
    </row>
    <row r="117" spans="4:8" x14ac:dyDescent="0.3">
      <c r="F117" s="74"/>
    </row>
  </sheetData>
  <mergeCells count="22">
    <mergeCell ref="H4:I4"/>
    <mergeCell ref="B102:B104"/>
    <mergeCell ref="B79:B83"/>
    <mergeCell ref="B85:B90"/>
    <mergeCell ref="B92:B95"/>
    <mergeCell ref="B97:B100"/>
    <mergeCell ref="F4:G4"/>
    <mergeCell ref="B67:B77"/>
    <mergeCell ref="B63:B65"/>
    <mergeCell ref="B59:B61"/>
    <mergeCell ref="B4:C4"/>
    <mergeCell ref="D4:E4"/>
    <mergeCell ref="B53:B57"/>
    <mergeCell ref="B50:B51"/>
    <mergeCell ref="B44:B48"/>
    <mergeCell ref="B37:B42"/>
    <mergeCell ref="B34:B35"/>
    <mergeCell ref="B31:B32"/>
    <mergeCell ref="B23:B29"/>
    <mergeCell ref="B20:B21"/>
    <mergeCell ref="B11:B18"/>
    <mergeCell ref="B6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C04E-93CD-4AD7-8596-85CA6BBAF5C4}">
  <dimension ref="A2:O736"/>
  <sheetViews>
    <sheetView topLeftCell="A661" workbookViewId="0">
      <selection activeCell="F690" sqref="F690"/>
    </sheetView>
  </sheetViews>
  <sheetFormatPr defaultRowHeight="14.4" x14ac:dyDescent="0.3"/>
  <cols>
    <col min="1" max="1" width="3.5546875" style="72" customWidth="1"/>
    <col min="2" max="2" width="33.5546875" customWidth="1"/>
    <col min="3" max="3" width="18.5546875" customWidth="1"/>
    <col min="4" max="4" width="1.21875" style="72" customWidth="1"/>
    <col min="5" max="5" width="20.33203125" customWidth="1"/>
    <col min="6" max="6" width="12.6640625" customWidth="1"/>
    <col min="7" max="7" width="1" customWidth="1"/>
    <col min="8" max="8" width="22.6640625" customWidth="1"/>
    <col min="9" max="9" width="11.6640625" bestFit="1" customWidth="1"/>
    <col min="10" max="10" width="1.109375" customWidth="1"/>
    <col min="11" max="11" width="24.109375" bestFit="1" customWidth="1"/>
    <col min="12" max="12" width="13.6640625" customWidth="1"/>
    <col min="13" max="13" width="0.88671875" customWidth="1"/>
    <col min="14" max="14" width="18.88671875" bestFit="1" customWidth="1"/>
  </cols>
  <sheetData>
    <row r="2" spans="1:7" x14ac:dyDescent="0.3">
      <c r="A2" s="127"/>
      <c r="B2" s="29" t="s">
        <v>40</v>
      </c>
      <c r="E2" s="29" t="s">
        <v>40</v>
      </c>
    </row>
    <row r="3" spans="1:7" x14ac:dyDescent="0.3">
      <c r="A3" s="128"/>
      <c r="B3" s="129" t="s">
        <v>3</v>
      </c>
      <c r="C3" s="129" t="s">
        <v>1</v>
      </c>
      <c r="E3" s="129" t="s">
        <v>3</v>
      </c>
      <c r="F3" s="129" t="s">
        <v>1</v>
      </c>
      <c r="G3" s="129" t="s">
        <v>43</v>
      </c>
    </row>
    <row r="5" spans="1:7" x14ac:dyDescent="0.3">
      <c r="B5" s="98" t="s">
        <v>841</v>
      </c>
      <c r="C5" s="99">
        <v>4082138</v>
      </c>
    </row>
    <row r="7" spans="1:7" x14ac:dyDescent="0.3">
      <c r="B7" s="82" t="s">
        <v>153</v>
      </c>
      <c r="C7" s="49">
        <f>+'Recpt 2025'!AP58</f>
        <v>477000</v>
      </c>
    </row>
    <row r="8" spans="1:7" x14ac:dyDescent="0.3">
      <c r="B8" t="s">
        <v>146</v>
      </c>
      <c r="C8" s="49">
        <f>+'Recpt 2025'!AP61</f>
        <v>15000</v>
      </c>
    </row>
    <row r="9" spans="1:7" x14ac:dyDescent="0.3">
      <c r="B9" t="s">
        <v>80</v>
      </c>
      <c r="C9" s="49">
        <f>+'Recpt 2025'!AP62</f>
        <v>0</v>
      </c>
    </row>
    <row r="10" spans="1:7" x14ac:dyDescent="0.3">
      <c r="B10" t="s">
        <v>63</v>
      </c>
      <c r="C10" s="49">
        <f>+'Recpt 2025'!AP63</f>
        <v>1706250</v>
      </c>
    </row>
    <row r="11" spans="1:7" x14ac:dyDescent="0.3">
      <c r="B11" t="s">
        <v>64</v>
      </c>
      <c r="C11" s="49">
        <f>+'Recpt 2025'!AP64</f>
        <v>0</v>
      </c>
    </row>
    <row r="12" spans="1:7" x14ac:dyDescent="0.3">
      <c r="B12" t="s">
        <v>65</v>
      </c>
      <c r="C12" s="49">
        <f>+'Recpt 2025'!AP65</f>
        <v>300000</v>
      </c>
    </row>
    <row r="13" spans="1:7" x14ac:dyDescent="0.3">
      <c r="B13" s="82" t="s">
        <v>74</v>
      </c>
      <c r="C13" s="49">
        <f>-Exp!AB23-Exp!AB26</f>
        <v>-198500</v>
      </c>
    </row>
    <row r="14" spans="1:7" x14ac:dyDescent="0.3">
      <c r="B14" s="82" t="s">
        <v>73</v>
      </c>
      <c r="C14" s="49">
        <f>-Exp!AB14</f>
        <v>-220000</v>
      </c>
    </row>
    <row r="15" spans="1:7" x14ac:dyDescent="0.3">
      <c r="B15" t="s">
        <v>81</v>
      </c>
      <c r="C15" s="49">
        <f>-Exp!AB35</f>
        <v>-14850</v>
      </c>
    </row>
    <row r="16" spans="1:7" x14ac:dyDescent="0.3">
      <c r="B16" s="82" t="s">
        <v>82</v>
      </c>
      <c r="C16" s="49">
        <f>-Exp!AB85</f>
        <v>-29960</v>
      </c>
    </row>
    <row r="17" spans="2:3" x14ac:dyDescent="0.3">
      <c r="B17" t="s">
        <v>83</v>
      </c>
      <c r="C17" s="49">
        <f>-Exp!AB57</f>
        <v>-25000</v>
      </c>
    </row>
    <row r="18" spans="2:3" x14ac:dyDescent="0.3">
      <c r="B18" t="s">
        <v>62</v>
      </c>
      <c r="C18" s="49">
        <f>-Exp!AB34</f>
        <v>-24500</v>
      </c>
    </row>
    <row r="19" spans="2:3" x14ac:dyDescent="0.3">
      <c r="B19" t="s">
        <v>140</v>
      </c>
      <c r="C19" s="49">
        <f>-Exp!AB47</f>
        <v>0</v>
      </c>
    </row>
    <row r="20" spans="2:3" x14ac:dyDescent="0.3">
      <c r="B20" s="82" t="s">
        <v>837</v>
      </c>
      <c r="C20" s="49">
        <f>-Exp!AB40</f>
        <v>-199495</v>
      </c>
    </row>
    <row r="21" spans="2:3" x14ac:dyDescent="0.3">
      <c r="B21" t="s">
        <v>135</v>
      </c>
      <c r="C21" s="49">
        <f>-Exp!AB102</f>
        <v>0</v>
      </c>
    </row>
    <row r="22" spans="2:3" x14ac:dyDescent="0.3">
      <c r="B22" t="s">
        <v>77</v>
      </c>
      <c r="C22" s="49">
        <f>-Exp!AB73</f>
        <v>0</v>
      </c>
    </row>
    <row r="23" spans="2:3" x14ac:dyDescent="0.3">
      <c r="B23" t="s">
        <v>418</v>
      </c>
      <c r="C23" s="49">
        <f>-Exp!AB62</f>
        <v>0</v>
      </c>
    </row>
    <row r="24" spans="2:3" x14ac:dyDescent="0.3">
      <c r="B24" t="s">
        <v>839</v>
      </c>
      <c r="C24" s="49">
        <f>-Exp!AB65</f>
        <v>0</v>
      </c>
    </row>
    <row r="26" spans="2:3" x14ac:dyDescent="0.3">
      <c r="B26" s="93">
        <v>45292</v>
      </c>
      <c r="C26" s="130">
        <f>SUM(C7:C25)</f>
        <v>1785945</v>
      </c>
    </row>
    <row r="28" spans="2:3" x14ac:dyDescent="0.3">
      <c r="B28" s="82" t="s">
        <v>153</v>
      </c>
      <c r="C28" s="49">
        <f>+'Recpt 2025'!AS58</f>
        <v>185500</v>
      </c>
    </row>
    <row r="29" spans="2:3" x14ac:dyDescent="0.3">
      <c r="B29" t="s">
        <v>146</v>
      </c>
      <c r="C29" s="49">
        <f>+'Recpt 2025'!AS61</f>
        <v>15000</v>
      </c>
    </row>
    <row r="30" spans="2:3" x14ac:dyDescent="0.3">
      <c r="B30" t="s">
        <v>80</v>
      </c>
      <c r="C30" s="49">
        <f>+'Recpt 2025'!AS62</f>
        <v>0</v>
      </c>
    </row>
    <row r="31" spans="2:3" x14ac:dyDescent="0.3">
      <c r="B31" t="s">
        <v>63</v>
      </c>
      <c r="C31" s="49">
        <f>+'Recpt 2025'!AS63</f>
        <v>0</v>
      </c>
    </row>
    <row r="32" spans="2:3" x14ac:dyDescent="0.3">
      <c r="B32" t="s">
        <v>64</v>
      </c>
      <c r="C32" s="49">
        <f>+'Recpt 2025'!AS64</f>
        <v>0</v>
      </c>
    </row>
    <row r="33" spans="2:3" x14ac:dyDescent="0.3">
      <c r="B33" t="s">
        <v>65</v>
      </c>
      <c r="C33" s="49">
        <f>+'Recpt 2025'!AS65</f>
        <v>0</v>
      </c>
    </row>
    <row r="34" spans="2:3" x14ac:dyDescent="0.3">
      <c r="B34" s="82" t="s">
        <v>74</v>
      </c>
      <c r="C34" s="49">
        <f>-Exp!AD23-Exp!AD26</f>
        <v>-200000</v>
      </c>
    </row>
    <row r="35" spans="2:3" x14ac:dyDescent="0.3">
      <c r="B35" s="82" t="s">
        <v>73</v>
      </c>
      <c r="C35" s="49">
        <f>-Exp!AD14</f>
        <v>-210000</v>
      </c>
    </row>
    <row r="36" spans="2:3" x14ac:dyDescent="0.3">
      <c r="B36" t="s">
        <v>81</v>
      </c>
      <c r="C36" s="49">
        <f>-Exp!AD37</f>
        <v>-15100</v>
      </c>
    </row>
    <row r="37" spans="2:3" x14ac:dyDescent="0.3">
      <c r="B37" s="82" t="s">
        <v>82</v>
      </c>
      <c r="C37" s="49">
        <f>-Exp!AD85</f>
        <v>0</v>
      </c>
    </row>
    <row r="38" spans="2:3" x14ac:dyDescent="0.3">
      <c r="B38" t="s">
        <v>83</v>
      </c>
      <c r="C38" s="49">
        <f>-Exp!AD57</f>
        <v>-5000</v>
      </c>
    </row>
    <row r="39" spans="2:3" x14ac:dyDescent="0.3">
      <c r="B39" t="s">
        <v>62</v>
      </c>
      <c r="C39" s="49">
        <f>-Exp!AD34</f>
        <v>-9500</v>
      </c>
    </row>
    <row r="40" spans="2:3" x14ac:dyDescent="0.3">
      <c r="B40" t="s">
        <v>140</v>
      </c>
      <c r="C40" s="49">
        <f>-Exp!AD47</f>
        <v>0</v>
      </c>
    </row>
    <row r="41" spans="2:3" x14ac:dyDescent="0.3">
      <c r="B41" s="82" t="s">
        <v>842</v>
      </c>
      <c r="C41" s="49">
        <f>-Exp!AD40</f>
        <v>-182471</v>
      </c>
    </row>
    <row r="42" spans="2:3" x14ac:dyDescent="0.3">
      <c r="B42" t="s">
        <v>135</v>
      </c>
      <c r="C42" s="49">
        <f>-Exp!AD102</f>
        <v>0</v>
      </c>
    </row>
    <row r="43" spans="2:3" x14ac:dyDescent="0.3">
      <c r="B43" t="s">
        <v>77</v>
      </c>
      <c r="C43" s="49">
        <f>-Exp!AD73</f>
        <v>0</v>
      </c>
    </row>
    <row r="44" spans="2:3" x14ac:dyDescent="0.3">
      <c r="B44" t="s">
        <v>418</v>
      </c>
      <c r="C44" s="49">
        <f>-Exp!AD62</f>
        <v>0</v>
      </c>
    </row>
    <row r="45" spans="2:3" x14ac:dyDescent="0.3">
      <c r="B45" t="s">
        <v>839</v>
      </c>
      <c r="C45" s="49">
        <f>-Exp!AD65</f>
        <v>-44000</v>
      </c>
    </row>
    <row r="47" spans="2:3" x14ac:dyDescent="0.3">
      <c r="B47" s="93">
        <v>45323</v>
      </c>
      <c r="C47" s="130">
        <f>SUM(C28:C46)</f>
        <v>-465571</v>
      </c>
    </row>
    <row r="49" spans="2:3" x14ac:dyDescent="0.3">
      <c r="B49" s="82" t="s">
        <v>153</v>
      </c>
      <c r="C49" s="49">
        <f>+'Recpt 2025'!AV58</f>
        <v>213000</v>
      </c>
    </row>
    <row r="50" spans="2:3" x14ac:dyDescent="0.3">
      <c r="B50" t="s">
        <v>146</v>
      </c>
      <c r="C50" s="49">
        <f>+'Recpt 2025'!AV61</f>
        <v>0</v>
      </c>
    </row>
    <row r="51" spans="2:3" x14ac:dyDescent="0.3">
      <c r="B51" t="s">
        <v>80</v>
      </c>
      <c r="C51" s="49">
        <f>+'Recpt 2025'!AV62</f>
        <v>0</v>
      </c>
    </row>
    <row r="52" spans="2:3" x14ac:dyDescent="0.3">
      <c r="B52" t="s">
        <v>63</v>
      </c>
      <c r="C52" s="49">
        <f>+'Recpt 2025'!AV63</f>
        <v>0</v>
      </c>
    </row>
    <row r="53" spans="2:3" x14ac:dyDescent="0.3">
      <c r="B53" t="s">
        <v>64</v>
      </c>
      <c r="C53" s="49">
        <f>+'Recpt 2025'!AV64</f>
        <v>0</v>
      </c>
    </row>
    <row r="54" spans="2:3" x14ac:dyDescent="0.3">
      <c r="B54" t="s">
        <v>65</v>
      </c>
      <c r="C54" s="49">
        <f>+'Recpt 2025'!AV65</f>
        <v>0</v>
      </c>
    </row>
    <row r="55" spans="2:3" x14ac:dyDescent="0.3">
      <c r="B55" s="82" t="s">
        <v>74</v>
      </c>
      <c r="C55" s="49">
        <f>-Exp!AF23-Exp!AF26</f>
        <v>-209000</v>
      </c>
    </row>
    <row r="56" spans="2:3" x14ac:dyDescent="0.3">
      <c r="B56" s="82" t="s">
        <v>73</v>
      </c>
      <c r="C56" s="49">
        <f>-Exp!AF14</f>
        <v>-110000</v>
      </c>
    </row>
    <row r="57" spans="2:3" x14ac:dyDescent="0.3">
      <c r="B57" t="s">
        <v>81</v>
      </c>
      <c r="C57" s="49">
        <f>-Exp!AF37</f>
        <v>-17500</v>
      </c>
    </row>
    <row r="58" spans="2:3" x14ac:dyDescent="0.3">
      <c r="B58" s="82" t="s">
        <v>82</v>
      </c>
      <c r="C58" s="49">
        <f>-Exp!AF85</f>
        <v>-37790</v>
      </c>
    </row>
    <row r="59" spans="2:3" x14ac:dyDescent="0.3">
      <c r="B59" t="s">
        <v>83</v>
      </c>
      <c r="C59" s="49">
        <f>-Exp!AF57</f>
        <v>-10000</v>
      </c>
    </row>
    <row r="60" spans="2:3" x14ac:dyDescent="0.3">
      <c r="B60" t="s">
        <v>62</v>
      </c>
      <c r="C60" s="49">
        <f>-Exp!AF34</f>
        <v>-9500</v>
      </c>
    </row>
    <row r="61" spans="2:3" x14ac:dyDescent="0.3">
      <c r="B61" t="s">
        <v>140</v>
      </c>
      <c r="C61" s="49">
        <f>-Exp!AF47</f>
        <v>-21900</v>
      </c>
    </row>
    <row r="62" spans="2:3" x14ac:dyDescent="0.3">
      <c r="B62" s="82" t="s">
        <v>848</v>
      </c>
      <c r="C62" s="49">
        <f>-Exp!AF40</f>
        <v>-182901</v>
      </c>
    </row>
    <row r="63" spans="2:3" x14ac:dyDescent="0.3">
      <c r="B63" t="s">
        <v>135</v>
      </c>
      <c r="C63" s="49">
        <f>-Exp!AF102</f>
        <v>0</v>
      </c>
    </row>
    <row r="64" spans="2:3" x14ac:dyDescent="0.3">
      <c r="B64" t="s">
        <v>77</v>
      </c>
      <c r="C64" s="49">
        <f>-Exp!AF73</f>
        <v>-17000</v>
      </c>
    </row>
    <row r="65" spans="2:3" x14ac:dyDescent="0.3">
      <c r="B65" t="s">
        <v>418</v>
      </c>
      <c r="C65" s="49">
        <f>-Exp!AF62</f>
        <v>0</v>
      </c>
    </row>
    <row r="66" spans="2:3" x14ac:dyDescent="0.3">
      <c r="B66" t="s">
        <v>850</v>
      </c>
      <c r="C66" s="49">
        <f>-Exp!AF98</f>
        <v>-70150</v>
      </c>
    </row>
    <row r="67" spans="2:3" x14ac:dyDescent="0.3">
      <c r="B67" t="s">
        <v>839</v>
      </c>
      <c r="C67" s="49">
        <f>-Exp!AF63</f>
        <v>0</v>
      </c>
    </row>
    <row r="68" spans="2:3" x14ac:dyDescent="0.3">
      <c r="B68" t="s">
        <v>843</v>
      </c>
      <c r="C68" s="49">
        <f>-Exp!AF68</f>
        <v>-7000</v>
      </c>
    </row>
    <row r="69" spans="2:3" x14ac:dyDescent="0.3">
      <c r="B69" t="s">
        <v>849</v>
      </c>
      <c r="C69" s="49">
        <f>-Exp!AF64</f>
        <v>-15900</v>
      </c>
    </row>
    <row r="70" spans="2:3" x14ac:dyDescent="0.3">
      <c r="C70" s="49"/>
    </row>
    <row r="71" spans="2:3" x14ac:dyDescent="0.3">
      <c r="B71" s="93">
        <v>45352</v>
      </c>
      <c r="C71" s="130">
        <f>SUM(C49:C69)</f>
        <v>-495641</v>
      </c>
    </row>
    <row r="73" spans="2:3" x14ac:dyDescent="0.3">
      <c r="B73" s="82" t="s">
        <v>153</v>
      </c>
      <c r="C73" s="49">
        <f>+'Recpt 2025'!AY58</f>
        <v>376500</v>
      </c>
    </row>
    <row r="74" spans="2:3" x14ac:dyDescent="0.3">
      <c r="B74" t="s">
        <v>146</v>
      </c>
      <c r="C74" s="49">
        <f>+'Recpt 2025'!AY61</f>
        <v>0</v>
      </c>
    </row>
    <row r="75" spans="2:3" x14ac:dyDescent="0.3">
      <c r="B75" t="s">
        <v>80</v>
      </c>
      <c r="C75" s="49">
        <f>+'Recpt 2025'!AY62</f>
        <v>0</v>
      </c>
    </row>
    <row r="76" spans="2:3" x14ac:dyDescent="0.3">
      <c r="B76" t="s">
        <v>63</v>
      </c>
      <c r="C76" s="49">
        <f>+'Recpt 2025'!AY63</f>
        <v>1791562.5</v>
      </c>
    </row>
    <row r="77" spans="2:3" x14ac:dyDescent="0.3">
      <c r="B77" t="s">
        <v>64</v>
      </c>
      <c r="C77" s="49">
        <f>+'Recpt 2025'!AY64</f>
        <v>0</v>
      </c>
    </row>
    <row r="78" spans="2:3" x14ac:dyDescent="0.3">
      <c r="B78" t="s">
        <v>65</v>
      </c>
      <c r="C78" s="49">
        <f>+'Recpt 2025'!AY65</f>
        <v>300000</v>
      </c>
    </row>
    <row r="79" spans="2:3" x14ac:dyDescent="0.3">
      <c r="B79" s="82" t="s">
        <v>74</v>
      </c>
      <c r="C79" s="49">
        <f>-'Exp 2024'!J22-'Exp 2024'!J25</f>
        <v>-211000</v>
      </c>
    </row>
    <row r="80" spans="2:3" x14ac:dyDescent="0.3">
      <c r="B80" s="82" t="s">
        <v>73</v>
      </c>
      <c r="C80" s="49">
        <f>-'Exp 2024'!J14</f>
        <v>-11500</v>
      </c>
    </row>
    <row r="81" spans="2:3" x14ac:dyDescent="0.3">
      <c r="B81" t="s">
        <v>81</v>
      </c>
      <c r="C81" s="49">
        <f>-'Exp 2024'!J36</f>
        <v>-19300</v>
      </c>
    </row>
    <row r="82" spans="2:3" x14ac:dyDescent="0.3">
      <c r="B82" s="82" t="s">
        <v>82</v>
      </c>
      <c r="C82" s="49">
        <f>-'Exp 2024'!J86</f>
        <v>-22080</v>
      </c>
    </row>
    <row r="83" spans="2:3" x14ac:dyDescent="0.3">
      <c r="B83" t="s">
        <v>83</v>
      </c>
      <c r="C83" s="49">
        <f>-'Exp 2024'!J56</f>
        <v>0</v>
      </c>
    </row>
    <row r="84" spans="2:3" x14ac:dyDescent="0.3">
      <c r="B84" t="s">
        <v>62</v>
      </c>
      <c r="C84" s="49">
        <f>-'Exp 2024'!J33</f>
        <v>-16000</v>
      </c>
    </row>
    <row r="85" spans="2:3" x14ac:dyDescent="0.3">
      <c r="B85" t="s">
        <v>140</v>
      </c>
      <c r="C85" s="49">
        <f>-'Exp 2024'!J46</f>
        <v>-1000</v>
      </c>
    </row>
    <row r="86" spans="2:3" x14ac:dyDescent="0.3">
      <c r="B86" s="82" t="s">
        <v>985</v>
      </c>
      <c r="C86" s="49">
        <f>-'Exp 2024'!J39</f>
        <v>-253462</v>
      </c>
    </row>
    <row r="87" spans="2:3" x14ac:dyDescent="0.3">
      <c r="B87" t="s">
        <v>135</v>
      </c>
      <c r="C87" s="49">
        <f>-'Exp 2024'!J103</f>
        <v>-3500</v>
      </c>
    </row>
    <row r="88" spans="2:3" x14ac:dyDescent="0.3">
      <c r="B88" t="s">
        <v>77</v>
      </c>
      <c r="C88" s="49">
        <f>-'Exp 2024'!J74</f>
        <v>0</v>
      </c>
    </row>
    <row r="89" spans="2:3" x14ac:dyDescent="0.3">
      <c r="B89" t="s">
        <v>418</v>
      </c>
      <c r="C89" s="49">
        <f>-'Exp 2024'!J61</f>
        <v>0</v>
      </c>
    </row>
    <row r="90" spans="2:3" x14ac:dyDescent="0.3">
      <c r="B90" t="s">
        <v>850</v>
      </c>
      <c r="C90" s="49">
        <f>-'Exp 2024'!J99</f>
        <v>-120460</v>
      </c>
    </row>
    <row r="91" spans="2:3" x14ac:dyDescent="0.3">
      <c r="B91" t="s">
        <v>839</v>
      </c>
      <c r="C91" s="49">
        <f>-'Exp 2024'!J62</f>
        <v>0</v>
      </c>
    </row>
    <row r="92" spans="2:3" x14ac:dyDescent="0.3">
      <c r="B92" t="s">
        <v>843</v>
      </c>
      <c r="C92" s="49">
        <f>-'Exp 2024'!J69</f>
        <v>-8500</v>
      </c>
    </row>
    <row r="93" spans="2:3" x14ac:dyDescent="0.3">
      <c r="B93" t="s">
        <v>849</v>
      </c>
      <c r="C93" s="49">
        <f>-Exp!AF88</f>
        <v>0</v>
      </c>
    </row>
    <row r="94" spans="2:3" x14ac:dyDescent="0.3">
      <c r="C94" s="49"/>
    </row>
    <row r="95" spans="2:3" x14ac:dyDescent="0.3">
      <c r="B95" s="93">
        <v>45383</v>
      </c>
      <c r="C95" s="130">
        <f>SUM(C73:C93)</f>
        <v>1801260.5</v>
      </c>
    </row>
    <row r="97" spans="2:3" x14ac:dyDescent="0.3">
      <c r="B97" s="82" t="s">
        <v>153</v>
      </c>
      <c r="C97" s="49">
        <f>+'Recpt 2025'!BB58</f>
        <v>161000</v>
      </c>
    </row>
    <row r="98" spans="2:3" x14ac:dyDescent="0.3">
      <c r="B98" t="s">
        <v>146</v>
      </c>
      <c r="C98" s="49">
        <v>0</v>
      </c>
    </row>
    <row r="99" spans="2:3" x14ac:dyDescent="0.3">
      <c r="B99" t="s">
        <v>80</v>
      </c>
      <c r="C99" s="49">
        <v>0</v>
      </c>
    </row>
    <row r="100" spans="2:3" x14ac:dyDescent="0.3">
      <c r="B100" t="s">
        <v>63</v>
      </c>
      <c r="C100" s="49">
        <v>0</v>
      </c>
    </row>
    <row r="101" spans="2:3" x14ac:dyDescent="0.3">
      <c r="B101" t="s">
        <v>64</v>
      </c>
      <c r="C101" s="49">
        <v>0</v>
      </c>
    </row>
    <row r="102" spans="2:3" x14ac:dyDescent="0.3">
      <c r="B102" t="s">
        <v>65</v>
      </c>
      <c r="C102" s="49">
        <v>0</v>
      </c>
    </row>
    <row r="103" spans="2:3" x14ac:dyDescent="0.3">
      <c r="B103" s="82" t="s">
        <v>74</v>
      </c>
      <c r="C103" s="49">
        <f>-'Exp 2024'!L22-'Exp 2024'!L25</f>
        <v>-210000</v>
      </c>
    </row>
    <row r="104" spans="2:3" x14ac:dyDescent="0.3">
      <c r="B104" s="82" t="s">
        <v>73</v>
      </c>
      <c r="C104" s="49">
        <v>0</v>
      </c>
    </row>
    <row r="105" spans="2:3" x14ac:dyDescent="0.3">
      <c r="B105" t="s">
        <v>81</v>
      </c>
      <c r="C105" s="49">
        <f>-'Exp 2024'!L36</f>
        <v>-10200</v>
      </c>
    </row>
    <row r="106" spans="2:3" x14ac:dyDescent="0.3">
      <c r="B106" s="82" t="s">
        <v>82</v>
      </c>
      <c r="C106" s="49">
        <f>-'Exp 2024'!L86</f>
        <v>0</v>
      </c>
    </row>
    <row r="107" spans="2:3" x14ac:dyDescent="0.3">
      <c r="B107" t="s">
        <v>83</v>
      </c>
      <c r="C107" s="49">
        <f>-'Exp 2024'!L56</f>
        <v>-10000</v>
      </c>
    </row>
    <row r="108" spans="2:3" x14ac:dyDescent="0.3">
      <c r="B108" t="s">
        <v>62</v>
      </c>
      <c r="C108" s="49">
        <f>-'Exp 2024'!L33</f>
        <v>-25100</v>
      </c>
    </row>
    <row r="109" spans="2:3" x14ac:dyDescent="0.3">
      <c r="B109" t="s">
        <v>140</v>
      </c>
      <c r="C109" s="49">
        <f>-'Exp 2024'!L46</f>
        <v>-7500</v>
      </c>
    </row>
    <row r="110" spans="2:3" x14ac:dyDescent="0.3">
      <c r="B110" s="82" t="s">
        <v>986</v>
      </c>
      <c r="C110" s="49">
        <f>-'Exp 2024'!L39</f>
        <v>-271300</v>
      </c>
    </row>
    <row r="111" spans="2:3" x14ac:dyDescent="0.3">
      <c r="B111" t="s">
        <v>135</v>
      </c>
      <c r="C111" s="49">
        <f>-'Exp 2024'!L103</f>
        <v>0</v>
      </c>
    </row>
    <row r="112" spans="2:3" x14ac:dyDescent="0.3">
      <c r="B112" t="s">
        <v>77</v>
      </c>
      <c r="C112" s="49">
        <f>-'Exp 2024'!L74</f>
        <v>0</v>
      </c>
    </row>
    <row r="113" spans="2:3" x14ac:dyDescent="0.3">
      <c r="B113" t="s">
        <v>418</v>
      </c>
      <c r="C113" s="49">
        <v>0</v>
      </c>
    </row>
    <row r="114" spans="2:3" x14ac:dyDescent="0.3">
      <c r="B114" t="s">
        <v>850</v>
      </c>
      <c r="C114" s="49">
        <f>-'Exp 2024'!L99</f>
        <v>0</v>
      </c>
    </row>
    <row r="115" spans="2:3" x14ac:dyDescent="0.3">
      <c r="B115" t="s">
        <v>839</v>
      </c>
      <c r="C115" s="49">
        <v>0</v>
      </c>
    </row>
    <row r="116" spans="2:3" x14ac:dyDescent="0.3">
      <c r="B116" t="s">
        <v>843</v>
      </c>
      <c r="C116" s="49">
        <v>0</v>
      </c>
    </row>
    <row r="117" spans="2:3" x14ac:dyDescent="0.3">
      <c r="B117" t="s">
        <v>849</v>
      </c>
      <c r="C117" s="49">
        <v>0</v>
      </c>
    </row>
    <row r="118" spans="2:3" x14ac:dyDescent="0.3">
      <c r="C118" s="49"/>
    </row>
    <row r="119" spans="2:3" x14ac:dyDescent="0.3">
      <c r="B119" s="93">
        <v>45413</v>
      </c>
      <c r="C119" s="130">
        <f>SUM(C97:C117)</f>
        <v>-373100</v>
      </c>
    </row>
    <row r="121" spans="2:3" x14ac:dyDescent="0.3">
      <c r="B121" s="82" t="s">
        <v>153</v>
      </c>
      <c r="C121" s="49">
        <f>+'Recpt 2025'!BE58</f>
        <v>249500</v>
      </c>
    </row>
    <row r="122" spans="2:3" x14ac:dyDescent="0.3">
      <c r="B122" t="s">
        <v>146</v>
      </c>
      <c r="C122" s="49">
        <f>+'Recpt 2025'!BE61</f>
        <v>30000</v>
      </c>
    </row>
    <row r="123" spans="2:3" x14ac:dyDescent="0.3">
      <c r="B123" t="s">
        <v>80</v>
      </c>
      <c r="C123" s="49">
        <v>0</v>
      </c>
    </row>
    <row r="124" spans="2:3" x14ac:dyDescent="0.3">
      <c r="B124" t="s">
        <v>63</v>
      </c>
      <c r="C124" s="49">
        <v>0</v>
      </c>
    </row>
    <row r="125" spans="2:3" x14ac:dyDescent="0.3">
      <c r="B125" t="s">
        <v>64</v>
      </c>
      <c r="C125" s="49">
        <v>0</v>
      </c>
    </row>
    <row r="126" spans="2:3" x14ac:dyDescent="0.3">
      <c r="B126" t="s">
        <v>65</v>
      </c>
      <c r="C126" s="49">
        <v>0</v>
      </c>
    </row>
    <row r="127" spans="2:3" x14ac:dyDescent="0.3">
      <c r="B127" s="82" t="s">
        <v>74</v>
      </c>
      <c r="C127" s="49">
        <f>-'Exp 2024'!N22-'Exp 2024'!N25</f>
        <v>-231000</v>
      </c>
    </row>
    <row r="128" spans="2:3" x14ac:dyDescent="0.3">
      <c r="B128" s="82" t="s">
        <v>73</v>
      </c>
      <c r="C128" s="49">
        <v>0</v>
      </c>
    </row>
    <row r="129" spans="2:3" x14ac:dyDescent="0.3">
      <c r="B129" t="s">
        <v>81</v>
      </c>
      <c r="C129" s="49">
        <f>-'Exp 2024'!N36</f>
        <v>-19257</v>
      </c>
    </row>
    <row r="130" spans="2:3" x14ac:dyDescent="0.3">
      <c r="B130" s="82" t="s">
        <v>82</v>
      </c>
      <c r="C130" s="49">
        <f>-'Exp 2024'!N86</f>
        <v>-17000</v>
      </c>
    </row>
    <row r="131" spans="2:3" x14ac:dyDescent="0.3">
      <c r="B131" t="s">
        <v>83</v>
      </c>
      <c r="C131" s="49">
        <f>-'Exp 2024'!N56</f>
        <v>-45000</v>
      </c>
    </row>
    <row r="132" spans="2:3" x14ac:dyDescent="0.3">
      <c r="B132" t="s">
        <v>62</v>
      </c>
      <c r="C132" s="49">
        <f>-'Exp 2024'!N33</f>
        <v>-5300</v>
      </c>
    </row>
    <row r="133" spans="2:3" x14ac:dyDescent="0.3">
      <c r="B133" t="s">
        <v>140</v>
      </c>
      <c r="C133" s="49">
        <f>-'Exp 2024'!N46</f>
        <v>-9600</v>
      </c>
    </row>
    <row r="134" spans="2:3" x14ac:dyDescent="0.3">
      <c r="B134" s="82" t="s">
        <v>987</v>
      </c>
      <c r="C134" s="49">
        <f>-'Exp 2024'!N39</f>
        <v>-245427</v>
      </c>
    </row>
    <row r="135" spans="2:3" x14ac:dyDescent="0.3">
      <c r="B135" t="s">
        <v>135</v>
      </c>
      <c r="C135" s="49">
        <f>-'Exp 2024'!N103</f>
        <v>-25000</v>
      </c>
    </row>
    <row r="136" spans="2:3" x14ac:dyDescent="0.3">
      <c r="B136" t="s">
        <v>77</v>
      </c>
      <c r="C136" s="49">
        <f>-'Exp 2024'!N74</f>
        <v>0</v>
      </c>
    </row>
    <row r="137" spans="2:3" x14ac:dyDescent="0.3">
      <c r="B137" t="s">
        <v>418</v>
      </c>
      <c r="C137" s="49">
        <v>0</v>
      </c>
    </row>
    <row r="138" spans="2:3" x14ac:dyDescent="0.3">
      <c r="B138" s="3" t="s">
        <v>129</v>
      </c>
      <c r="C138" s="49">
        <f>-'Exp 2024'!N92</f>
        <v>-66050</v>
      </c>
    </row>
    <row r="139" spans="2:3" x14ac:dyDescent="0.3">
      <c r="B139" t="s">
        <v>850</v>
      </c>
      <c r="C139" s="49">
        <v>0</v>
      </c>
    </row>
    <row r="140" spans="2:3" x14ac:dyDescent="0.3">
      <c r="B140" t="s">
        <v>839</v>
      </c>
      <c r="C140" s="49">
        <v>0</v>
      </c>
    </row>
    <row r="141" spans="2:3" x14ac:dyDescent="0.3">
      <c r="B141" t="s">
        <v>843</v>
      </c>
      <c r="C141" s="49">
        <v>0</v>
      </c>
    </row>
    <row r="142" spans="2:3" x14ac:dyDescent="0.3">
      <c r="B142" t="s">
        <v>989</v>
      </c>
      <c r="C142" s="49">
        <f>-'Exp 2024'!N65</f>
        <v>-34500</v>
      </c>
    </row>
    <row r="143" spans="2:3" x14ac:dyDescent="0.3">
      <c r="C143" s="49"/>
    </row>
    <row r="144" spans="2:3" x14ac:dyDescent="0.3">
      <c r="B144" s="93">
        <v>45444</v>
      </c>
      <c r="C144" s="130">
        <f>SUM(C121:C142)</f>
        <v>-418634</v>
      </c>
    </row>
    <row r="146" spans="2:3" x14ac:dyDescent="0.3">
      <c r="B146" s="82" t="s">
        <v>153</v>
      </c>
      <c r="C146" s="49">
        <f>+'Recpt 2025'!BH58</f>
        <v>173500</v>
      </c>
    </row>
    <row r="147" spans="2:3" x14ac:dyDescent="0.3">
      <c r="B147" t="s">
        <v>146</v>
      </c>
      <c r="C147" s="49">
        <f>+'Recpt 2025'!BH61</f>
        <v>0</v>
      </c>
    </row>
    <row r="148" spans="2:3" x14ac:dyDescent="0.3">
      <c r="B148" t="s">
        <v>80</v>
      </c>
      <c r="C148" s="49">
        <f>+'Recpt 2025'!BH62</f>
        <v>0</v>
      </c>
    </row>
    <row r="149" spans="2:3" x14ac:dyDescent="0.3">
      <c r="B149" t="s">
        <v>63</v>
      </c>
      <c r="C149" s="49">
        <f>+'Recpt 2025'!BH63</f>
        <v>1791563</v>
      </c>
    </row>
    <row r="150" spans="2:3" x14ac:dyDescent="0.3">
      <c r="B150" t="s">
        <v>64</v>
      </c>
      <c r="C150" s="49">
        <f>+'Recpt 2025'!BH64</f>
        <v>0</v>
      </c>
    </row>
    <row r="151" spans="2:3" x14ac:dyDescent="0.3">
      <c r="B151" t="s">
        <v>65</v>
      </c>
      <c r="C151" s="49">
        <f>+'Recpt 2025'!BH65</f>
        <v>300000</v>
      </c>
    </row>
    <row r="152" spans="2:3" x14ac:dyDescent="0.3">
      <c r="B152" s="82" t="s">
        <v>74</v>
      </c>
      <c r="C152" s="49">
        <f>-'Exp 2024'!P22-'Exp 2024'!P25</f>
        <v>-211000</v>
      </c>
    </row>
    <row r="153" spans="2:3" x14ac:dyDescent="0.3">
      <c r="B153" s="82" t="s">
        <v>73</v>
      </c>
      <c r="C153" s="49">
        <f>-'Exp 2024'!P14</f>
        <v>0</v>
      </c>
    </row>
    <row r="154" spans="2:3" x14ac:dyDescent="0.3">
      <c r="B154" t="s">
        <v>81</v>
      </c>
      <c r="C154" s="49">
        <f>-'Exp 2024'!P36</f>
        <v>-24890</v>
      </c>
    </row>
    <row r="155" spans="2:3" x14ac:dyDescent="0.3">
      <c r="B155" s="82" t="s">
        <v>82</v>
      </c>
      <c r="C155" s="49">
        <f>-'Exp 2024'!P86</f>
        <v>-81170</v>
      </c>
    </row>
    <row r="156" spans="2:3" x14ac:dyDescent="0.3">
      <c r="B156" t="s">
        <v>83</v>
      </c>
      <c r="C156" s="49">
        <f>-'Exp 2024'!P56</f>
        <v>-20000</v>
      </c>
    </row>
    <row r="157" spans="2:3" x14ac:dyDescent="0.3">
      <c r="B157" t="s">
        <v>62</v>
      </c>
      <c r="C157" s="49">
        <f>-'Exp 2024'!P33</f>
        <v>-14300</v>
      </c>
    </row>
    <row r="158" spans="2:3" x14ac:dyDescent="0.3">
      <c r="B158" t="s">
        <v>140</v>
      </c>
      <c r="C158" s="49">
        <f>-'Exp 2024'!P46</f>
        <v>0</v>
      </c>
    </row>
    <row r="159" spans="2:3" x14ac:dyDescent="0.3">
      <c r="B159" s="82" t="s">
        <v>1007</v>
      </c>
      <c r="C159" s="49">
        <f>-'Exp 2024'!P39</f>
        <v>-283531</v>
      </c>
    </row>
    <row r="160" spans="2:3" x14ac:dyDescent="0.3">
      <c r="B160" t="s">
        <v>135</v>
      </c>
      <c r="C160" s="49">
        <f>-'Exp 2024'!P103</f>
        <v>0</v>
      </c>
    </row>
    <row r="161" spans="2:3" x14ac:dyDescent="0.3">
      <c r="B161" t="s">
        <v>77</v>
      </c>
      <c r="C161" s="49">
        <f>-'Exp 2024'!P74</f>
        <v>-250000</v>
      </c>
    </row>
    <row r="162" spans="2:3" x14ac:dyDescent="0.3">
      <c r="B162" t="s">
        <v>418</v>
      </c>
      <c r="C162" s="49">
        <f>-'Exp 2024'!P61</f>
        <v>0</v>
      </c>
    </row>
    <row r="163" spans="2:3" x14ac:dyDescent="0.3">
      <c r="B163" s="3" t="s">
        <v>129</v>
      </c>
      <c r="C163" s="49">
        <f>-'Exp 2024'!P92</f>
        <v>0</v>
      </c>
    </row>
    <row r="164" spans="2:3" x14ac:dyDescent="0.3">
      <c r="B164" t="s">
        <v>850</v>
      </c>
      <c r="C164" s="49">
        <f>-'Exp 2024'!P99</f>
        <v>0</v>
      </c>
    </row>
    <row r="165" spans="2:3" x14ac:dyDescent="0.3">
      <c r="B165" t="s">
        <v>839</v>
      </c>
      <c r="C165" s="49">
        <f>-'Exp 2024'!P62</f>
        <v>0</v>
      </c>
    </row>
    <row r="166" spans="2:3" x14ac:dyDescent="0.3">
      <c r="B166" t="s">
        <v>843</v>
      </c>
      <c r="C166" s="49">
        <f>-'Exp 2024'!P69</f>
        <v>0</v>
      </c>
    </row>
    <row r="167" spans="2:3" x14ac:dyDescent="0.3">
      <c r="C167" s="49"/>
    </row>
    <row r="168" spans="2:3" x14ac:dyDescent="0.3">
      <c r="B168" s="93">
        <v>45474</v>
      </c>
      <c r="C168" s="130">
        <f>SUM(C146:C166)</f>
        <v>1380172</v>
      </c>
    </row>
    <row r="170" spans="2:3" x14ac:dyDescent="0.3">
      <c r="B170" s="82" t="s">
        <v>153</v>
      </c>
      <c r="C170" s="49">
        <f>+'Recpt 2025'!BK58</f>
        <v>179000</v>
      </c>
    </row>
    <row r="171" spans="2:3" x14ac:dyDescent="0.3">
      <c r="B171" t="s">
        <v>146</v>
      </c>
      <c r="C171" s="49"/>
    </row>
    <row r="172" spans="2:3" x14ac:dyDescent="0.3">
      <c r="B172" t="s">
        <v>80</v>
      </c>
      <c r="C172" s="49"/>
    </row>
    <row r="173" spans="2:3" x14ac:dyDescent="0.3">
      <c r="B173" t="s">
        <v>63</v>
      </c>
      <c r="C173" s="49"/>
    </row>
    <row r="174" spans="2:3" x14ac:dyDescent="0.3">
      <c r="B174" t="s">
        <v>64</v>
      </c>
      <c r="C174" s="49"/>
    </row>
    <row r="175" spans="2:3" x14ac:dyDescent="0.3">
      <c r="B175" t="s">
        <v>65</v>
      </c>
      <c r="C175" s="49"/>
    </row>
    <row r="176" spans="2:3" x14ac:dyDescent="0.3">
      <c r="B176" s="82" t="s">
        <v>74</v>
      </c>
      <c r="C176" s="49">
        <f>-'Exp 2024'!R22-'Exp 2024'!R25</f>
        <v>-215000</v>
      </c>
    </row>
    <row r="177" spans="2:3" x14ac:dyDescent="0.3">
      <c r="B177" s="82" t="s">
        <v>73</v>
      </c>
      <c r="C177" s="49"/>
    </row>
    <row r="178" spans="2:3" x14ac:dyDescent="0.3">
      <c r="B178" t="s">
        <v>81</v>
      </c>
      <c r="C178" s="49">
        <f>-'Exp 2024'!R36</f>
        <v>-41230</v>
      </c>
    </row>
    <row r="179" spans="2:3" x14ac:dyDescent="0.3">
      <c r="B179" s="82" t="s">
        <v>82</v>
      </c>
      <c r="C179" s="49">
        <f>-'Exp 2024'!R86</f>
        <v>-17900</v>
      </c>
    </row>
    <row r="180" spans="2:3" x14ac:dyDescent="0.3">
      <c r="B180" t="s">
        <v>83</v>
      </c>
      <c r="C180" s="49">
        <f>-'Exp 2024'!R56</f>
        <v>-30000</v>
      </c>
    </row>
    <row r="181" spans="2:3" x14ac:dyDescent="0.3">
      <c r="B181" t="s">
        <v>62</v>
      </c>
      <c r="C181" s="49">
        <f>-'Exp 2024'!R33</f>
        <v>-12000</v>
      </c>
    </row>
    <row r="182" spans="2:3" x14ac:dyDescent="0.3">
      <c r="B182" t="s">
        <v>140</v>
      </c>
      <c r="C182" s="49">
        <f>-'Exp 2024'!R46</f>
        <v>-9200</v>
      </c>
    </row>
    <row r="183" spans="2:3" x14ac:dyDescent="0.3">
      <c r="B183" s="82" t="s">
        <v>1138</v>
      </c>
      <c r="C183" s="49">
        <f>-'Exp 2024'!R39</f>
        <v>-281334</v>
      </c>
    </row>
    <row r="184" spans="2:3" x14ac:dyDescent="0.3">
      <c r="B184" t="s">
        <v>135</v>
      </c>
      <c r="C184" s="49">
        <f>-'Exp 2024'!R101</f>
        <v>-21000</v>
      </c>
    </row>
    <row r="185" spans="2:3" x14ac:dyDescent="0.3">
      <c r="B185" t="s">
        <v>77</v>
      </c>
      <c r="C185" s="49">
        <f>-'Exp 2024'!R74</f>
        <v>0</v>
      </c>
    </row>
    <row r="186" spans="2:3" x14ac:dyDescent="0.3">
      <c r="B186" t="s">
        <v>418</v>
      </c>
      <c r="C186" s="49"/>
    </row>
    <row r="187" spans="2:3" x14ac:dyDescent="0.3">
      <c r="B187" s="3" t="s">
        <v>129</v>
      </c>
      <c r="C187" s="49"/>
    </row>
    <row r="188" spans="2:3" x14ac:dyDescent="0.3">
      <c r="B188" t="s">
        <v>976</v>
      </c>
      <c r="C188" s="49">
        <f>-'Exp 2024'!R64</f>
        <v>-32000</v>
      </c>
    </row>
    <row r="189" spans="2:3" x14ac:dyDescent="0.3">
      <c r="B189" t="s">
        <v>839</v>
      </c>
      <c r="C189" s="49"/>
    </row>
    <row r="190" spans="2:3" x14ac:dyDescent="0.3">
      <c r="B190" t="s">
        <v>843</v>
      </c>
      <c r="C190" s="49"/>
    </row>
    <row r="191" spans="2:3" x14ac:dyDescent="0.3">
      <c r="B191" s="78" t="s">
        <v>1128</v>
      </c>
      <c r="C191" s="49">
        <f>-'Exp 2024'!R59</f>
        <v>-100000</v>
      </c>
    </row>
    <row r="192" spans="2:3" x14ac:dyDescent="0.3">
      <c r="B192" s="78" t="s">
        <v>1133</v>
      </c>
      <c r="C192" s="49">
        <f>-'Exp 2024'!R60</f>
        <v>-71000</v>
      </c>
    </row>
    <row r="194" spans="2:3" x14ac:dyDescent="0.3">
      <c r="B194" s="93">
        <v>45505</v>
      </c>
      <c r="C194" s="130">
        <f>SUM(C170:C193)</f>
        <v>-651664</v>
      </c>
    </row>
    <row r="196" spans="2:3" x14ac:dyDescent="0.3">
      <c r="B196" s="82" t="s">
        <v>153</v>
      </c>
      <c r="C196" s="49">
        <f>+'Recpt 2025'!BN58</f>
        <v>290500</v>
      </c>
    </row>
    <row r="197" spans="2:3" x14ac:dyDescent="0.3">
      <c r="B197" t="s">
        <v>146</v>
      </c>
      <c r="C197" s="49">
        <v>0</v>
      </c>
    </row>
    <row r="198" spans="2:3" x14ac:dyDescent="0.3">
      <c r="B198" t="s">
        <v>80</v>
      </c>
      <c r="C198" s="49">
        <v>0</v>
      </c>
    </row>
    <row r="199" spans="2:3" x14ac:dyDescent="0.3">
      <c r="B199" t="s">
        <v>63</v>
      </c>
      <c r="C199" s="49">
        <v>0</v>
      </c>
    </row>
    <row r="200" spans="2:3" x14ac:dyDescent="0.3">
      <c r="B200" t="s">
        <v>64</v>
      </c>
      <c r="C200" s="49">
        <v>0</v>
      </c>
    </row>
    <row r="201" spans="2:3" x14ac:dyDescent="0.3">
      <c r="B201" t="s">
        <v>65</v>
      </c>
      <c r="C201" s="49">
        <v>0</v>
      </c>
    </row>
    <row r="202" spans="2:3" x14ac:dyDescent="0.3">
      <c r="B202" s="82" t="s">
        <v>74</v>
      </c>
      <c r="C202" s="49">
        <f>-'Exp 2024'!T22-'Exp 2024'!T25</f>
        <v>-218000</v>
      </c>
    </row>
    <row r="203" spans="2:3" x14ac:dyDescent="0.3">
      <c r="B203" s="82" t="s">
        <v>73</v>
      </c>
      <c r="C203" s="49">
        <f>-'Exp 2024'!T14</f>
        <v>0</v>
      </c>
    </row>
    <row r="204" spans="2:3" x14ac:dyDescent="0.3">
      <c r="B204" t="s">
        <v>81</v>
      </c>
      <c r="C204" s="49">
        <f>-'Exp 2024'!T36</f>
        <v>-24530</v>
      </c>
    </row>
    <row r="205" spans="2:3" x14ac:dyDescent="0.3">
      <c r="B205" s="82" t="s">
        <v>82</v>
      </c>
      <c r="C205" s="49">
        <f>-'Exp 2024'!T86</f>
        <v>-1500</v>
      </c>
    </row>
    <row r="206" spans="2:3" x14ac:dyDescent="0.3">
      <c r="B206" t="s">
        <v>83</v>
      </c>
      <c r="C206" s="49">
        <f>-'Exp 2024'!T56</f>
        <v>-19500</v>
      </c>
    </row>
    <row r="207" spans="2:3" x14ac:dyDescent="0.3">
      <c r="B207" t="s">
        <v>62</v>
      </c>
      <c r="C207" s="49">
        <f>-'Exp 2024'!T33</f>
        <v>-27550</v>
      </c>
    </row>
    <row r="208" spans="2:3" x14ac:dyDescent="0.3">
      <c r="B208" t="s">
        <v>140</v>
      </c>
      <c r="C208" s="49">
        <f>-'Exp 2024'!T46</f>
        <v>0</v>
      </c>
    </row>
    <row r="209" spans="2:3" x14ac:dyDescent="0.3">
      <c r="B209" s="82" t="s">
        <v>1147</v>
      </c>
      <c r="C209" s="49">
        <f>-'Exp 2024'!T39</f>
        <v>-236550</v>
      </c>
    </row>
    <row r="210" spans="2:3" x14ac:dyDescent="0.3">
      <c r="B210" t="s">
        <v>135</v>
      </c>
      <c r="C210" s="49">
        <f>-'Exp 2024'!T101</f>
        <v>-8000</v>
      </c>
    </row>
    <row r="211" spans="2:3" x14ac:dyDescent="0.3">
      <c r="B211" t="s">
        <v>77</v>
      </c>
      <c r="C211" s="49">
        <f>-'Exp 2024'!T74</f>
        <v>0</v>
      </c>
    </row>
    <row r="212" spans="2:3" x14ac:dyDescent="0.3">
      <c r="B212" t="s">
        <v>418</v>
      </c>
      <c r="C212" s="49">
        <v>0</v>
      </c>
    </row>
    <row r="213" spans="2:3" x14ac:dyDescent="0.3">
      <c r="B213" s="3" t="s">
        <v>129</v>
      </c>
      <c r="C213" s="49">
        <v>0</v>
      </c>
    </row>
    <row r="214" spans="2:3" x14ac:dyDescent="0.3">
      <c r="B214" t="s">
        <v>850</v>
      </c>
      <c r="C214" s="49">
        <v>0</v>
      </c>
    </row>
    <row r="215" spans="2:3" x14ac:dyDescent="0.3">
      <c r="B215" t="s">
        <v>839</v>
      </c>
      <c r="C215" s="49"/>
    </row>
    <row r="216" spans="2:3" x14ac:dyDescent="0.3">
      <c r="B216" s="78" t="s">
        <v>1133</v>
      </c>
      <c r="C216" s="49">
        <f>-'Exp 2024'!T60</f>
        <v>-6500</v>
      </c>
    </row>
    <row r="218" spans="2:3" x14ac:dyDescent="0.3">
      <c r="B218" s="93">
        <v>45536</v>
      </c>
      <c r="C218" s="130">
        <f>SUM(C196:C216)</f>
        <v>-251630</v>
      </c>
    </row>
    <row r="220" spans="2:3" x14ac:dyDescent="0.3">
      <c r="B220" s="82" t="s">
        <v>153</v>
      </c>
      <c r="C220" s="49">
        <f>+'Recpt 2025'!BQ58</f>
        <v>254500</v>
      </c>
    </row>
    <row r="221" spans="2:3" x14ac:dyDescent="0.3">
      <c r="B221" t="s">
        <v>146</v>
      </c>
      <c r="C221" s="49">
        <v>0</v>
      </c>
    </row>
    <row r="222" spans="2:3" x14ac:dyDescent="0.3">
      <c r="B222" t="s">
        <v>80</v>
      </c>
      <c r="C222" s="49">
        <v>0</v>
      </c>
    </row>
    <row r="223" spans="2:3" x14ac:dyDescent="0.3">
      <c r="B223" t="s">
        <v>63</v>
      </c>
      <c r="C223" s="49">
        <f>+'Recpt 2025'!BQ63</f>
        <v>1791563</v>
      </c>
    </row>
    <row r="224" spans="2:3" x14ac:dyDescent="0.3">
      <c r="B224" t="s">
        <v>64</v>
      </c>
      <c r="C224" s="49">
        <v>0</v>
      </c>
    </row>
    <row r="225" spans="2:3" x14ac:dyDescent="0.3">
      <c r="B225" t="s">
        <v>65</v>
      </c>
      <c r="C225" s="49">
        <f>+'Recpt 2025'!BQ65</f>
        <v>300000</v>
      </c>
    </row>
    <row r="226" spans="2:3" x14ac:dyDescent="0.3">
      <c r="B226" s="82" t="s">
        <v>74</v>
      </c>
      <c r="C226" s="49">
        <f>-'Exp 2024'!V22-'Exp 2024'!V25</f>
        <v>-218000</v>
      </c>
    </row>
    <row r="227" spans="2:3" x14ac:dyDescent="0.3">
      <c r="B227" s="82" t="s">
        <v>73</v>
      </c>
      <c r="C227" s="49">
        <f>-'Exp 2024'!V14</f>
        <v>0</v>
      </c>
    </row>
    <row r="228" spans="2:3" x14ac:dyDescent="0.3">
      <c r="B228" t="s">
        <v>81</v>
      </c>
      <c r="C228" s="49">
        <f>-'Exp 2024'!V36</f>
        <v>-21500</v>
      </c>
    </row>
    <row r="229" spans="2:3" x14ac:dyDescent="0.3">
      <c r="B229" s="82" t="s">
        <v>82</v>
      </c>
      <c r="C229" s="49">
        <f>-'Exp 2024'!V86</f>
        <v>-23900</v>
      </c>
    </row>
    <row r="230" spans="2:3" x14ac:dyDescent="0.3">
      <c r="B230" t="s">
        <v>83</v>
      </c>
      <c r="C230" s="49">
        <f>-'Exp 2024'!V56</f>
        <v>-25000</v>
      </c>
    </row>
    <row r="231" spans="2:3" x14ac:dyDescent="0.3">
      <c r="B231" t="s">
        <v>62</v>
      </c>
      <c r="C231" s="49">
        <f>-'Exp 2024'!V33</f>
        <v>-17200</v>
      </c>
    </row>
    <row r="232" spans="2:3" x14ac:dyDescent="0.3">
      <c r="B232" t="s">
        <v>140</v>
      </c>
      <c r="C232" s="49">
        <f>-'Exp 2024'!V46</f>
        <v>0</v>
      </c>
    </row>
    <row r="233" spans="2:3" x14ac:dyDescent="0.3">
      <c r="B233" s="82" t="s">
        <v>1146</v>
      </c>
      <c r="C233" s="49">
        <f>-'Exp 2024'!V39</f>
        <v>-260098</v>
      </c>
    </row>
    <row r="234" spans="2:3" x14ac:dyDescent="0.3">
      <c r="B234" t="s">
        <v>135</v>
      </c>
      <c r="C234" s="49">
        <f>-'Exp 2024'!V101</f>
        <v>0</v>
      </c>
    </row>
    <row r="235" spans="2:3" x14ac:dyDescent="0.3">
      <c r="B235" t="s">
        <v>77</v>
      </c>
      <c r="C235" s="49">
        <f>-'Exp 2024'!V74</f>
        <v>0</v>
      </c>
    </row>
    <row r="236" spans="2:3" x14ac:dyDescent="0.3">
      <c r="B236" t="s">
        <v>418</v>
      </c>
      <c r="C236" s="49">
        <v>0</v>
      </c>
    </row>
    <row r="237" spans="2:3" x14ac:dyDescent="0.3">
      <c r="B237" s="78" t="s">
        <v>1128</v>
      </c>
      <c r="C237" s="49">
        <f>-'Exp 2024'!V59</f>
        <v>-80000</v>
      </c>
    </row>
    <row r="238" spans="2:3" x14ac:dyDescent="0.3">
      <c r="B238" t="s">
        <v>850</v>
      </c>
      <c r="C238" s="49">
        <v>0</v>
      </c>
    </row>
    <row r="239" spans="2:3" x14ac:dyDescent="0.3">
      <c r="B239" t="s">
        <v>839</v>
      </c>
      <c r="C239" s="49">
        <f>-'Exp 2024'!V62</f>
        <v>-5300</v>
      </c>
    </row>
    <row r="240" spans="2:3" x14ac:dyDescent="0.3">
      <c r="B240" s="78" t="s">
        <v>1133</v>
      </c>
      <c r="C240" s="49">
        <v>0</v>
      </c>
    </row>
    <row r="242" spans="2:3" x14ac:dyDescent="0.3">
      <c r="B242" s="93">
        <v>45566</v>
      </c>
      <c r="C242" s="130">
        <f>SUM(C220:C240)</f>
        <v>1695065</v>
      </c>
    </row>
    <row r="244" spans="2:3" x14ac:dyDescent="0.3">
      <c r="B244" s="82" t="s">
        <v>153</v>
      </c>
      <c r="C244" s="49">
        <f>+'Recpt 2025'!BT58</f>
        <v>206500</v>
      </c>
    </row>
    <row r="245" spans="2:3" x14ac:dyDescent="0.3">
      <c r="B245" t="s">
        <v>146</v>
      </c>
      <c r="C245" s="49">
        <f>+'Recpt 2025'!BT61</f>
        <v>15000</v>
      </c>
    </row>
    <row r="246" spans="2:3" x14ac:dyDescent="0.3">
      <c r="B246" t="s">
        <v>80</v>
      </c>
      <c r="C246" s="49">
        <v>0</v>
      </c>
    </row>
    <row r="247" spans="2:3" x14ac:dyDescent="0.3">
      <c r="B247" t="s">
        <v>63</v>
      </c>
      <c r="C247" s="49">
        <v>0</v>
      </c>
    </row>
    <row r="248" spans="2:3" x14ac:dyDescent="0.3">
      <c r="B248" t="s">
        <v>64</v>
      </c>
      <c r="C248" s="49">
        <v>0</v>
      </c>
    </row>
    <row r="249" spans="2:3" x14ac:dyDescent="0.3">
      <c r="B249" t="s">
        <v>65</v>
      </c>
      <c r="C249" s="49">
        <v>0</v>
      </c>
    </row>
    <row r="250" spans="2:3" x14ac:dyDescent="0.3">
      <c r="B250" s="82" t="s">
        <v>74</v>
      </c>
      <c r="C250" s="49">
        <f>-'Exp 2024'!X22-'Exp 2024'!X25</f>
        <v>-202854</v>
      </c>
    </row>
    <row r="251" spans="2:3" x14ac:dyDescent="0.3">
      <c r="B251" s="82" t="s">
        <v>73</v>
      </c>
      <c r="C251" s="49">
        <f>-'Exp 2024'!X14</f>
        <v>-26000</v>
      </c>
    </row>
    <row r="252" spans="2:3" x14ac:dyDescent="0.3">
      <c r="B252" t="s">
        <v>81</v>
      </c>
      <c r="C252" s="49">
        <f>-'Exp 2024'!X36</f>
        <v>-15600</v>
      </c>
    </row>
    <row r="253" spans="2:3" x14ac:dyDescent="0.3">
      <c r="B253" s="82" t="s">
        <v>82</v>
      </c>
      <c r="C253" s="49">
        <f>-'Exp 2024'!X86</f>
        <v>-14570</v>
      </c>
    </row>
    <row r="254" spans="2:3" x14ac:dyDescent="0.3">
      <c r="B254" t="s">
        <v>83</v>
      </c>
      <c r="C254" s="49">
        <f>-'Exp 2024'!X56</f>
        <v>-5000</v>
      </c>
    </row>
    <row r="255" spans="2:3" x14ac:dyDescent="0.3">
      <c r="B255" t="s">
        <v>62</v>
      </c>
      <c r="C255" s="49">
        <f>-'Exp 2024'!X33</f>
        <v>-9500</v>
      </c>
    </row>
    <row r="256" spans="2:3" x14ac:dyDescent="0.3">
      <c r="B256" t="s">
        <v>140</v>
      </c>
      <c r="C256" s="49">
        <f>-'Exp 2024'!X46</f>
        <v>-61700</v>
      </c>
    </row>
    <row r="257" spans="2:3" x14ac:dyDescent="0.3">
      <c r="B257" s="82" t="s">
        <v>1164</v>
      </c>
      <c r="C257" s="49">
        <f>-'Exp 2024'!X39</f>
        <v>-267330</v>
      </c>
    </row>
    <row r="258" spans="2:3" x14ac:dyDescent="0.3">
      <c r="B258" t="s">
        <v>135</v>
      </c>
      <c r="C258" s="49">
        <v>0</v>
      </c>
    </row>
    <row r="259" spans="2:3" x14ac:dyDescent="0.3">
      <c r="B259" t="s">
        <v>77</v>
      </c>
      <c r="C259" s="49">
        <f>-'Exp 2024'!X74</f>
        <v>-123000</v>
      </c>
    </row>
    <row r="260" spans="2:3" x14ac:dyDescent="0.3">
      <c r="B260" t="s">
        <v>418</v>
      </c>
      <c r="C260" s="49"/>
    </row>
    <row r="261" spans="2:3" x14ac:dyDescent="0.3">
      <c r="B261" t="s">
        <v>129</v>
      </c>
      <c r="C261" s="49">
        <v>0</v>
      </c>
    </row>
    <row r="262" spans="2:3" x14ac:dyDescent="0.3">
      <c r="B262" t="s">
        <v>850</v>
      </c>
      <c r="C262" s="49">
        <v>0</v>
      </c>
    </row>
    <row r="263" spans="2:3" x14ac:dyDescent="0.3">
      <c r="B263" t="s">
        <v>839</v>
      </c>
      <c r="C263" s="49">
        <f>-'Exp 2024'!X62</f>
        <v>-5600</v>
      </c>
    </row>
    <row r="264" spans="2:3" x14ac:dyDescent="0.3">
      <c r="B264" s="78" t="s">
        <v>1133</v>
      </c>
      <c r="C264" s="49">
        <v>0</v>
      </c>
    </row>
    <row r="266" spans="2:3" x14ac:dyDescent="0.3">
      <c r="B266" s="93">
        <v>45597</v>
      </c>
      <c r="C266" s="130">
        <f>SUM(C244:C264)</f>
        <v>-509654</v>
      </c>
    </row>
    <row r="268" spans="2:3" x14ac:dyDescent="0.3">
      <c r="B268" s="82" t="s">
        <v>153</v>
      </c>
      <c r="C268" s="49">
        <f>+'Recpt 2025'!BW58</f>
        <v>406000</v>
      </c>
    </row>
    <row r="269" spans="2:3" x14ac:dyDescent="0.3">
      <c r="B269" t="s">
        <v>146</v>
      </c>
      <c r="C269" s="49">
        <v>0</v>
      </c>
    </row>
    <row r="270" spans="2:3" x14ac:dyDescent="0.3">
      <c r="B270" t="s">
        <v>80</v>
      </c>
      <c r="C270" s="49">
        <f>+'Recpt 2025'!BW62</f>
        <v>8000</v>
      </c>
    </row>
    <row r="271" spans="2:3" x14ac:dyDescent="0.3">
      <c r="B271" t="s">
        <v>63</v>
      </c>
      <c r="C271" s="49">
        <v>0</v>
      </c>
    </row>
    <row r="272" spans="2:3" x14ac:dyDescent="0.3">
      <c r="B272" t="s">
        <v>64</v>
      </c>
      <c r="C272" s="49">
        <v>0</v>
      </c>
    </row>
    <row r="273" spans="2:3" x14ac:dyDescent="0.3">
      <c r="B273" t="s">
        <v>65</v>
      </c>
      <c r="C273" s="49">
        <v>0</v>
      </c>
    </row>
    <row r="274" spans="2:3" x14ac:dyDescent="0.3">
      <c r="B274" s="82" t="s">
        <v>74</v>
      </c>
      <c r="C274" s="49">
        <f>-'Exp 2024'!Z22-'Exp 2024'!Z25</f>
        <v>-202532</v>
      </c>
    </row>
    <row r="275" spans="2:3" x14ac:dyDescent="0.3">
      <c r="B275" s="82" t="s">
        <v>73</v>
      </c>
      <c r="C275" s="49">
        <f>-'Exp 2024'!Z14</f>
        <v>-52000</v>
      </c>
    </row>
    <row r="276" spans="2:3" x14ac:dyDescent="0.3">
      <c r="B276" t="s">
        <v>81</v>
      </c>
      <c r="C276" s="49">
        <f>-'Exp 2024'!Z36</f>
        <v>-20610</v>
      </c>
    </row>
    <row r="277" spans="2:3" x14ac:dyDescent="0.3">
      <c r="B277" s="82" t="s">
        <v>82</v>
      </c>
      <c r="C277" s="49">
        <f>-'Exp 2024'!Z86</f>
        <v>-2500</v>
      </c>
    </row>
    <row r="278" spans="2:3" x14ac:dyDescent="0.3">
      <c r="B278" t="s">
        <v>83</v>
      </c>
      <c r="C278" s="49">
        <f>-'Exp 2024'!Z56</f>
        <v>0</v>
      </c>
    </row>
    <row r="279" spans="2:3" x14ac:dyDescent="0.3">
      <c r="B279" t="s">
        <v>62</v>
      </c>
      <c r="C279" s="49">
        <f>-'Exp 2024'!Z33</f>
        <v>-112300</v>
      </c>
    </row>
    <row r="280" spans="2:3" x14ac:dyDescent="0.3">
      <c r="B280" t="s">
        <v>140</v>
      </c>
      <c r="C280" s="49">
        <f>-'Exp 2024'!Z46</f>
        <v>-20000</v>
      </c>
    </row>
    <row r="281" spans="2:3" x14ac:dyDescent="0.3">
      <c r="B281" s="82" t="s">
        <v>1191</v>
      </c>
      <c r="C281" s="49">
        <f>-'Exp 2024'!Z39</f>
        <v>-255800</v>
      </c>
    </row>
    <row r="282" spans="2:3" x14ac:dyDescent="0.3">
      <c r="B282" t="s">
        <v>135</v>
      </c>
      <c r="C282" s="49">
        <f>-'Exp 2024'!Z101</f>
        <v>0</v>
      </c>
    </row>
    <row r="283" spans="2:3" x14ac:dyDescent="0.3">
      <c r="B283" t="s">
        <v>77</v>
      </c>
      <c r="C283" s="49">
        <f>-'Exp 2024'!Z74</f>
        <v>0</v>
      </c>
    </row>
    <row r="284" spans="2:3" x14ac:dyDescent="0.3">
      <c r="B284" t="s">
        <v>418</v>
      </c>
      <c r="C284" s="49">
        <f>-'Exp 2024'!Z57-'Exp 2024'!Z58</f>
        <v>-128540</v>
      </c>
    </row>
    <row r="285" spans="2:3" x14ac:dyDescent="0.3">
      <c r="B285" t="s">
        <v>129</v>
      </c>
      <c r="C285" s="49">
        <v>0</v>
      </c>
    </row>
    <row r="286" spans="2:3" x14ac:dyDescent="0.3">
      <c r="B286" t="s">
        <v>850</v>
      </c>
      <c r="C286" s="49">
        <v>0</v>
      </c>
    </row>
    <row r="287" spans="2:3" x14ac:dyDescent="0.3">
      <c r="B287" t="s">
        <v>839</v>
      </c>
      <c r="C287" s="49">
        <f>-'Exp 2024'!Z62</f>
        <v>-46000</v>
      </c>
    </row>
    <row r="288" spans="2:3" x14ac:dyDescent="0.3">
      <c r="B288" s="78" t="s">
        <v>1128</v>
      </c>
      <c r="C288" s="49">
        <f>-'Exp 2024'!Z59</f>
        <v>-12000</v>
      </c>
    </row>
    <row r="290" spans="2:3" x14ac:dyDescent="0.3">
      <c r="B290" s="93">
        <v>45627</v>
      </c>
      <c r="C290" s="130">
        <f>SUM(C268:C288)</f>
        <v>-438282</v>
      </c>
    </row>
    <row r="291" spans="2:3" x14ac:dyDescent="0.3">
      <c r="B291" s="93"/>
      <c r="C291" s="130"/>
    </row>
    <row r="292" spans="2:3" x14ac:dyDescent="0.3">
      <c r="B292" s="98" t="s">
        <v>1407</v>
      </c>
      <c r="C292" s="99">
        <f>+C5+C26+C47+C71+C95+C119+C144+C168+C194+C218+C242+C266+C290</f>
        <v>7140404.5</v>
      </c>
    </row>
    <row r="294" spans="2:3" x14ac:dyDescent="0.3">
      <c r="B294" s="82" t="s">
        <v>153</v>
      </c>
      <c r="C294" s="49">
        <f>+'Recpt 2025'!CA58</f>
        <v>264500</v>
      </c>
    </row>
    <row r="295" spans="2:3" x14ac:dyDescent="0.3">
      <c r="B295" t="s">
        <v>146</v>
      </c>
      <c r="C295" s="49">
        <f>+'Recpt 2025'!CA61</f>
        <v>0</v>
      </c>
    </row>
    <row r="296" spans="2:3" x14ac:dyDescent="0.3">
      <c r="B296" t="s">
        <v>80</v>
      </c>
      <c r="C296" s="49">
        <f>+'Recpt 2025'!CA62</f>
        <v>0</v>
      </c>
    </row>
    <row r="297" spans="2:3" x14ac:dyDescent="0.3">
      <c r="B297" t="s">
        <v>63</v>
      </c>
      <c r="C297" s="49">
        <f>+'Recpt 2025'!CA63</f>
        <v>1791563</v>
      </c>
    </row>
    <row r="298" spans="2:3" x14ac:dyDescent="0.3">
      <c r="B298" t="s">
        <v>64</v>
      </c>
      <c r="C298" s="49">
        <f>+'Recpt 2025'!CA64</f>
        <v>0</v>
      </c>
    </row>
    <row r="299" spans="2:3" x14ac:dyDescent="0.3">
      <c r="B299" t="s">
        <v>65</v>
      </c>
      <c r="C299" s="49">
        <f>+'Recpt 2025'!CA65</f>
        <v>300000</v>
      </c>
    </row>
    <row r="300" spans="2:3" x14ac:dyDescent="0.3">
      <c r="B300" t="s">
        <v>1405</v>
      </c>
      <c r="C300" s="49">
        <f>+'Recpt 2025'!CA66</f>
        <v>10000</v>
      </c>
    </row>
    <row r="301" spans="2:3" x14ac:dyDescent="0.3">
      <c r="B301" s="82" t="s">
        <v>74</v>
      </c>
      <c r="C301" s="49">
        <f>-'Exp 2025'!AC23-'Exp 2025'!AC26</f>
        <v>-216000</v>
      </c>
    </row>
    <row r="302" spans="2:3" x14ac:dyDescent="0.3">
      <c r="B302" s="82" t="s">
        <v>73</v>
      </c>
      <c r="C302" s="49">
        <f>-'Exp 2025'!AC14</f>
        <v>0</v>
      </c>
    </row>
    <row r="303" spans="2:3" x14ac:dyDescent="0.3">
      <c r="B303" t="s">
        <v>81</v>
      </c>
      <c r="C303" s="49">
        <f>-'Exp 2025'!AC37</f>
        <v>-29300</v>
      </c>
    </row>
    <row r="304" spans="2:3" x14ac:dyDescent="0.3">
      <c r="B304" s="82" t="s">
        <v>82</v>
      </c>
      <c r="C304" s="49">
        <f>-'Exp 2025'!AC87</f>
        <v>-42020</v>
      </c>
    </row>
    <row r="305" spans="2:3" x14ac:dyDescent="0.3">
      <c r="B305" t="s">
        <v>83</v>
      </c>
      <c r="C305" s="49">
        <f>-'Exp 2025'!AC57</f>
        <v>-58900</v>
      </c>
    </row>
    <row r="306" spans="2:3" x14ac:dyDescent="0.3">
      <c r="B306" t="s">
        <v>62</v>
      </c>
      <c r="C306" s="49">
        <f>-'Exp 2025'!AC34</f>
        <v>-22000</v>
      </c>
    </row>
    <row r="307" spans="2:3" x14ac:dyDescent="0.3">
      <c r="B307" t="s">
        <v>140</v>
      </c>
      <c r="C307" s="49">
        <f>-'Exp 2025'!AC47</f>
        <v>0</v>
      </c>
    </row>
    <row r="308" spans="2:3" x14ac:dyDescent="0.3">
      <c r="B308" s="82" t="s">
        <v>1406</v>
      </c>
      <c r="C308" s="49">
        <f>-'Exp 2025'!AC40</f>
        <v>-204057</v>
      </c>
    </row>
    <row r="309" spans="2:3" x14ac:dyDescent="0.3">
      <c r="B309" t="s">
        <v>135</v>
      </c>
      <c r="C309" s="49">
        <f>-'Exp 2025'!AC104</f>
        <v>0</v>
      </c>
    </row>
    <row r="310" spans="2:3" x14ac:dyDescent="0.3">
      <c r="B310" t="s">
        <v>77</v>
      </c>
      <c r="C310" s="49">
        <f>-'Exp 2025'!AC75</f>
        <v>0</v>
      </c>
    </row>
    <row r="311" spans="2:3" x14ac:dyDescent="0.3">
      <c r="B311" t="s">
        <v>418</v>
      </c>
      <c r="C311" s="49">
        <f>-'Exp 2025'!AC58+'Exp 2025'!AC59</f>
        <v>0</v>
      </c>
    </row>
    <row r="312" spans="2:3" x14ac:dyDescent="0.3">
      <c r="B312" t="s">
        <v>129</v>
      </c>
      <c r="C312" s="49">
        <f>-'Exp 2025'!AC93</f>
        <v>0</v>
      </c>
    </row>
    <row r="313" spans="2:3" x14ac:dyDescent="0.3">
      <c r="B313" t="s">
        <v>850</v>
      </c>
      <c r="C313" s="49">
        <f>-'Exp 2025'!AC100</f>
        <v>0</v>
      </c>
    </row>
    <row r="314" spans="2:3" x14ac:dyDescent="0.3">
      <c r="B314" t="s">
        <v>839</v>
      </c>
      <c r="C314" s="49">
        <f>-'Exp 2025'!AC63</f>
        <v>0</v>
      </c>
    </row>
    <row r="315" spans="2:3" x14ac:dyDescent="0.3">
      <c r="B315" s="78" t="s">
        <v>1128</v>
      </c>
      <c r="C315" s="49">
        <f>-'Exp 2025'!AC60</f>
        <v>0</v>
      </c>
    </row>
    <row r="317" spans="2:3" x14ac:dyDescent="0.3">
      <c r="B317" s="93">
        <v>45658</v>
      </c>
      <c r="C317" s="130">
        <f>SUM(C294:C315)</f>
        <v>1793786</v>
      </c>
    </row>
    <row r="319" spans="2:3" x14ac:dyDescent="0.3">
      <c r="B319" s="82" t="s">
        <v>153</v>
      </c>
      <c r="C319" s="49">
        <f>+'Recpt 2025'!CD58</f>
        <v>161000</v>
      </c>
    </row>
    <row r="320" spans="2:3" x14ac:dyDescent="0.3">
      <c r="B320" t="s">
        <v>146</v>
      </c>
      <c r="C320" s="49">
        <f>+'Recpt 2025'!CD61</f>
        <v>0</v>
      </c>
    </row>
    <row r="321" spans="2:3" x14ac:dyDescent="0.3">
      <c r="B321" t="s">
        <v>80</v>
      </c>
      <c r="C321" s="49">
        <v>0</v>
      </c>
    </row>
    <row r="322" spans="2:3" x14ac:dyDescent="0.3">
      <c r="B322" t="s">
        <v>63</v>
      </c>
      <c r="C322" s="49">
        <v>0</v>
      </c>
    </row>
    <row r="323" spans="2:3" x14ac:dyDescent="0.3">
      <c r="B323" t="s">
        <v>64</v>
      </c>
      <c r="C323" s="49">
        <v>0</v>
      </c>
    </row>
    <row r="324" spans="2:3" x14ac:dyDescent="0.3">
      <c r="B324" t="s">
        <v>65</v>
      </c>
      <c r="C324" s="49">
        <v>0</v>
      </c>
    </row>
    <row r="325" spans="2:3" x14ac:dyDescent="0.3">
      <c r="B325" t="s">
        <v>1408</v>
      </c>
      <c r="C325" s="49">
        <f>+'Recpt 2025'!CD66</f>
        <v>60000</v>
      </c>
    </row>
    <row r="326" spans="2:3" x14ac:dyDescent="0.3">
      <c r="B326" s="82" t="s">
        <v>74</v>
      </c>
      <c r="C326" s="49">
        <f>-'Exp 2025'!AE23-'Exp 2025'!AE26</f>
        <v>-216000</v>
      </c>
    </row>
    <row r="327" spans="2:3" x14ac:dyDescent="0.3">
      <c r="B327" s="82" t="s">
        <v>73</v>
      </c>
      <c r="C327" s="49">
        <f>-'Exp 2025'!AE14</f>
        <v>-13000</v>
      </c>
    </row>
    <row r="328" spans="2:3" x14ac:dyDescent="0.3">
      <c r="B328" t="s">
        <v>81</v>
      </c>
      <c r="C328" s="49">
        <f>-'Exp 2025'!AE37</f>
        <v>-35300</v>
      </c>
    </row>
    <row r="329" spans="2:3" x14ac:dyDescent="0.3">
      <c r="B329" s="82" t="s">
        <v>82</v>
      </c>
      <c r="C329" s="49">
        <f>-'Exp 2025'!AE87</f>
        <v>-7080</v>
      </c>
    </row>
    <row r="330" spans="2:3" x14ac:dyDescent="0.3">
      <c r="B330" t="s">
        <v>83</v>
      </c>
      <c r="C330" s="49">
        <f>-'Exp 2025'!AE57</f>
        <v>-5000</v>
      </c>
    </row>
    <row r="331" spans="2:3" x14ac:dyDescent="0.3">
      <c r="B331" t="s">
        <v>62</v>
      </c>
      <c r="C331" s="49">
        <f>-'Exp 2025'!AE34</f>
        <v>-13200</v>
      </c>
    </row>
    <row r="332" spans="2:3" x14ac:dyDescent="0.3">
      <c r="B332" t="s">
        <v>140</v>
      </c>
      <c r="C332" s="49">
        <f>-'Exp 2025'!AE47</f>
        <v>0</v>
      </c>
    </row>
    <row r="333" spans="2:3" x14ac:dyDescent="0.3">
      <c r="B333" s="82" t="s">
        <v>1416</v>
      </c>
      <c r="C333" s="49">
        <f>-'Exp 2025'!AE40</f>
        <v>-192348</v>
      </c>
    </row>
    <row r="334" spans="2:3" x14ac:dyDescent="0.3">
      <c r="B334" t="s">
        <v>135</v>
      </c>
      <c r="C334" s="49">
        <f>-'Exp 2025'!AE104</f>
        <v>0</v>
      </c>
    </row>
    <row r="335" spans="2:3" x14ac:dyDescent="0.3">
      <c r="B335" t="s">
        <v>77</v>
      </c>
      <c r="C335" s="49">
        <f>-'Exp 2025'!AE75</f>
        <v>0</v>
      </c>
    </row>
    <row r="336" spans="2:3" x14ac:dyDescent="0.3">
      <c r="B336" t="s">
        <v>418</v>
      </c>
      <c r="C336" s="49">
        <v>0</v>
      </c>
    </row>
    <row r="337" spans="2:3" x14ac:dyDescent="0.3">
      <c r="B337" t="s">
        <v>129</v>
      </c>
      <c r="C337" s="49">
        <v>0</v>
      </c>
    </row>
    <row r="338" spans="2:3" x14ac:dyDescent="0.3">
      <c r="B338" t="s">
        <v>850</v>
      </c>
      <c r="C338" s="49">
        <f>-'Exp 2025'!AE100</f>
        <v>-51400</v>
      </c>
    </row>
    <row r="339" spans="2:3" x14ac:dyDescent="0.3">
      <c r="B339" t="s">
        <v>839</v>
      </c>
      <c r="C339" s="49">
        <v>0</v>
      </c>
    </row>
    <row r="340" spans="2:3" x14ac:dyDescent="0.3">
      <c r="B340" s="78" t="s">
        <v>1128</v>
      </c>
      <c r="C340" s="49">
        <v>0</v>
      </c>
    </row>
    <row r="341" spans="2:3" x14ac:dyDescent="0.3">
      <c r="B341" s="3" t="s">
        <v>1409</v>
      </c>
      <c r="C341" s="49">
        <f>-'Exp 2025'!AE109</f>
        <v>-25000</v>
      </c>
    </row>
    <row r="342" spans="2:3" x14ac:dyDescent="0.3">
      <c r="B342" t="s">
        <v>1411</v>
      </c>
      <c r="C342" s="49">
        <f>-'Exp 2025'!AE112</f>
        <v>-220000</v>
      </c>
    </row>
    <row r="343" spans="2:3" x14ac:dyDescent="0.3">
      <c r="C343" s="49"/>
    </row>
    <row r="344" spans="2:3" x14ac:dyDescent="0.3">
      <c r="B344" s="93">
        <v>45689</v>
      </c>
      <c r="C344" s="130">
        <f>SUM(C319:C342)</f>
        <v>-557328</v>
      </c>
    </row>
    <row r="346" spans="2:3" x14ac:dyDescent="0.3">
      <c r="B346" s="82" t="s">
        <v>153</v>
      </c>
      <c r="C346" s="49">
        <f>+'Recpt 2025'!CG58</f>
        <v>257000</v>
      </c>
    </row>
    <row r="347" spans="2:3" x14ac:dyDescent="0.3">
      <c r="B347" t="s">
        <v>146</v>
      </c>
      <c r="C347" s="49">
        <v>0</v>
      </c>
    </row>
    <row r="348" spans="2:3" x14ac:dyDescent="0.3">
      <c r="B348" t="s">
        <v>80</v>
      </c>
      <c r="C348" s="49">
        <v>0</v>
      </c>
    </row>
    <row r="349" spans="2:3" x14ac:dyDescent="0.3">
      <c r="B349" t="s">
        <v>63</v>
      </c>
      <c r="C349" s="49">
        <v>0</v>
      </c>
    </row>
    <row r="350" spans="2:3" x14ac:dyDescent="0.3">
      <c r="B350" t="s">
        <v>64</v>
      </c>
      <c r="C350" s="49">
        <f>+'Recpt 2025'!CG64</f>
        <v>100000</v>
      </c>
    </row>
    <row r="351" spans="2:3" x14ac:dyDescent="0.3">
      <c r="B351" t="s">
        <v>65</v>
      </c>
      <c r="C351" s="49">
        <v>0</v>
      </c>
    </row>
    <row r="352" spans="2:3" x14ac:dyDescent="0.3">
      <c r="B352" t="s">
        <v>1408</v>
      </c>
      <c r="C352" s="49">
        <v>0</v>
      </c>
    </row>
    <row r="353" spans="2:3" x14ac:dyDescent="0.3">
      <c r="B353" s="82" t="s">
        <v>74</v>
      </c>
      <c r="C353" s="49">
        <f>-'Exp 2025'!AG23-'Exp 2025'!AG26</f>
        <v>-221600</v>
      </c>
    </row>
    <row r="354" spans="2:3" x14ac:dyDescent="0.3">
      <c r="B354" s="82" t="s">
        <v>73</v>
      </c>
      <c r="C354" s="49">
        <f>-'Exp 2025'!AG14</f>
        <v>-13000</v>
      </c>
    </row>
    <row r="355" spans="2:3" x14ac:dyDescent="0.3">
      <c r="B355" t="s">
        <v>81</v>
      </c>
      <c r="C355" s="49">
        <f>-'Exp 2025'!AG37</f>
        <v>-24690</v>
      </c>
    </row>
    <row r="356" spans="2:3" x14ac:dyDescent="0.3">
      <c r="B356" s="82" t="s">
        <v>82</v>
      </c>
      <c r="C356" s="49">
        <f>-'Exp 2025'!AG87</f>
        <v>-32700</v>
      </c>
    </row>
    <row r="357" spans="2:3" x14ac:dyDescent="0.3">
      <c r="B357" t="s">
        <v>83</v>
      </c>
      <c r="C357" s="49">
        <f>-'Exp 2025'!AG57</f>
        <v>0</v>
      </c>
    </row>
    <row r="358" spans="2:3" x14ac:dyDescent="0.3">
      <c r="B358" t="s">
        <v>62</v>
      </c>
      <c r="C358" s="49">
        <f>-'Exp 2025'!AG34</f>
        <v>-10900</v>
      </c>
    </row>
    <row r="359" spans="2:3" x14ac:dyDescent="0.3">
      <c r="B359" t="s">
        <v>140</v>
      </c>
      <c r="C359" s="49">
        <f>-'Exp 2025'!AG47</f>
        <v>-27150</v>
      </c>
    </row>
    <row r="360" spans="2:3" x14ac:dyDescent="0.3">
      <c r="B360" s="82" t="s">
        <v>1415</v>
      </c>
      <c r="C360" s="49">
        <f>-'Exp 2025'!AG40</f>
        <v>-216757</v>
      </c>
    </row>
    <row r="361" spans="2:3" x14ac:dyDescent="0.3">
      <c r="B361" t="s">
        <v>135</v>
      </c>
      <c r="C361" s="49">
        <f>-'Exp 2025'!AG104</f>
        <v>-420000</v>
      </c>
    </row>
    <row r="362" spans="2:3" x14ac:dyDescent="0.3">
      <c r="B362" t="s">
        <v>77</v>
      </c>
      <c r="C362" s="49">
        <f>-'Exp 2025'!AG75</f>
        <v>0</v>
      </c>
    </row>
    <row r="363" spans="2:3" x14ac:dyDescent="0.3">
      <c r="B363" t="s">
        <v>418</v>
      </c>
      <c r="C363" s="49">
        <f>-'Exp 2025'!AG58</f>
        <v>0</v>
      </c>
    </row>
    <row r="364" spans="2:3" x14ac:dyDescent="0.3">
      <c r="B364" t="s">
        <v>129</v>
      </c>
      <c r="C364" s="49">
        <v>0</v>
      </c>
    </row>
    <row r="365" spans="2:3" x14ac:dyDescent="0.3">
      <c r="B365" t="s">
        <v>850</v>
      </c>
      <c r="C365" s="49">
        <f>-'Exp 2025'!AG100</f>
        <v>-147561</v>
      </c>
    </row>
    <row r="366" spans="2:3" x14ac:dyDescent="0.3">
      <c r="B366" s="78" t="s">
        <v>1413</v>
      </c>
      <c r="C366" s="49">
        <f>-'Exp 2025'!AG116</f>
        <v>-350000</v>
      </c>
    </row>
    <row r="367" spans="2:3" x14ac:dyDescent="0.3">
      <c r="B367" s="78" t="s">
        <v>1417</v>
      </c>
      <c r="C367" s="49">
        <f>-'Exp 2025'!AG70</f>
        <v>-400</v>
      </c>
    </row>
    <row r="368" spans="2:3" x14ac:dyDescent="0.3">
      <c r="B368" s="3" t="s">
        <v>1409</v>
      </c>
      <c r="C368" s="49">
        <v>0</v>
      </c>
    </row>
    <row r="369" spans="2:3" x14ac:dyDescent="0.3">
      <c r="B369" t="s">
        <v>1411</v>
      </c>
      <c r="C369" s="49">
        <v>0</v>
      </c>
    </row>
    <row r="370" spans="2:3" x14ac:dyDescent="0.3">
      <c r="C370" s="49"/>
    </row>
    <row r="371" spans="2:3" x14ac:dyDescent="0.3">
      <c r="B371" s="93">
        <v>45717</v>
      </c>
      <c r="C371" s="130">
        <f>SUM(C346:C369)</f>
        <v>-1107758</v>
      </c>
    </row>
    <row r="373" spans="2:3" x14ac:dyDescent="0.3">
      <c r="B373" s="82" t="s">
        <v>153</v>
      </c>
      <c r="C373" s="49">
        <f>+'Recpt 2025'!CJ58</f>
        <v>120500</v>
      </c>
    </row>
    <row r="374" spans="2:3" x14ac:dyDescent="0.3">
      <c r="B374" t="s">
        <v>146</v>
      </c>
      <c r="C374" s="49">
        <f>+'Recpt 2025'!CJ61</f>
        <v>0</v>
      </c>
    </row>
    <row r="375" spans="2:3" x14ac:dyDescent="0.3">
      <c r="B375" t="s">
        <v>80</v>
      </c>
      <c r="C375" s="49">
        <f>+'Recpt 2025'!CJ62</f>
        <v>0</v>
      </c>
    </row>
    <row r="376" spans="2:3" x14ac:dyDescent="0.3">
      <c r="B376" t="s">
        <v>63</v>
      </c>
      <c r="C376" s="49">
        <f>+'Recpt 2025'!CJ63</f>
        <v>0</v>
      </c>
    </row>
    <row r="377" spans="2:3" x14ac:dyDescent="0.3">
      <c r="B377" t="s">
        <v>64</v>
      </c>
      <c r="C377" s="49">
        <f>+'Recpt 2025'!CJ64</f>
        <v>0</v>
      </c>
    </row>
    <row r="378" spans="2:3" x14ac:dyDescent="0.3">
      <c r="B378" t="s">
        <v>65</v>
      </c>
      <c r="C378" s="49">
        <f>+'Recpt 2025'!CJ65</f>
        <v>300000</v>
      </c>
    </row>
    <row r="379" spans="2:3" x14ac:dyDescent="0.3">
      <c r="B379" t="s">
        <v>1408</v>
      </c>
      <c r="C379" s="49">
        <v>0</v>
      </c>
    </row>
    <row r="380" spans="2:3" x14ac:dyDescent="0.3">
      <c r="B380" s="82" t="s">
        <v>74</v>
      </c>
      <c r="C380" s="49">
        <f>-'Exp 2025'!AI23-'Exp 2025'!AI26</f>
        <v>-215000</v>
      </c>
    </row>
    <row r="381" spans="2:3" x14ac:dyDescent="0.3">
      <c r="B381" s="82" t="s">
        <v>73</v>
      </c>
      <c r="C381" s="49">
        <f>-'Exp 2025'!AI14</f>
        <v>0</v>
      </c>
    </row>
    <row r="382" spans="2:3" x14ac:dyDescent="0.3">
      <c r="B382" t="s">
        <v>81</v>
      </c>
      <c r="C382" s="49">
        <f>-'Exp 2025'!AI37</f>
        <v>-24000</v>
      </c>
    </row>
    <row r="383" spans="2:3" x14ac:dyDescent="0.3">
      <c r="B383" s="82" t="s">
        <v>82</v>
      </c>
      <c r="C383" s="49">
        <f>-'Exp 2025'!AI87</f>
        <v>-123670</v>
      </c>
    </row>
    <row r="384" spans="2:3" x14ac:dyDescent="0.3">
      <c r="B384" t="s">
        <v>83</v>
      </c>
      <c r="C384" s="49">
        <f>-'Exp 2025'!AI57</f>
        <v>-5000</v>
      </c>
    </row>
    <row r="385" spans="2:3" x14ac:dyDescent="0.3">
      <c r="B385" t="s">
        <v>62</v>
      </c>
      <c r="C385" s="49">
        <f>-'Exp 2025'!AI34</f>
        <v>-98400</v>
      </c>
    </row>
    <row r="386" spans="2:3" x14ac:dyDescent="0.3">
      <c r="B386" t="s">
        <v>140</v>
      </c>
      <c r="C386" s="49">
        <f>-'Exp 2025'!AI47</f>
        <v>-6980</v>
      </c>
    </row>
    <row r="387" spans="2:3" x14ac:dyDescent="0.3">
      <c r="B387" s="82" t="s">
        <v>1422</v>
      </c>
      <c r="C387" s="49">
        <f>-'Exp 2025'!AI40</f>
        <v>-245053</v>
      </c>
    </row>
    <row r="388" spans="2:3" x14ac:dyDescent="0.3">
      <c r="B388" t="s">
        <v>135</v>
      </c>
      <c r="C388" s="49">
        <f>-'Exp 2025'!AI104</f>
        <v>0</v>
      </c>
    </row>
    <row r="389" spans="2:3" x14ac:dyDescent="0.3">
      <c r="B389" t="s">
        <v>77</v>
      </c>
      <c r="C389" s="49">
        <v>0</v>
      </c>
    </row>
    <row r="390" spans="2:3" x14ac:dyDescent="0.3">
      <c r="B390" t="s">
        <v>418</v>
      </c>
      <c r="C390" s="49">
        <f>-'Exp 2025'!AI62</f>
        <v>-27510</v>
      </c>
    </row>
    <row r="391" spans="2:3" x14ac:dyDescent="0.3">
      <c r="B391" t="s">
        <v>129</v>
      </c>
      <c r="C391" s="49">
        <v>0</v>
      </c>
    </row>
    <row r="392" spans="2:3" x14ac:dyDescent="0.3">
      <c r="B392" t="s">
        <v>850</v>
      </c>
      <c r="C392" s="49">
        <f>-'Exp 2025'!AI100</f>
        <v>0</v>
      </c>
    </row>
    <row r="393" spans="2:3" x14ac:dyDescent="0.3">
      <c r="B393" s="78" t="s">
        <v>1425</v>
      </c>
      <c r="C393" s="49">
        <f>-'Exp 2025'!AI115</f>
        <v>-20600</v>
      </c>
    </row>
    <row r="394" spans="2:3" x14ac:dyDescent="0.3">
      <c r="B394" s="78" t="s">
        <v>1417</v>
      </c>
      <c r="C394" s="49">
        <f>-'Exp 2025'!AI70</f>
        <v>-19600</v>
      </c>
    </row>
    <row r="395" spans="2:3" x14ac:dyDescent="0.3">
      <c r="B395" s="3" t="s">
        <v>1409</v>
      </c>
      <c r="C395" s="49">
        <v>0</v>
      </c>
    </row>
    <row r="396" spans="2:3" x14ac:dyDescent="0.3">
      <c r="B396" t="s">
        <v>1411</v>
      </c>
      <c r="C396" s="49">
        <v>0</v>
      </c>
    </row>
    <row r="397" spans="2:3" x14ac:dyDescent="0.3">
      <c r="C397" s="49"/>
    </row>
    <row r="398" spans="2:3" x14ac:dyDescent="0.3">
      <c r="B398" s="93">
        <v>45748</v>
      </c>
      <c r="C398" s="130">
        <f>SUM(C373:C396)</f>
        <v>-365313</v>
      </c>
    </row>
    <row r="400" spans="2:3" x14ac:dyDescent="0.3">
      <c r="B400" s="82" t="s">
        <v>153</v>
      </c>
      <c r="C400" s="49">
        <f>+'Recpt 2025'!CM58</f>
        <v>157500</v>
      </c>
    </row>
    <row r="401" spans="2:3" x14ac:dyDescent="0.3">
      <c r="B401" t="s">
        <v>146</v>
      </c>
      <c r="C401" s="49">
        <f>+'Recpt 2025'!CM61</f>
        <v>0</v>
      </c>
    </row>
    <row r="402" spans="2:3" x14ac:dyDescent="0.3">
      <c r="B402" t="s">
        <v>80</v>
      </c>
      <c r="C402" s="49">
        <f>+'Recpt 2025'!CM62</f>
        <v>8000</v>
      </c>
    </row>
    <row r="403" spans="2:3" x14ac:dyDescent="0.3">
      <c r="B403" t="s">
        <v>63</v>
      </c>
      <c r="C403" s="49">
        <f>+'Recpt 2025'!CM63</f>
        <v>1791562.625</v>
      </c>
    </row>
    <row r="404" spans="2:3" x14ac:dyDescent="0.3">
      <c r="B404" t="s">
        <v>64</v>
      </c>
      <c r="C404" s="49">
        <f>+'Recpt 2025'!CM64</f>
        <v>0</v>
      </c>
    </row>
    <row r="405" spans="2:3" x14ac:dyDescent="0.3">
      <c r="B405" t="s">
        <v>65</v>
      </c>
      <c r="C405" s="49">
        <f>+'Recpt 2025'!CM65</f>
        <v>0</v>
      </c>
    </row>
    <row r="406" spans="2:3" x14ac:dyDescent="0.3">
      <c r="B406" t="s">
        <v>1408</v>
      </c>
      <c r="C406" s="49">
        <v>0</v>
      </c>
    </row>
    <row r="407" spans="2:3" x14ac:dyDescent="0.3">
      <c r="B407" s="82" t="s">
        <v>74</v>
      </c>
      <c r="C407" s="49">
        <f>-'Exp 2025'!AK23-'Exp 2025'!AK26</f>
        <v>-214000</v>
      </c>
    </row>
    <row r="408" spans="2:3" x14ac:dyDescent="0.3">
      <c r="B408" s="82" t="s">
        <v>73</v>
      </c>
      <c r="C408" s="49">
        <f>-'Exp 2025'!AK14</f>
        <v>-18000</v>
      </c>
    </row>
    <row r="409" spans="2:3" x14ac:dyDescent="0.3">
      <c r="B409" t="s">
        <v>81</v>
      </c>
      <c r="C409" s="49">
        <f>-'Exp 2025'!AK37</f>
        <v>-12750</v>
      </c>
    </row>
    <row r="410" spans="2:3" x14ac:dyDescent="0.3">
      <c r="B410" s="82" t="s">
        <v>82</v>
      </c>
      <c r="C410" s="49">
        <f>-'Exp 2025'!AK87</f>
        <v>-2000</v>
      </c>
    </row>
    <row r="411" spans="2:3" x14ac:dyDescent="0.3">
      <c r="B411" t="s">
        <v>83</v>
      </c>
      <c r="C411" s="49">
        <f>-'Exp 2025'!AK57</f>
        <v>-15000</v>
      </c>
    </row>
    <row r="412" spans="2:3" x14ac:dyDescent="0.3">
      <c r="B412" t="s">
        <v>62</v>
      </c>
      <c r="C412" s="49">
        <f>-'Exp 2025'!AK34</f>
        <v>-11100</v>
      </c>
    </row>
    <row r="413" spans="2:3" x14ac:dyDescent="0.3">
      <c r="B413" t="s">
        <v>140</v>
      </c>
      <c r="C413" s="49">
        <f>-'Exp 2025'!AK47</f>
        <v>-20000</v>
      </c>
    </row>
    <row r="414" spans="2:3" x14ac:dyDescent="0.3">
      <c r="B414" s="82" t="s">
        <v>1421</v>
      </c>
      <c r="C414" s="49">
        <f>-'Exp 2025'!AK40</f>
        <v>-245240</v>
      </c>
    </row>
    <row r="415" spans="2:3" x14ac:dyDescent="0.3">
      <c r="B415" t="s">
        <v>135</v>
      </c>
      <c r="C415" s="49">
        <f>-'Exp 2025'!AK104</f>
        <v>0</v>
      </c>
    </row>
    <row r="416" spans="2:3" x14ac:dyDescent="0.3">
      <c r="B416" t="s">
        <v>77</v>
      </c>
      <c r="C416" s="49">
        <v>0</v>
      </c>
    </row>
    <row r="417" spans="2:3" x14ac:dyDescent="0.3">
      <c r="B417" t="s">
        <v>418</v>
      </c>
      <c r="C417" s="49">
        <v>0</v>
      </c>
    </row>
    <row r="418" spans="2:3" x14ac:dyDescent="0.3">
      <c r="B418" t="s">
        <v>129</v>
      </c>
      <c r="C418" s="49">
        <f>-'Exp 2025'!AK93</f>
        <v>-17500</v>
      </c>
    </row>
    <row r="419" spans="2:3" x14ac:dyDescent="0.3">
      <c r="B419" t="s">
        <v>850</v>
      </c>
      <c r="C419" s="49">
        <v>0</v>
      </c>
    </row>
    <row r="420" spans="2:3" x14ac:dyDescent="0.3">
      <c r="B420" s="78" t="s">
        <v>1425</v>
      </c>
      <c r="C420" s="49">
        <f>-'Exp 2025'!AK116</f>
        <v>-150000</v>
      </c>
    </row>
    <row r="421" spans="2:3" x14ac:dyDescent="0.3">
      <c r="B421" s="78" t="s">
        <v>1417</v>
      </c>
      <c r="C421" s="49">
        <f>-'Exp 2025'!AK70</f>
        <v>0</v>
      </c>
    </row>
    <row r="422" spans="2:3" x14ac:dyDescent="0.3">
      <c r="B422" s="3" t="s">
        <v>1409</v>
      </c>
      <c r="C422" s="49">
        <v>0</v>
      </c>
    </row>
    <row r="423" spans="2:3" x14ac:dyDescent="0.3">
      <c r="B423" t="s">
        <v>1411</v>
      </c>
      <c r="C423" s="49">
        <v>0</v>
      </c>
    </row>
    <row r="424" spans="2:3" x14ac:dyDescent="0.3">
      <c r="C424" s="49"/>
    </row>
    <row r="425" spans="2:3" x14ac:dyDescent="0.3">
      <c r="B425" s="93">
        <v>45778</v>
      </c>
      <c r="C425" s="130">
        <f>SUM(C400:C423)</f>
        <v>1251472.625</v>
      </c>
    </row>
    <row r="427" spans="2:3" x14ac:dyDescent="0.3">
      <c r="B427" s="82" t="s">
        <v>153</v>
      </c>
      <c r="C427" s="49">
        <f>+'Recpt 2025'!CP58</f>
        <v>215500</v>
      </c>
    </row>
    <row r="428" spans="2:3" x14ac:dyDescent="0.3">
      <c r="B428" t="s">
        <v>146</v>
      </c>
      <c r="C428" s="49">
        <f>+'Recpt 2025'!CP61</f>
        <v>0</v>
      </c>
    </row>
    <row r="429" spans="2:3" x14ac:dyDescent="0.3">
      <c r="B429" t="s">
        <v>80</v>
      </c>
      <c r="C429" s="49">
        <f>+'Recpt 2025'!CP62</f>
        <v>4000</v>
      </c>
    </row>
    <row r="430" spans="2:3" x14ac:dyDescent="0.3">
      <c r="B430" t="s">
        <v>63</v>
      </c>
      <c r="C430" s="49">
        <f>+'Recpt 2025'!CP63</f>
        <v>0</v>
      </c>
    </row>
    <row r="431" spans="2:3" x14ac:dyDescent="0.3">
      <c r="B431" t="s">
        <v>64</v>
      </c>
      <c r="C431" s="49">
        <f>+'Recpt 2025'!CP64</f>
        <v>0</v>
      </c>
    </row>
    <row r="432" spans="2:3" x14ac:dyDescent="0.3">
      <c r="B432" t="s">
        <v>65</v>
      </c>
      <c r="C432" s="49">
        <f>+'Recpt 2025'!CP65</f>
        <v>0</v>
      </c>
    </row>
    <row r="433" spans="2:3" x14ac:dyDescent="0.3">
      <c r="B433" t="s">
        <v>1408</v>
      </c>
      <c r="C433" s="49">
        <v>0</v>
      </c>
    </row>
    <row r="434" spans="2:3" x14ac:dyDescent="0.3">
      <c r="B434" s="82" t="s">
        <v>74</v>
      </c>
      <c r="C434" s="49">
        <f>-'Exp 2025'!AM23-'Exp 2025'!AM26</f>
        <v>-235100</v>
      </c>
    </row>
    <row r="435" spans="2:3" x14ac:dyDescent="0.3">
      <c r="B435" s="82" t="s">
        <v>73</v>
      </c>
      <c r="C435" s="49">
        <f>-'Exp 2025'!AM14</f>
        <v>-18000</v>
      </c>
    </row>
    <row r="436" spans="2:3" x14ac:dyDescent="0.3">
      <c r="B436" t="s">
        <v>81</v>
      </c>
      <c r="C436" s="49">
        <f>-'Exp 2025'!AM37</f>
        <v>-25100</v>
      </c>
    </row>
    <row r="437" spans="2:3" x14ac:dyDescent="0.3">
      <c r="B437" s="82" t="s">
        <v>82</v>
      </c>
      <c r="C437" s="49">
        <f>-'Exp 2025'!AM87</f>
        <v>0</v>
      </c>
    </row>
    <row r="438" spans="2:3" x14ac:dyDescent="0.3">
      <c r="B438" t="s">
        <v>83</v>
      </c>
      <c r="C438" s="49">
        <f>-'Exp 2025'!AM57</f>
        <v>-10000</v>
      </c>
    </row>
    <row r="439" spans="2:3" x14ac:dyDescent="0.3">
      <c r="B439" t="s">
        <v>62</v>
      </c>
      <c r="C439" s="49">
        <f>-'Exp 2025'!AM34</f>
        <v>-12500</v>
      </c>
    </row>
    <row r="440" spans="2:3" x14ac:dyDescent="0.3">
      <c r="B440" t="s">
        <v>140</v>
      </c>
      <c r="C440" s="49">
        <f>-'Exp 2025'!AM47</f>
        <v>-5250</v>
      </c>
    </row>
    <row r="441" spans="2:3" x14ac:dyDescent="0.3">
      <c r="B441" s="82" t="s">
        <v>1441</v>
      </c>
      <c r="C441" s="49">
        <f>-'Exp 2025'!AM40</f>
        <v>-249608</v>
      </c>
    </row>
    <row r="442" spans="2:3" x14ac:dyDescent="0.3">
      <c r="B442" t="s">
        <v>135</v>
      </c>
      <c r="C442" s="49">
        <f>-'Exp 2025'!AM109</f>
        <v>0</v>
      </c>
    </row>
    <row r="443" spans="2:3" x14ac:dyDescent="0.3">
      <c r="B443" t="s">
        <v>77</v>
      </c>
      <c r="C443" s="49">
        <f>-'Exp 2025'!AM75</f>
        <v>-250000</v>
      </c>
    </row>
    <row r="444" spans="2:3" x14ac:dyDescent="0.3">
      <c r="B444" t="s">
        <v>418</v>
      </c>
      <c r="C444" s="49">
        <f>-'Exp 2025'!AM58</f>
        <v>0</v>
      </c>
    </row>
    <row r="445" spans="2:3" x14ac:dyDescent="0.3">
      <c r="B445" t="s">
        <v>129</v>
      </c>
      <c r="C445" s="49">
        <f>-'Exp 2025'!AM93</f>
        <v>-14000</v>
      </c>
    </row>
    <row r="446" spans="2:3" x14ac:dyDescent="0.3">
      <c r="B446" t="s">
        <v>850</v>
      </c>
      <c r="C446" s="49">
        <f>-'Exp 2025'!AM100</f>
        <v>0</v>
      </c>
    </row>
    <row r="447" spans="2:3" x14ac:dyDescent="0.3">
      <c r="B447" s="78" t="s">
        <v>1425</v>
      </c>
      <c r="C447" s="49">
        <f>-'Exp 2025'!AM116</f>
        <v>0</v>
      </c>
    </row>
    <row r="448" spans="2:3" x14ac:dyDescent="0.3">
      <c r="B448" s="78" t="s">
        <v>1417</v>
      </c>
      <c r="C448" s="49">
        <v>0</v>
      </c>
    </row>
    <row r="449" spans="2:3" x14ac:dyDescent="0.3">
      <c r="B449" s="3" t="s">
        <v>1409</v>
      </c>
      <c r="C449" s="49">
        <v>0</v>
      </c>
    </row>
    <row r="450" spans="2:3" x14ac:dyDescent="0.3">
      <c r="B450" t="s">
        <v>1411</v>
      </c>
      <c r="C450" s="49">
        <v>0</v>
      </c>
    </row>
    <row r="451" spans="2:3" x14ac:dyDescent="0.3">
      <c r="C451" s="49"/>
    </row>
    <row r="452" spans="2:3" x14ac:dyDescent="0.3">
      <c r="B452" s="93">
        <v>45809</v>
      </c>
      <c r="C452" s="130">
        <f>SUM(C427:C450)</f>
        <v>-600058</v>
      </c>
    </row>
    <row r="454" spans="2:3" x14ac:dyDescent="0.3">
      <c r="B454" s="82" t="s">
        <v>153</v>
      </c>
      <c r="C454" s="49">
        <f>+'Recpt 2025'!CS58</f>
        <v>370500</v>
      </c>
    </row>
    <row r="455" spans="2:3" x14ac:dyDescent="0.3">
      <c r="B455" t="s">
        <v>146</v>
      </c>
      <c r="C455" s="49">
        <v>0</v>
      </c>
    </row>
    <row r="456" spans="2:3" x14ac:dyDescent="0.3">
      <c r="B456" t="s">
        <v>80</v>
      </c>
      <c r="C456" s="49">
        <f>+'Recpt 2025'!CS62</f>
        <v>8000</v>
      </c>
    </row>
    <row r="457" spans="2:3" x14ac:dyDescent="0.3">
      <c r="B457" t="s">
        <v>63</v>
      </c>
      <c r="C457" s="49">
        <f>+'Recpt 2025'!CS63</f>
        <v>0</v>
      </c>
    </row>
    <row r="458" spans="2:3" x14ac:dyDescent="0.3">
      <c r="B458" t="s">
        <v>64</v>
      </c>
      <c r="C458" s="49">
        <f>+'Recpt 2025'!CS64</f>
        <v>0</v>
      </c>
    </row>
    <row r="459" spans="2:3" x14ac:dyDescent="0.3">
      <c r="B459" t="s">
        <v>65</v>
      </c>
      <c r="C459" s="49">
        <f>+'Recpt 2025'!CS65</f>
        <v>0</v>
      </c>
    </row>
    <row r="460" spans="2:3" x14ac:dyDescent="0.3">
      <c r="B460" t="s">
        <v>1408</v>
      </c>
      <c r="C460" s="49">
        <v>0</v>
      </c>
    </row>
    <row r="461" spans="2:3" x14ac:dyDescent="0.3">
      <c r="B461" s="82" t="s">
        <v>74</v>
      </c>
      <c r="C461" s="49">
        <f>-'Exp 2025'!AO23-'Exp 2025'!AO26</f>
        <v>-225000</v>
      </c>
    </row>
    <row r="462" spans="2:3" x14ac:dyDescent="0.3">
      <c r="B462" s="82" t="s">
        <v>73</v>
      </c>
      <c r="C462" s="49">
        <f>-'Exp 2025'!AO14</f>
        <v>-30000</v>
      </c>
    </row>
    <row r="463" spans="2:3" x14ac:dyDescent="0.3">
      <c r="B463" t="s">
        <v>81</v>
      </c>
      <c r="C463" s="49">
        <f>-'Exp 2025'!AO37</f>
        <v>-30000</v>
      </c>
    </row>
    <row r="464" spans="2:3" x14ac:dyDescent="0.3">
      <c r="B464" s="82" t="s">
        <v>82</v>
      </c>
      <c r="C464" s="49">
        <f>-'Exp 2025'!AO87</f>
        <v>-131085</v>
      </c>
    </row>
    <row r="465" spans="2:15" x14ac:dyDescent="0.3">
      <c r="B465" t="s">
        <v>83</v>
      </c>
      <c r="C465" s="49">
        <f>-'Exp 2025'!AO57</f>
        <v>-35000</v>
      </c>
    </row>
    <row r="466" spans="2:15" x14ac:dyDescent="0.3">
      <c r="B466" t="s">
        <v>62</v>
      </c>
      <c r="C466" s="49">
        <f>-'Exp 2025'!AO34</f>
        <v>-13900</v>
      </c>
    </row>
    <row r="467" spans="2:15" x14ac:dyDescent="0.3">
      <c r="B467" t="s">
        <v>140</v>
      </c>
      <c r="C467" s="49">
        <f>-'Exp 2025'!AO47</f>
        <v>0</v>
      </c>
    </row>
    <row r="468" spans="2:15" x14ac:dyDescent="0.3">
      <c r="B468" s="82" t="s">
        <v>1440</v>
      </c>
      <c r="C468" s="49">
        <f>-'Exp 2025'!AO40</f>
        <v>-235050</v>
      </c>
    </row>
    <row r="469" spans="2:15" x14ac:dyDescent="0.3">
      <c r="B469" t="str">
        <f>+'Exp 2025'!B107</f>
        <v>Guard Room + Matress</v>
      </c>
      <c r="C469" s="49">
        <f>-'Exp 2025'!AO107</f>
        <v>-238000</v>
      </c>
    </row>
    <row r="470" spans="2:15" x14ac:dyDescent="0.3">
      <c r="B470" t="str">
        <f>+'Exp 2025'!B108</f>
        <v>Grill Work on 14th floor</v>
      </c>
      <c r="C470" s="49">
        <f>-'Exp 2025'!AO108</f>
        <v>-15000</v>
      </c>
    </row>
    <row r="471" spans="2:15" x14ac:dyDescent="0.3">
      <c r="B471" t="str">
        <f>+'Exp 2025'!B111</f>
        <v xml:space="preserve">New Cameras Installation/Purchases </v>
      </c>
      <c r="C471" s="49">
        <f>-'Exp 2025'!AO111</f>
        <v>-80000</v>
      </c>
    </row>
    <row r="472" spans="2:15" x14ac:dyDescent="0.3">
      <c r="B472" t="s">
        <v>850</v>
      </c>
      <c r="C472" s="49">
        <v>0</v>
      </c>
    </row>
    <row r="473" spans="2:15" x14ac:dyDescent="0.3">
      <c r="B473" s="78" t="s">
        <v>1425</v>
      </c>
      <c r="C473" s="49"/>
    </row>
    <row r="474" spans="2:15" x14ac:dyDescent="0.3">
      <c r="B474" s="78" t="s">
        <v>1417</v>
      </c>
      <c r="C474" s="49">
        <f>-'Exp 2025'!AO70</f>
        <v>-31000</v>
      </c>
    </row>
    <row r="475" spans="2:15" x14ac:dyDescent="0.3">
      <c r="B475" s="3" t="s">
        <v>1409</v>
      </c>
      <c r="C475" s="49">
        <f>-'Exp 2025'!AO105</f>
        <v>-2627500</v>
      </c>
    </row>
    <row r="476" spans="2:15" x14ac:dyDescent="0.3">
      <c r="B476" t="s">
        <v>1442</v>
      </c>
      <c r="C476" s="49">
        <f>-'Exp 2025'!AO110</f>
        <v>-422500</v>
      </c>
    </row>
    <row r="477" spans="2:15" ht="15.6" x14ac:dyDescent="0.3">
      <c r="B477" s="469" t="s">
        <v>1685</v>
      </c>
      <c r="C477" s="470"/>
      <c r="D477" s="469"/>
      <c r="E477" s="469" t="s">
        <v>163</v>
      </c>
      <c r="F477" s="469"/>
      <c r="G477" s="469"/>
      <c r="H477" s="469" t="s">
        <v>1684</v>
      </c>
      <c r="I477" s="469"/>
      <c r="J477" s="469"/>
      <c r="K477" s="469" t="s">
        <v>266</v>
      </c>
      <c r="L477" s="469"/>
      <c r="M477" s="469"/>
      <c r="N477" s="469" t="s">
        <v>1683</v>
      </c>
      <c r="O477" s="469"/>
    </row>
    <row r="478" spans="2:15" x14ac:dyDescent="0.3">
      <c r="B478" s="93">
        <v>45839</v>
      </c>
      <c r="C478" s="130">
        <f>SUM(C454:C477)</f>
        <v>-3735535</v>
      </c>
      <c r="E478" s="93">
        <v>45839</v>
      </c>
      <c r="F478" s="130">
        <v>0</v>
      </c>
      <c r="G478" s="72"/>
      <c r="H478" s="93">
        <v>45839</v>
      </c>
      <c r="I478" s="130">
        <v>0</v>
      </c>
      <c r="J478" s="72"/>
      <c r="K478" s="93">
        <v>45839</v>
      </c>
      <c r="L478" s="130">
        <v>0</v>
      </c>
      <c r="M478" s="72"/>
      <c r="N478" s="93">
        <v>45839</v>
      </c>
      <c r="O478" s="130">
        <v>0</v>
      </c>
    </row>
    <row r="479" spans="2:15" x14ac:dyDescent="0.3">
      <c r="G479" s="72"/>
      <c r="J479" s="72"/>
      <c r="M479" s="72"/>
    </row>
    <row r="480" spans="2:15" x14ac:dyDescent="0.3">
      <c r="B480" s="82" t="s">
        <v>1706</v>
      </c>
      <c r="C480" s="49">
        <f>+'Recpt 2025'!CW76</f>
        <v>128500</v>
      </c>
      <c r="E480" s="82" t="s">
        <v>1681</v>
      </c>
      <c r="F480" s="49">
        <f>+'Recpt 2025'!CW70-'Recpt 2025'!CV61</f>
        <v>769000</v>
      </c>
      <c r="G480" s="72"/>
      <c r="J480" s="72"/>
      <c r="L480" s="49"/>
      <c r="M480" s="72"/>
      <c r="O480" s="49"/>
    </row>
    <row r="481" spans="2:15" x14ac:dyDescent="0.3">
      <c r="B481" s="82" t="s">
        <v>1686</v>
      </c>
      <c r="C481" s="49">
        <f>-Naveed!AZ151</f>
        <v>-206030</v>
      </c>
      <c r="E481" t="s">
        <v>307</v>
      </c>
      <c r="F481" s="49">
        <f>+Naveed!AZ151</f>
        <v>206030</v>
      </c>
      <c r="G481" s="72"/>
      <c r="J481" s="72"/>
      <c r="L481" s="49"/>
      <c r="M481" s="72"/>
      <c r="O481" s="49"/>
    </row>
    <row r="482" spans="2:15" x14ac:dyDescent="0.3">
      <c r="B482" s="82" t="s">
        <v>1687</v>
      </c>
      <c r="C482" s="49">
        <v>-1000000</v>
      </c>
      <c r="F482" s="49"/>
      <c r="G482" s="72"/>
      <c r="H482" t="s">
        <v>307</v>
      </c>
      <c r="I482" s="49">
        <v>1000000</v>
      </c>
      <c r="J482" s="72"/>
      <c r="L482" s="49"/>
      <c r="M482" s="72"/>
      <c r="O482" s="49"/>
    </row>
    <row r="483" spans="2:15" x14ac:dyDescent="0.3">
      <c r="B483" t="s">
        <v>80</v>
      </c>
      <c r="C483" s="49">
        <f>+'Recpt 2025'!CV62</f>
        <v>0</v>
      </c>
      <c r="E483" t="s">
        <v>146</v>
      </c>
      <c r="F483" s="49">
        <f>+'Recpt 2025'!CV61</f>
        <v>90000</v>
      </c>
      <c r="G483" s="72"/>
      <c r="H483" s="82"/>
      <c r="I483" s="49"/>
      <c r="J483" s="72"/>
      <c r="K483" s="82"/>
      <c r="L483" s="49"/>
      <c r="M483" s="72"/>
      <c r="N483" s="82"/>
      <c r="O483" s="49"/>
    </row>
    <row r="484" spans="2:15" x14ac:dyDescent="0.3">
      <c r="B484" t="s">
        <v>63</v>
      </c>
      <c r="C484" s="49">
        <f>+'Recpt 2025'!CV63</f>
        <v>1881000</v>
      </c>
      <c r="G484" s="72"/>
      <c r="I484" s="49"/>
      <c r="J484" s="72"/>
      <c r="L484" s="49"/>
      <c r="M484" s="72"/>
      <c r="O484" s="49"/>
    </row>
    <row r="485" spans="2:15" x14ac:dyDescent="0.3">
      <c r="B485" t="s">
        <v>64</v>
      </c>
      <c r="C485" s="49">
        <f>+'Recpt 2025'!CV64</f>
        <v>0</v>
      </c>
      <c r="F485" s="49"/>
      <c r="G485" s="72"/>
      <c r="I485" s="49"/>
      <c r="J485" s="72"/>
      <c r="L485" s="49"/>
      <c r="M485" s="72"/>
      <c r="O485" s="49"/>
    </row>
    <row r="486" spans="2:15" x14ac:dyDescent="0.3">
      <c r="B486" t="s">
        <v>65</v>
      </c>
      <c r="C486" s="49">
        <f>+'Recpt 2025'!CV65</f>
        <v>200000</v>
      </c>
      <c r="G486" s="72"/>
      <c r="I486" s="49"/>
      <c r="J486" s="72"/>
      <c r="L486" s="49"/>
      <c r="M486" s="72"/>
      <c r="O486" s="49"/>
    </row>
    <row r="487" spans="2:15" x14ac:dyDescent="0.3">
      <c r="B487" t="s">
        <v>1408</v>
      </c>
      <c r="C487" s="49">
        <v>0</v>
      </c>
      <c r="F487" s="49"/>
      <c r="G487" s="72"/>
      <c r="I487" s="49"/>
      <c r="J487" s="72"/>
      <c r="L487" s="49"/>
      <c r="M487" s="72"/>
      <c r="O487" s="49"/>
    </row>
    <row r="488" spans="2:15" x14ac:dyDescent="0.3">
      <c r="B488" s="82" t="s">
        <v>74</v>
      </c>
      <c r="C488" s="49">
        <f>-'Exp 2025'!AQ23-'Exp 2025'!AQ26</f>
        <v>-245000</v>
      </c>
      <c r="F488" s="49"/>
      <c r="G488" s="72"/>
      <c r="I488" s="49"/>
      <c r="J488" s="72"/>
      <c r="L488" s="49"/>
      <c r="M488" s="72"/>
      <c r="O488" s="49"/>
    </row>
    <row r="489" spans="2:15" x14ac:dyDescent="0.3">
      <c r="B489" s="82" t="s">
        <v>73</v>
      </c>
      <c r="C489" s="49">
        <f>-'Exp 2025'!AQ14</f>
        <v>0</v>
      </c>
      <c r="F489" s="49"/>
      <c r="G489" s="72"/>
      <c r="I489" s="49"/>
      <c r="J489" s="72"/>
      <c r="L489" s="49"/>
      <c r="M489" s="72"/>
      <c r="O489" s="49"/>
    </row>
    <row r="490" spans="2:15" x14ac:dyDescent="0.3">
      <c r="B490" t="s">
        <v>81</v>
      </c>
      <c r="C490" s="49">
        <f>-'Exp 2025'!AQ37</f>
        <v>-31500</v>
      </c>
      <c r="F490" s="49"/>
      <c r="G490" s="72"/>
      <c r="I490" s="49"/>
      <c r="J490" s="72"/>
      <c r="L490" s="49"/>
      <c r="M490" s="72"/>
      <c r="O490" s="49"/>
    </row>
    <row r="491" spans="2:15" x14ac:dyDescent="0.3">
      <c r="B491" s="82" t="s">
        <v>82</v>
      </c>
      <c r="C491" s="49">
        <f>-'Exp 2025'!AQ87</f>
        <v>0</v>
      </c>
      <c r="F491" s="49"/>
      <c r="G491" s="72"/>
      <c r="I491" s="49"/>
      <c r="J491" s="72"/>
      <c r="L491" s="49"/>
      <c r="M491" s="72"/>
      <c r="O491" s="49"/>
    </row>
    <row r="492" spans="2:15" x14ac:dyDescent="0.3">
      <c r="B492" t="s">
        <v>83</v>
      </c>
      <c r="C492" s="49">
        <f>-'Exp 2025'!AQ57</f>
        <v>-60000</v>
      </c>
      <c r="F492" s="49"/>
      <c r="G492" s="72"/>
      <c r="I492" s="49"/>
      <c r="J492" s="72"/>
      <c r="L492" s="49"/>
      <c r="M492" s="72"/>
      <c r="O492" s="49"/>
    </row>
    <row r="493" spans="2:15" x14ac:dyDescent="0.3">
      <c r="B493" t="s">
        <v>62</v>
      </c>
      <c r="C493" s="49">
        <f>-'Exp 2025'!AQ34</f>
        <v>-19100</v>
      </c>
      <c r="F493" s="49"/>
      <c r="G493" s="72"/>
      <c r="I493" s="49"/>
      <c r="J493" s="72"/>
      <c r="L493" s="49"/>
      <c r="M493" s="72"/>
      <c r="O493" s="49"/>
    </row>
    <row r="494" spans="2:15" x14ac:dyDescent="0.3">
      <c r="B494" t="s">
        <v>140</v>
      </c>
      <c r="C494" s="49">
        <f>-'Exp 2025'!AQ47</f>
        <v>-9500</v>
      </c>
      <c r="F494" s="49"/>
      <c r="G494" s="72"/>
      <c r="I494" s="49"/>
      <c r="J494" s="72"/>
      <c r="L494" s="49"/>
      <c r="M494" s="72"/>
      <c r="O494" s="49"/>
    </row>
    <row r="495" spans="2:15" x14ac:dyDescent="0.3">
      <c r="B495" s="82" t="s">
        <v>1675</v>
      </c>
      <c r="C495" s="49">
        <v>0</v>
      </c>
      <c r="E495" s="82" t="s">
        <v>1682</v>
      </c>
      <c r="F495" s="49">
        <f>-'Exp 2025'!AQ40</f>
        <v>-261172</v>
      </c>
      <c r="G495" s="72"/>
      <c r="H495" s="82"/>
      <c r="I495" s="49"/>
      <c r="J495" s="72"/>
      <c r="K495" s="82"/>
      <c r="L495" s="49"/>
      <c r="M495" s="72"/>
      <c r="N495" s="82"/>
      <c r="O495" s="49"/>
    </row>
    <row r="496" spans="2:15" x14ac:dyDescent="0.3">
      <c r="B496" t="s">
        <v>1678</v>
      </c>
      <c r="C496" s="49">
        <f>-'Exp 2025'!AQ75</f>
        <v>-1800</v>
      </c>
      <c r="F496" s="49"/>
      <c r="G496" s="72"/>
      <c r="I496" s="49"/>
      <c r="J496" s="72"/>
      <c r="L496" s="49"/>
      <c r="M496" s="72"/>
      <c r="O496" s="49"/>
    </row>
    <row r="497" spans="2:15" x14ac:dyDescent="0.3">
      <c r="B497" t="s">
        <v>1677</v>
      </c>
      <c r="C497" s="49">
        <f>-'Exp 2025'!AQ104</f>
        <v>-17000</v>
      </c>
      <c r="F497" s="49"/>
      <c r="G497" s="72"/>
      <c r="I497" s="49"/>
      <c r="J497" s="72"/>
      <c r="L497" s="49"/>
      <c r="M497" s="72"/>
      <c r="O497" s="49"/>
    </row>
    <row r="498" spans="2:15" x14ac:dyDescent="0.3">
      <c r="B498" t="s">
        <v>1676</v>
      </c>
      <c r="C498" s="49">
        <f>-'Exp 2025'!AQ111</f>
        <v>-124000</v>
      </c>
      <c r="F498" s="49"/>
      <c r="G498" s="72"/>
      <c r="I498" s="49"/>
      <c r="J498" s="72"/>
      <c r="L498" s="49"/>
      <c r="M498" s="72"/>
      <c r="O498" s="49"/>
    </row>
    <row r="499" spans="2:15" x14ac:dyDescent="0.3">
      <c r="B499" t="s">
        <v>850</v>
      </c>
      <c r="C499" s="49">
        <f>-'Exp 2025'!AQ100</f>
        <v>0</v>
      </c>
      <c r="F499" s="49"/>
      <c r="G499" s="72"/>
      <c r="I499" s="49"/>
      <c r="J499" s="72"/>
      <c r="L499" s="49"/>
      <c r="M499" s="72"/>
      <c r="O499" s="49"/>
    </row>
    <row r="500" spans="2:15" x14ac:dyDescent="0.3">
      <c r="B500" s="78" t="s">
        <v>1425</v>
      </c>
      <c r="C500" s="49">
        <v>0</v>
      </c>
      <c r="F500" s="49"/>
      <c r="G500" s="72"/>
      <c r="I500" s="49"/>
      <c r="J500" s="72"/>
      <c r="L500" s="49"/>
      <c r="M500" s="72"/>
      <c r="O500" s="49"/>
    </row>
    <row r="501" spans="2:15" x14ac:dyDescent="0.3">
      <c r="B501" s="78" t="s">
        <v>1417</v>
      </c>
      <c r="C501" s="49">
        <f>-'Exp 2025'!AQ70</f>
        <v>0</v>
      </c>
      <c r="F501" s="49"/>
      <c r="G501" s="72"/>
      <c r="I501" s="49"/>
      <c r="J501" s="72"/>
      <c r="L501" s="49"/>
      <c r="M501" s="72"/>
      <c r="O501" s="49"/>
    </row>
    <row r="502" spans="2:15" x14ac:dyDescent="0.3">
      <c r="B502" s="3" t="s">
        <v>1409</v>
      </c>
      <c r="C502" s="49">
        <v>0</v>
      </c>
      <c r="F502" s="49"/>
      <c r="G502" s="72"/>
      <c r="I502" s="49"/>
      <c r="J502" s="72"/>
      <c r="L502" s="49"/>
      <c r="M502" s="72"/>
      <c r="O502" s="49"/>
    </row>
    <row r="503" spans="2:15" x14ac:dyDescent="0.3">
      <c r="B503" t="s">
        <v>1442</v>
      </c>
      <c r="C503" s="49">
        <v>0</v>
      </c>
      <c r="F503" s="49"/>
      <c r="G503" s="72"/>
      <c r="I503" s="49"/>
      <c r="J503" s="72"/>
      <c r="L503" s="49"/>
      <c r="M503" s="72"/>
      <c r="O503" s="49"/>
    </row>
    <row r="504" spans="2:15" x14ac:dyDescent="0.3">
      <c r="B504" s="93">
        <v>45870</v>
      </c>
      <c r="C504" s="130">
        <f>SUM(C480:C503)</f>
        <v>495570</v>
      </c>
      <c r="E504" s="93">
        <v>45870</v>
      </c>
      <c r="F504" s="130">
        <f>SUM(F480:F503)</f>
        <v>803858</v>
      </c>
      <c r="G504" s="72"/>
      <c r="H504" s="93">
        <v>45870</v>
      </c>
      <c r="I504" s="130">
        <f>SUM(I482:I503)</f>
        <v>1000000</v>
      </c>
      <c r="J504" s="72"/>
      <c r="K504" s="93">
        <v>45870</v>
      </c>
      <c r="L504" s="130">
        <f>SUM(L480:L503)</f>
        <v>0</v>
      </c>
      <c r="M504" s="72"/>
      <c r="N504" s="93">
        <v>45870</v>
      </c>
      <c r="O504" s="130">
        <f>SUM(O480:O503)</f>
        <v>0</v>
      </c>
    </row>
    <row r="505" spans="2:15" ht="15.6" x14ac:dyDescent="0.3">
      <c r="B505" s="469" t="s">
        <v>1685</v>
      </c>
      <c r="C505" s="470"/>
      <c r="D505" s="469"/>
      <c r="E505" s="469" t="s">
        <v>163</v>
      </c>
      <c r="F505" s="469"/>
      <c r="G505" s="469"/>
      <c r="H505" s="469" t="s">
        <v>1684</v>
      </c>
      <c r="I505" s="469"/>
      <c r="J505" s="469"/>
      <c r="K505" s="469" t="s">
        <v>266</v>
      </c>
      <c r="L505" s="469"/>
      <c r="M505" s="469"/>
      <c r="N505" s="469" t="s">
        <v>1683</v>
      </c>
      <c r="O505" s="469"/>
    </row>
    <row r="506" spans="2:15" x14ac:dyDescent="0.3">
      <c r="B506" s="82" t="s">
        <v>1706</v>
      </c>
      <c r="C506" s="49">
        <v>0</v>
      </c>
      <c r="E506" s="82" t="s">
        <v>1681</v>
      </c>
      <c r="F506" s="49">
        <f>+'Recpt 2025'!CY58</f>
        <v>300500</v>
      </c>
      <c r="G506" s="72"/>
      <c r="J506" s="72"/>
      <c r="L506" s="49"/>
      <c r="M506" s="72"/>
      <c r="O506" s="49"/>
    </row>
    <row r="507" spans="2:15" x14ac:dyDescent="0.3">
      <c r="B507" s="82" t="s">
        <v>1705</v>
      </c>
      <c r="C507" s="49">
        <v>-930000</v>
      </c>
      <c r="F507" s="49"/>
      <c r="G507" s="72"/>
      <c r="I507" s="49"/>
      <c r="J507" s="72"/>
      <c r="L507" s="49"/>
      <c r="M507" s="72"/>
      <c r="N507" t="s">
        <v>307</v>
      </c>
      <c r="O507" s="49">
        <v>930000</v>
      </c>
    </row>
    <row r="508" spans="2:15" x14ac:dyDescent="0.3">
      <c r="B508" s="82" t="s">
        <v>1687</v>
      </c>
      <c r="C508" s="49">
        <v>0</v>
      </c>
      <c r="F508" s="49"/>
      <c r="G508" s="72"/>
      <c r="I508" s="49"/>
      <c r="J508" s="72"/>
      <c r="L508" s="49"/>
      <c r="M508" s="72"/>
      <c r="O508" s="49"/>
    </row>
    <row r="509" spans="2:15" x14ac:dyDescent="0.3">
      <c r="B509" s="82" t="s">
        <v>1689</v>
      </c>
      <c r="C509" s="49">
        <v>-781000</v>
      </c>
      <c r="F509" s="49"/>
      <c r="G509" s="72"/>
      <c r="I509" s="49"/>
      <c r="J509" s="72"/>
      <c r="K509" t="s">
        <v>1690</v>
      </c>
      <c r="L509" s="49">
        <v>781000</v>
      </c>
      <c r="M509" s="72"/>
      <c r="O509" s="49"/>
    </row>
    <row r="510" spans="2:15" x14ac:dyDescent="0.3">
      <c r="B510" t="s">
        <v>80</v>
      </c>
      <c r="C510" s="49">
        <v>0</v>
      </c>
      <c r="F510" s="49"/>
      <c r="G510" s="72"/>
      <c r="H510" s="82"/>
      <c r="I510" s="49"/>
      <c r="J510" s="72"/>
      <c r="K510" s="82"/>
      <c r="L510" s="49"/>
      <c r="M510" s="72"/>
      <c r="N510" s="82"/>
      <c r="O510" s="49"/>
    </row>
    <row r="511" spans="2:15" x14ac:dyDescent="0.3">
      <c r="B511" t="s">
        <v>63</v>
      </c>
      <c r="C511" s="49"/>
      <c r="G511" s="72"/>
      <c r="I511" s="49"/>
      <c r="J511" s="72"/>
      <c r="K511" t="s">
        <v>1691</v>
      </c>
      <c r="L511" s="49">
        <f>+'Recpt 2025'!CY63</f>
        <v>600000</v>
      </c>
      <c r="M511" s="72"/>
      <c r="O511" s="49"/>
    </row>
    <row r="512" spans="2:15" x14ac:dyDescent="0.3">
      <c r="B512" t="s">
        <v>64</v>
      </c>
      <c r="C512" s="49">
        <f>+'Recpt 2025'!CY64</f>
        <v>300000</v>
      </c>
      <c r="F512" s="49"/>
      <c r="G512" s="72"/>
      <c r="I512" s="49"/>
      <c r="J512" s="72"/>
      <c r="L512" s="49"/>
      <c r="M512" s="72"/>
      <c r="O512" s="49"/>
    </row>
    <row r="513" spans="2:15" x14ac:dyDescent="0.3">
      <c r="B513" t="s">
        <v>65</v>
      </c>
      <c r="C513" s="49">
        <f>+'Recpt 2025'!CY65</f>
        <v>100000</v>
      </c>
      <c r="G513" s="72"/>
      <c r="I513" s="49"/>
      <c r="J513" s="72"/>
      <c r="L513" s="49"/>
      <c r="M513" s="72"/>
      <c r="O513" s="49"/>
    </row>
    <row r="514" spans="2:15" x14ac:dyDescent="0.3">
      <c r="B514" t="s">
        <v>1408</v>
      </c>
      <c r="C514" s="49">
        <v>0</v>
      </c>
      <c r="F514" s="49"/>
      <c r="G514" s="72"/>
      <c r="I514" s="49"/>
      <c r="J514" s="72"/>
      <c r="L514" s="49"/>
      <c r="M514" s="72"/>
      <c r="O514" s="49"/>
    </row>
    <row r="515" spans="2:15" x14ac:dyDescent="0.3">
      <c r="B515" s="82" t="s">
        <v>74</v>
      </c>
      <c r="C515" s="49">
        <f>-'Exp 2025'!AS23</f>
        <v>-171500</v>
      </c>
      <c r="F515" s="49"/>
      <c r="G515" s="72"/>
      <c r="I515" s="49">
        <f>-'Exp 2025'!AS26</f>
        <v>-65000</v>
      </c>
      <c r="J515" s="72"/>
      <c r="L515" s="49"/>
      <c r="M515" s="72"/>
      <c r="O515" s="49"/>
    </row>
    <row r="516" spans="2:15" x14ac:dyDescent="0.3">
      <c r="B516" s="82" t="s">
        <v>73</v>
      </c>
      <c r="C516" s="49"/>
      <c r="F516" s="49"/>
      <c r="G516" s="72"/>
      <c r="I516" s="49">
        <f>-'Exp 2025'!AS14</f>
        <v>-60000</v>
      </c>
      <c r="J516" s="72"/>
      <c r="L516" s="49"/>
      <c r="M516" s="72"/>
      <c r="O516" s="49"/>
    </row>
    <row r="517" spans="2:15" x14ac:dyDescent="0.3">
      <c r="B517" t="s">
        <v>81</v>
      </c>
      <c r="C517" s="49"/>
      <c r="F517" s="49"/>
      <c r="G517" s="72"/>
      <c r="I517" s="49">
        <f>-'Exp 2025'!AS37</f>
        <v>-50840</v>
      </c>
      <c r="J517" s="72"/>
      <c r="L517" s="49"/>
      <c r="M517" s="72"/>
      <c r="O517" s="49"/>
    </row>
    <row r="518" spans="2:15" x14ac:dyDescent="0.3">
      <c r="B518" s="82" t="s">
        <v>82</v>
      </c>
      <c r="C518" s="49"/>
      <c r="F518" s="49"/>
      <c r="G518" s="72"/>
      <c r="I518" s="49">
        <f>-'Exp 2025'!AS87</f>
        <v>-49280</v>
      </c>
      <c r="J518" s="72"/>
      <c r="L518" s="49"/>
      <c r="M518" s="72"/>
      <c r="O518" s="49"/>
    </row>
    <row r="519" spans="2:15" x14ac:dyDescent="0.3">
      <c r="B519" t="s">
        <v>83</v>
      </c>
      <c r="C519" s="49"/>
      <c r="F519" s="49"/>
      <c r="G519" s="72"/>
      <c r="I519" s="49">
        <f>-'Exp 2025'!AS57</f>
        <v>-30000</v>
      </c>
      <c r="J519" s="72"/>
      <c r="L519" s="49"/>
      <c r="M519" s="72"/>
      <c r="O519" s="49"/>
    </row>
    <row r="520" spans="2:15" x14ac:dyDescent="0.3">
      <c r="B520" t="s">
        <v>62</v>
      </c>
      <c r="C520" s="49">
        <f>-'Exp 2025'!AS27</f>
        <v>-9500</v>
      </c>
      <c r="F520" s="49"/>
      <c r="G520" s="72"/>
      <c r="I520" s="49">
        <f>-'Exp 2025'!AS28-'Exp 2025'!AS30</f>
        <v>-8700</v>
      </c>
      <c r="J520" s="72"/>
      <c r="L520" s="49"/>
      <c r="M520" s="72"/>
      <c r="O520" s="49"/>
    </row>
    <row r="521" spans="2:15" x14ac:dyDescent="0.3">
      <c r="B521" t="s">
        <v>140</v>
      </c>
      <c r="C521" s="49"/>
      <c r="F521" s="49"/>
      <c r="G521" s="72"/>
      <c r="I521" s="49">
        <f>-'Exp 2025'!AS47</f>
        <v>-48300</v>
      </c>
      <c r="J521" s="72"/>
      <c r="L521" s="49"/>
      <c r="M521" s="72"/>
      <c r="O521" s="49"/>
    </row>
    <row r="522" spans="2:15" x14ac:dyDescent="0.3">
      <c r="B522" s="82" t="s">
        <v>1693</v>
      </c>
      <c r="C522" s="49"/>
      <c r="E522" s="82" t="s">
        <v>1692</v>
      </c>
      <c r="F522" s="49">
        <f>-'Exp 2025'!AS40</f>
        <v>-237312</v>
      </c>
      <c r="G522" s="72"/>
      <c r="H522" s="82"/>
      <c r="I522" s="49"/>
      <c r="J522" s="72"/>
      <c r="K522" s="82"/>
      <c r="L522" s="49"/>
      <c r="M522" s="72"/>
      <c r="N522" s="82"/>
      <c r="O522" s="49"/>
    </row>
    <row r="523" spans="2:15" x14ac:dyDescent="0.3">
      <c r="B523" t="s">
        <v>1678</v>
      </c>
      <c r="C523" s="49"/>
      <c r="F523" s="49"/>
      <c r="G523" s="72"/>
      <c r="I523" s="49"/>
      <c r="J523" s="72"/>
      <c r="L523" s="49"/>
      <c r="M523" s="72"/>
      <c r="O523" s="49"/>
    </row>
    <row r="524" spans="2:15" x14ac:dyDescent="0.3">
      <c r="B524" t="s">
        <v>1677</v>
      </c>
      <c r="C524" s="49"/>
      <c r="F524" s="49"/>
      <c r="G524" s="72"/>
      <c r="I524" s="49">
        <f>-'Exp 2025'!AS104</f>
        <v>-5300</v>
      </c>
      <c r="J524" s="72"/>
      <c r="L524" s="49"/>
      <c r="M524" s="72"/>
      <c r="O524" s="49"/>
    </row>
    <row r="525" spans="2:15" x14ac:dyDescent="0.3">
      <c r="B525" t="s">
        <v>1676</v>
      </c>
      <c r="C525" s="49"/>
      <c r="F525" s="49"/>
      <c r="G525" s="72"/>
      <c r="I525" s="49">
        <f>-'Exp 2025'!AS112</f>
        <v>-18000</v>
      </c>
      <c r="J525" s="72"/>
      <c r="L525" s="49"/>
      <c r="M525" s="72"/>
      <c r="O525" s="49"/>
    </row>
    <row r="526" spans="2:15" x14ac:dyDescent="0.3">
      <c r="B526" t="s">
        <v>850</v>
      </c>
      <c r="C526" s="49"/>
      <c r="F526" s="49"/>
      <c r="G526" s="72"/>
      <c r="I526" s="49">
        <v>0</v>
      </c>
      <c r="J526" s="72"/>
      <c r="L526" s="49"/>
      <c r="M526" s="72"/>
      <c r="O526" s="49"/>
    </row>
    <row r="527" spans="2:15" x14ac:dyDescent="0.3">
      <c r="B527" s="78" t="s">
        <v>1425</v>
      </c>
      <c r="C527" s="49"/>
      <c r="F527" s="49"/>
      <c r="G527" s="72"/>
      <c r="I527" s="49">
        <v>0</v>
      </c>
      <c r="J527" s="72"/>
      <c r="L527" s="49"/>
      <c r="M527" s="72"/>
      <c r="O527" s="49"/>
    </row>
    <row r="528" spans="2:15" x14ac:dyDescent="0.3">
      <c r="B528" s="78" t="s">
        <v>1417</v>
      </c>
      <c r="C528" s="49"/>
      <c r="F528" s="49"/>
      <c r="G528" s="72"/>
      <c r="I528" s="49">
        <v>0</v>
      </c>
      <c r="J528" s="72"/>
      <c r="L528" s="49"/>
      <c r="M528" s="72"/>
      <c r="O528" s="49"/>
    </row>
    <row r="529" spans="2:15" x14ac:dyDescent="0.3">
      <c r="B529" s="3" t="s">
        <v>1694</v>
      </c>
      <c r="C529" s="49"/>
      <c r="F529" s="49"/>
      <c r="G529" s="72"/>
      <c r="I529" s="49">
        <f>-'Exp 2025'!AS67</f>
        <v>-60000</v>
      </c>
      <c r="J529" s="72"/>
      <c r="L529" s="49"/>
      <c r="M529" s="72"/>
      <c r="O529" s="49"/>
    </row>
    <row r="530" spans="2:15" x14ac:dyDescent="0.3">
      <c r="B530" t="s">
        <v>1442</v>
      </c>
      <c r="C530" s="49"/>
      <c r="F530" s="49"/>
      <c r="G530" s="72"/>
      <c r="I530" s="49"/>
      <c r="J530" s="72"/>
      <c r="L530" s="49"/>
      <c r="M530" s="72"/>
      <c r="O530" s="49"/>
    </row>
    <row r="531" spans="2:15" x14ac:dyDescent="0.3">
      <c r="B531" s="93">
        <v>45901</v>
      </c>
      <c r="C531" s="130">
        <f>SUM(C506:C530)</f>
        <v>-1492000</v>
      </c>
      <c r="E531" s="93">
        <v>45901</v>
      </c>
      <c r="F531" s="130">
        <f>SUM(F506:F530)</f>
        <v>63188</v>
      </c>
      <c r="G531" s="72"/>
      <c r="H531" s="93">
        <v>45901</v>
      </c>
      <c r="I531" s="130">
        <f>SUM(I508:I530)</f>
        <v>-395420</v>
      </c>
      <c r="J531" s="72"/>
      <c r="K531" s="93">
        <v>45901</v>
      </c>
      <c r="L531" s="130">
        <f>SUM(L506:L530)</f>
        <v>1381000</v>
      </c>
      <c r="M531" s="72"/>
      <c r="N531" s="93">
        <v>45901</v>
      </c>
      <c r="O531" s="130">
        <f>SUM(O506:O530)</f>
        <v>930000</v>
      </c>
    </row>
    <row r="532" spans="2:15" ht="15.6" x14ac:dyDescent="0.3">
      <c r="B532" s="469" t="s">
        <v>1685</v>
      </c>
      <c r="C532" s="470"/>
      <c r="D532" s="469"/>
      <c r="E532" s="469" t="s">
        <v>163</v>
      </c>
      <c r="F532" s="469"/>
      <c r="G532" s="469"/>
      <c r="H532" s="469" t="s">
        <v>1684</v>
      </c>
      <c r="I532" s="469"/>
      <c r="J532" s="469"/>
      <c r="K532" s="469" t="s">
        <v>266</v>
      </c>
      <c r="L532" s="469"/>
      <c r="M532" s="469"/>
      <c r="N532" s="469" t="s">
        <v>1683</v>
      </c>
      <c r="O532" s="469"/>
    </row>
    <row r="533" spans="2:15" x14ac:dyDescent="0.3">
      <c r="B533" s="82" t="s">
        <v>153</v>
      </c>
      <c r="C533" s="49"/>
      <c r="E533" s="82" t="s">
        <v>1681</v>
      </c>
      <c r="F533" s="49">
        <f>+'Recpt 2025'!DB58</f>
        <v>232500</v>
      </c>
      <c r="G533" s="72"/>
      <c r="I533" s="49">
        <v>0</v>
      </c>
      <c r="J533" s="72"/>
      <c r="L533" s="49">
        <v>0</v>
      </c>
      <c r="M533" s="72"/>
      <c r="O533" s="49">
        <v>0</v>
      </c>
    </row>
    <row r="534" spans="2:15" x14ac:dyDescent="0.3">
      <c r="B534" s="82" t="s">
        <v>1734</v>
      </c>
      <c r="C534" s="49">
        <v>100000</v>
      </c>
      <c r="F534" s="49">
        <v>-100000</v>
      </c>
      <c r="G534" s="72"/>
      <c r="I534" s="49">
        <v>0</v>
      </c>
      <c r="J534" s="72"/>
      <c r="L534" s="49">
        <v>0</v>
      </c>
      <c r="M534" s="72"/>
      <c r="O534" s="49">
        <v>0</v>
      </c>
    </row>
    <row r="535" spans="2:15" x14ac:dyDescent="0.3">
      <c r="B535" s="82" t="s">
        <v>1687</v>
      </c>
      <c r="C535" s="49"/>
      <c r="F535" s="49">
        <v>0</v>
      </c>
      <c r="G535" s="72"/>
      <c r="I535" s="49">
        <v>0</v>
      </c>
      <c r="J535" s="72"/>
      <c r="L535" s="49">
        <v>0</v>
      </c>
      <c r="M535" s="72"/>
      <c r="O535" s="49">
        <v>0</v>
      </c>
    </row>
    <row r="536" spans="2:15" x14ac:dyDescent="0.3">
      <c r="B536" s="82" t="s">
        <v>1689</v>
      </c>
      <c r="C536" s="49"/>
      <c r="F536" s="49">
        <v>0</v>
      </c>
      <c r="G536" s="72"/>
      <c r="I536" s="49">
        <v>0</v>
      </c>
      <c r="J536" s="72"/>
      <c r="L536" s="49">
        <v>0</v>
      </c>
      <c r="M536" s="72"/>
      <c r="O536" s="49">
        <v>0</v>
      </c>
    </row>
    <row r="537" spans="2:15" x14ac:dyDescent="0.3">
      <c r="B537" t="s">
        <v>80</v>
      </c>
      <c r="C537" s="49"/>
      <c r="F537" s="49">
        <f>+'Recpt 2025'!DB62</f>
        <v>4000</v>
      </c>
      <c r="G537" s="72"/>
      <c r="H537" s="82"/>
      <c r="I537" s="49">
        <v>0</v>
      </c>
      <c r="J537" s="72"/>
      <c r="K537" s="82"/>
      <c r="L537" s="49">
        <v>0</v>
      </c>
      <c r="M537" s="72"/>
      <c r="N537" s="82"/>
      <c r="O537" s="49">
        <v>0</v>
      </c>
    </row>
    <row r="538" spans="2:15" x14ac:dyDescent="0.3">
      <c r="B538" t="s">
        <v>63</v>
      </c>
      <c r="C538" s="49"/>
      <c r="F538" s="49">
        <v>0</v>
      </c>
      <c r="G538" s="72"/>
      <c r="H538" t="s">
        <v>1691</v>
      </c>
      <c r="I538" s="49">
        <f>+'Recpt 2025'!DB63</f>
        <v>500000</v>
      </c>
      <c r="J538" s="72"/>
      <c r="L538" s="49">
        <v>0</v>
      </c>
      <c r="M538" s="72"/>
      <c r="O538" s="49">
        <v>0</v>
      </c>
    </row>
    <row r="539" spans="2:15" x14ac:dyDescent="0.3">
      <c r="B539" t="s">
        <v>64</v>
      </c>
      <c r="C539" s="49"/>
      <c r="F539" s="49">
        <v>0</v>
      </c>
      <c r="G539" s="72"/>
      <c r="I539" s="49">
        <v>0</v>
      </c>
      <c r="J539" s="72"/>
      <c r="L539" s="49">
        <v>0</v>
      </c>
      <c r="M539" s="72"/>
      <c r="O539" s="49">
        <v>0</v>
      </c>
    </row>
    <row r="540" spans="2:15" x14ac:dyDescent="0.3">
      <c r="B540" t="s">
        <v>65</v>
      </c>
      <c r="C540" s="49"/>
      <c r="F540" s="49">
        <v>0</v>
      </c>
      <c r="G540" s="72"/>
      <c r="I540" s="49">
        <v>0</v>
      </c>
      <c r="J540" s="72"/>
      <c r="L540" s="49">
        <v>0</v>
      </c>
      <c r="M540" s="72"/>
      <c r="O540" s="49">
        <v>0</v>
      </c>
    </row>
    <row r="541" spans="2:15" x14ac:dyDescent="0.3">
      <c r="B541" t="s">
        <v>1408</v>
      </c>
      <c r="C541" s="49">
        <v>0</v>
      </c>
      <c r="F541" s="49">
        <v>0</v>
      </c>
      <c r="G541" s="72"/>
      <c r="I541" s="49">
        <v>0</v>
      </c>
      <c r="J541" s="72"/>
      <c r="L541" s="49">
        <v>0</v>
      </c>
      <c r="M541" s="72"/>
      <c r="O541" s="49">
        <v>0</v>
      </c>
    </row>
    <row r="542" spans="2:15" x14ac:dyDescent="0.3">
      <c r="B542" s="82" t="s">
        <v>74</v>
      </c>
      <c r="C542" s="49">
        <v>0</v>
      </c>
      <c r="F542" s="49">
        <f>-'Exp 2025'!AU23</f>
        <v>-154000</v>
      </c>
      <c r="G542" s="72"/>
      <c r="I542" s="49">
        <f>-'Exp 2025'!AU26</f>
        <v>-65000</v>
      </c>
      <c r="J542" s="72"/>
      <c r="L542" s="49">
        <v>0</v>
      </c>
      <c r="M542" s="72"/>
      <c r="O542" s="49">
        <v>0</v>
      </c>
    </row>
    <row r="543" spans="2:15" x14ac:dyDescent="0.3">
      <c r="B543" s="82" t="s">
        <v>73</v>
      </c>
      <c r="C543" s="49">
        <v>0</v>
      </c>
      <c r="F543" s="49">
        <v>0</v>
      </c>
      <c r="G543" s="72"/>
      <c r="I543" s="49">
        <f>-'Exp 2025'!AU14</f>
        <v>-132000</v>
      </c>
      <c r="J543" s="72"/>
      <c r="L543" s="49">
        <v>0</v>
      </c>
      <c r="M543" s="72"/>
      <c r="O543" s="49">
        <v>0</v>
      </c>
    </row>
    <row r="544" spans="2:15" x14ac:dyDescent="0.3">
      <c r="B544" t="s">
        <v>81</v>
      </c>
      <c r="C544" s="49"/>
      <c r="F544" s="49">
        <v>0</v>
      </c>
      <c r="G544" s="72"/>
      <c r="I544" s="49">
        <f>-'Exp 2025'!AU37</f>
        <v>-29800</v>
      </c>
      <c r="J544" s="72"/>
      <c r="L544" s="49">
        <v>0</v>
      </c>
      <c r="M544" s="72"/>
      <c r="O544" s="49">
        <v>0</v>
      </c>
    </row>
    <row r="545" spans="2:15" x14ac:dyDescent="0.3">
      <c r="B545" s="82" t="s">
        <v>82</v>
      </c>
      <c r="C545" s="49"/>
      <c r="F545" s="49">
        <v>0</v>
      </c>
      <c r="G545" s="72"/>
      <c r="I545" s="49">
        <f>-'Exp 2025'!AU87</f>
        <v>-74020</v>
      </c>
      <c r="J545" s="72"/>
      <c r="L545" s="49">
        <v>0</v>
      </c>
      <c r="M545" s="72"/>
      <c r="O545" s="49">
        <v>0</v>
      </c>
    </row>
    <row r="546" spans="2:15" x14ac:dyDescent="0.3">
      <c r="B546" t="s">
        <v>83</v>
      </c>
      <c r="C546" s="49"/>
      <c r="F546" s="49">
        <v>0</v>
      </c>
      <c r="G546" s="72"/>
      <c r="I546" s="49">
        <f>-'Exp 2025'!AU57</f>
        <v>-25000</v>
      </c>
      <c r="J546" s="72"/>
      <c r="L546" s="49">
        <v>0</v>
      </c>
      <c r="M546" s="72"/>
      <c r="O546" s="49">
        <v>0</v>
      </c>
    </row>
    <row r="547" spans="2:15" x14ac:dyDescent="0.3">
      <c r="B547" t="s">
        <v>62</v>
      </c>
      <c r="C547" s="49"/>
      <c r="F547" s="49">
        <v>0</v>
      </c>
      <c r="G547" s="72"/>
      <c r="I547" s="49">
        <f>-'Exp 2025'!AU34</f>
        <v>-16300</v>
      </c>
      <c r="J547" s="72"/>
      <c r="L547" s="49">
        <v>0</v>
      </c>
      <c r="M547" s="72"/>
      <c r="O547" s="49">
        <v>0</v>
      </c>
    </row>
    <row r="548" spans="2:15" x14ac:dyDescent="0.3">
      <c r="B548" t="s">
        <v>140</v>
      </c>
      <c r="C548" s="49"/>
      <c r="F548" s="49">
        <v>0</v>
      </c>
      <c r="G548" s="72"/>
      <c r="I548" s="49">
        <f>-'Exp 2025'!AU47</f>
        <v>-101200</v>
      </c>
      <c r="J548" s="72"/>
      <c r="L548" s="49">
        <v>0</v>
      </c>
      <c r="M548" s="72"/>
      <c r="O548" s="49">
        <v>0</v>
      </c>
    </row>
    <row r="549" spans="2:15" x14ac:dyDescent="0.3">
      <c r="B549" s="82" t="s">
        <v>1701</v>
      </c>
      <c r="C549" s="49"/>
      <c r="E549" s="82" t="s">
        <v>1700</v>
      </c>
      <c r="F549" s="49">
        <f>-'Exp 2025'!AU40</f>
        <v>-249928</v>
      </c>
      <c r="G549" s="72"/>
      <c r="H549" s="82"/>
      <c r="I549" s="49">
        <v>0</v>
      </c>
      <c r="J549" s="72"/>
      <c r="K549" s="82"/>
      <c r="L549" s="49">
        <v>0</v>
      </c>
      <c r="M549" s="72"/>
      <c r="N549" s="82"/>
      <c r="O549" s="49">
        <v>0</v>
      </c>
    </row>
    <row r="550" spans="2:15" x14ac:dyDescent="0.3">
      <c r="B550" t="s">
        <v>1704</v>
      </c>
      <c r="C550" s="49"/>
      <c r="F550" s="49">
        <f>-'Exp 2025'!AU62</f>
        <v>-261190</v>
      </c>
      <c r="G550" s="72"/>
      <c r="I550" s="49">
        <f>-'Exp 2025'!AU75</f>
        <v>0</v>
      </c>
      <c r="J550" s="72"/>
      <c r="L550" s="49">
        <v>0</v>
      </c>
      <c r="M550" s="72"/>
      <c r="O550" s="49">
        <v>0</v>
      </c>
    </row>
    <row r="551" spans="2:15" x14ac:dyDescent="0.3">
      <c r="B551" t="s">
        <v>1677</v>
      </c>
      <c r="C551" s="49"/>
      <c r="F551" s="49">
        <v>0</v>
      </c>
      <c r="G551" s="72"/>
      <c r="I551" s="49">
        <f>-'Exp 2025'!AU104</f>
        <v>0</v>
      </c>
      <c r="J551" s="72"/>
      <c r="L551" s="49">
        <v>0</v>
      </c>
      <c r="M551" s="72"/>
      <c r="O551" s="49">
        <v>0</v>
      </c>
    </row>
    <row r="552" spans="2:15" x14ac:dyDescent="0.3">
      <c r="B552" t="s">
        <v>1676</v>
      </c>
      <c r="C552" s="49"/>
      <c r="F552" s="49">
        <v>0</v>
      </c>
      <c r="G552" s="72"/>
      <c r="I552" s="49">
        <f>-'Exp 2025'!AU112</f>
        <v>-65000</v>
      </c>
      <c r="J552" s="72"/>
      <c r="L552" s="49">
        <v>0</v>
      </c>
      <c r="M552" s="72"/>
      <c r="O552" s="49">
        <v>0</v>
      </c>
    </row>
    <row r="553" spans="2:15" x14ac:dyDescent="0.3">
      <c r="B553" t="s">
        <v>1702</v>
      </c>
      <c r="C553" s="49"/>
      <c r="F553" s="49">
        <v>0</v>
      </c>
      <c r="G553" s="72"/>
      <c r="I553" s="49">
        <f>-'Exp 2025'!AU93</f>
        <v>-9600</v>
      </c>
      <c r="J553" s="72"/>
      <c r="L553" s="49">
        <v>0</v>
      </c>
      <c r="M553" s="72"/>
      <c r="O553" s="49">
        <v>0</v>
      </c>
    </row>
    <row r="554" spans="2:15" x14ac:dyDescent="0.3">
      <c r="B554" t="s">
        <v>1425</v>
      </c>
      <c r="C554" s="49"/>
      <c r="F554" s="49">
        <v>0</v>
      </c>
      <c r="G554" s="72"/>
      <c r="I554" s="49">
        <v>0</v>
      </c>
      <c r="J554" s="72"/>
      <c r="L554" s="49">
        <v>0</v>
      </c>
      <c r="M554" s="72"/>
      <c r="O554" s="49">
        <v>0</v>
      </c>
    </row>
    <row r="555" spans="2:15" x14ac:dyDescent="0.3">
      <c r="B555" t="s">
        <v>1417</v>
      </c>
      <c r="C555" s="49"/>
      <c r="F555" s="49">
        <v>0</v>
      </c>
      <c r="G555" s="72"/>
      <c r="I555" s="49">
        <v>0</v>
      </c>
      <c r="J555" s="72"/>
      <c r="L555" s="49">
        <v>0</v>
      </c>
      <c r="M555" s="72"/>
      <c r="O555" s="49">
        <v>0</v>
      </c>
    </row>
    <row r="556" spans="2:15" x14ac:dyDescent="0.3">
      <c r="B556" t="s">
        <v>1703</v>
      </c>
      <c r="C556" s="49"/>
      <c r="F556" s="49">
        <v>0</v>
      </c>
      <c r="G556" s="72"/>
      <c r="I556" s="49">
        <f>-'Exp 2025'!AU116</f>
        <v>-38300</v>
      </c>
      <c r="J556" s="72"/>
      <c r="L556" s="49">
        <v>0</v>
      </c>
      <c r="M556" s="72"/>
      <c r="O556" s="49">
        <v>0</v>
      </c>
    </row>
    <row r="557" spans="2:15" x14ac:dyDescent="0.3">
      <c r="B557" t="s">
        <v>1442</v>
      </c>
      <c r="C557" s="49"/>
      <c r="F557" s="49">
        <v>0</v>
      </c>
      <c r="G557" s="72"/>
      <c r="I557" s="49">
        <v>0</v>
      </c>
      <c r="J557" s="72"/>
      <c r="L557" s="49">
        <v>0</v>
      </c>
      <c r="M557" s="72"/>
      <c r="O557" s="49">
        <v>0</v>
      </c>
    </row>
    <row r="558" spans="2:15" x14ac:dyDescent="0.3">
      <c r="B558" s="93">
        <v>45931</v>
      </c>
      <c r="C558" s="130">
        <f>SUM(C533:C557)</f>
        <v>100000</v>
      </c>
      <c r="E558" s="93">
        <v>45931</v>
      </c>
      <c r="F558" s="130">
        <f>SUM(F533:F557)</f>
        <v>-528618</v>
      </c>
      <c r="G558" s="72"/>
      <c r="H558" s="93">
        <v>45931</v>
      </c>
      <c r="I558" s="130">
        <f>SUM(I533:I557)</f>
        <v>-56220</v>
      </c>
      <c r="J558" s="72"/>
      <c r="K558" s="93">
        <v>45931</v>
      </c>
      <c r="L558" s="130">
        <f>SUM(L533:L557)</f>
        <v>0</v>
      </c>
      <c r="M558" s="72"/>
      <c r="N558" s="93">
        <v>45931</v>
      </c>
      <c r="O558" s="130">
        <f>SUM(O533:O557)</f>
        <v>0</v>
      </c>
    </row>
    <row r="559" spans="2:15" ht="15.6" x14ac:dyDescent="0.3">
      <c r="B559" s="469" t="s">
        <v>1685</v>
      </c>
      <c r="C559" s="470"/>
      <c r="D559" s="469"/>
      <c r="E559" s="469" t="s">
        <v>163</v>
      </c>
      <c r="F559" s="469"/>
      <c r="G559" s="469"/>
      <c r="H559" s="469" t="s">
        <v>1684</v>
      </c>
      <c r="I559" s="469"/>
      <c r="J559" s="469"/>
      <c r="K559" s="469" t="s">
        <v>266</v>
      </c>
      <c r="L559" s="469"/>
      <c r="M559" s="469"/>
      <c r="N559" s="469" t="s">
        <v>1683</v>
      </c>
      <c r="O559" s="469"/>
    </row>
    <row r="560" spans="2:15" x14ac:dyDescent="0.3">
      <c r="B560" s="82" t="s">
        <v>1767</v>
      </c>
      <c r="C560" s="49"/>
      <c r="E560" s="82"/>
      <c r="F560" s="49">
        <f>+'Recpt 2025'!DE58+'Recpt 2025'!DE61</f>
        <v>207500</v>
      </c>
      <c r="G560" s="72"/>
      <c r="I560" s="49"/>
      <c r="J560" s="72"/>
      <c r="L560" s="49">
        <v>0</v>
      </c>
      <c r="M560" s="72"/>
      <c r="O560" s="49">
        <v>0</v>
      </c>
    </row>
    <row r="561" spans="2:15" x14ac:dyDescent="0.3">
      <c r="B561" t="s">
        <v>80</v>
      </c>
      <c r="C561" s="49"/>
      <c r="F561" s="49">
        <v>0</v>
      </c>
      <c r="G561" s="72"/>
      <c r="H561" s="82"/>
      <c r="I561" s="49"/>
      <c r="J561" s="72"/>
      <c r="K561" s="82"/>
      <c r="L561" s="49">
        <v>0</v>
      </c>
      <c r="M561" s="72"/>
      <c r="N561" s="82"/>
      <c r="O561" s="49">
        <v>0</v>
      </c>
    </row>
    <row r="562" spans="2:15" x14ac:dyDescent="0.3">
      <c r="B562" t="s">
        <v>63</v>
      </c>
      <c r="C562" s="49"/>
      <c r="F562" s="49"/>
      <c r="G562" s="72"/>
      <c r="I562" s="49">
        <f>+'Recpt 2025'!DE63</f>
        <v>870000</v>
      </c>
      <c r="J562" s="72"/>
      <c r="L562" s="49">
        <v>0</v>
      </c>
      <c r="M562" s="72"/>
      <c r="O562" s="49">
        <v>0</v>
      </c>
    </row>
    <row r="563" spans="2:15" x14ac:dyDescent="0.3">
      <c r="B563" t="s">
        <v>64</v>
      </c>
      <c r="C563" s="49"/>
      <c r="F563" s="49"/>
      <c r="G563" s="72"/>
      <c r="I563" s="49"/>
      <c r="J563" s="72"/>
      <c r="L563" s="49">
        <v>0</v>
      </c>
      <c r="M563" s="72"/>
      <c r="O563" s="49">
        <v>0</v>
      </c>
    </row>
    <row r="564" spans="2:15" ht="15" thickBot="1" x14ac:dyDescent="0.35">
      <c r="B564" s="245" t="s">
        <v>1699</v>
      </c>
      <c r="C564" s="49"/>
      <c r="F564" s="49"/>
      <c r="G564" s="72"/>
      <c r="I564" s="49">
        <f>+'Recpt 2025'!DE65</f>
        <v>150000</v>
      </c>
      <c r="J564" s="72"/>
      <c r="L564" s="49">
        <v>0</v>
      </c>
      <c r="M564" s="72"/>
      <c r="O564" s="49">
        <v>0</v>
      </c>
    </row>
    <row r="565" spans="2:15" x14ac:dyDescent="0.3">
      <c r="B565" t="s">
        <v>1408</v>
      </c>
      <c r="C565" s="49"/>
      <c r="F565" s="49"/>
      <c r="G565" s="72"/>
      <c r="I565" s="49"/>
      <c r="J565" s="72"/>
      <c r="L565" s="49">
        <v>0</v>
      </c>
      <c r="M565" s="72"/>
      <c r="O565" s="49">
        <v>0</v>
      </c>
    </row>
    <row r="566" spans="2:15" x14ac:dyDescent="0.3">
      <c r="B566" s="82" t="s">
        <v>74</v>
      </c>
      <c r="C566" s="49"/>
      <c r="F566" s="49"/>
      <c r="G566" s="72"/>
      <c r="I566" s="49">
        <f>-'Exp 2025'!AW23-'Exp 2025'!AW26</f>
        <v>-234200</v>
      </c>
      <c r="J566" s="72"/>
      <c r="L566" s="49">
        <v>0</v>
      </c>
      <c r="M566" s="72"/>
      <c r="O566" s="49">
        <v>0</v>
      </c>
    </row>
    <row r="567" spans="2:15" x14ac:dyDescent="0.3">
      <c r="B567" s="82" t="s">
        <v>73</v>
      </c>
      <c r="C567" s="49"/>
      <c r="F567" s="49"/>
      <c r="G567" s="72"/>
      <c r="I567" s="49">
        <f>-'Exp 2025'!AW14</f>
        <v>-129000</v>
      </c>
      <c r="J567" s="72"/>
      <c r="L567" s="49">
        <v>0</v>
      </c>
      <c r="M567" s="72"/>
      <c r="O567" s="49">
        <v>0</v>
      </c>
    </row>
    <row r="568" spans="2:15" x14ac:dyDescent="0.3">
      <c r="B568" t="s">
        <v>81</v>
      </c>
      <c r="C568" s="49"/>
      <c r="F568" s="49"/>
      <c r="G568" s="72"/>
      <c r="I568" s="49">
        <f>-'Exp 2025'!AW37</f>
        <v>-21150</v>
      </c>
      <c r="J568" s="72"/>
      <c r="L568" s="49">
        <v>0</v>
      </c>
      <c r="M568" s="72"/>
      <c r="O568" s="49">
        <v>0</v>
      </c>
    </row>
    <row r="569" spans="2:15" x14ac:dyDescent="0.3">
      <c r="B569" s="82" t="s">
        <v>82</v>
      </c>
      <c r="C569" s="49"/>
      <c r="F569" s="49"/>
      <c r="G569" s="72"/>
      <c r="I569" s="49">
        <f>-'Exp 2025'!AW87</f>
        <v>-57210</v>
      </c>
      <c r="J569" s="72"/>
      <c r="L569" s="49">
        <v>0</v>
      </c>
      <c r="M569" s="72"/>
      <c r="O569" s="49">
        <v>0</v>
      </c>
    </row>
    <row r="570" spans="2:15" x14ac:dyDescent="0.3">
      <c r="B570" t="s">
        <v>83</v>
      </c>
      <c r="C570" s="49"/>
      <c r="F570" s="49"/>
      <c r="G570" s="72"/>
      <c r="I570" s="49">
        <f>-'Exp 2025'!AW57</f>
        <v>-20624</v>
      </c>
      <c r="J570" s="72"/>
      <c r="L570" s="49">
        <v>0</v>
      </c>
      <c r="M570" s="72"/>
      <c r="O570" s="49">
        <v>0</v>
      </c>
    </row>
    <row r="571" spans="2:15" x14ac:dyDescent="0.3">
      <c r="B571" t="s">
        <v>62</v>
      </c>
      <c r="C571" s="49"/>
      <c r="F571" s="49"/>
      <c r="G571" s="72"/>
      <c r="I571" s="49">
        <f>-'Exp 2025'!AW34</f>
        <v>-10500</v>
      </c>
      <c r="J571" s="72"/>
      <c r="L571" s="49">
        <v>0</v>
      </c>
      <c r="M571" s="72"/>
      <c r="O571" s="49">
        <v>0</v>
      </c>
    </row>
    <row r="572" spans="2:15" x14ac:dyDescent="0.3">
      <c r="B572" t="s">
        <v>140</v>
      </c>
      <c r="C572" s="49"/>
      <c r="F572" s="49"/>
      <c r="G572" s="72"/>
      <c r="I572" s="49">
        <f>-'Exp 2025'!AW47</f>
        <v>-24000</v>
      </c>
      <c r="J572" s="72"/>
      <c r="L572" s="49">
        <v>0</v>
      </c>
      <c r="M572" s="72"/>
      <c r="O572" s="49">
        <v>0</v>
      </c>
    </row>
    <row r="573" spans="2:15" x14ac:dyDescent="0.3">
      <c r="B573" s="82" t="s">
        <v>1701</v>
      </c>
      <c r="C573" s="49"/>
      <c r="E573" s="82"/>
      <c r="F573" s="49"/>
      <c r="G573" s="72"/>
      <c r="H573" s="82" t="s">
        <v>1808</v>
      </c>
      <c r="I573" s="49">
        <f>-'Exp 2025'!AW40</f>
        <v>-240498</v>
      </c>
      <c r="J573" s="72"/>
      <c r="K573" s="82"/>
      <c r="L573" s="49">
        <v>0</v>
      </c>
      <c r="M573" s="72"/>
      <c r="N573" s="82"/>
      <c r="O573" s="49">
        <v>0</v>
      </c>
    </row>
    <row r="574" spans="2:15" x14ac:dyDescent="0.3">
      <c r="B574" t="s">
        <v>1809</v>
      </c>
      <c r="C574" s="49"/>
      <c r="E574" s="82"/>
      <c r="F574" s="49">
        <f>-'Exp 2025'!AW58-'Exp 2025'!AW59</f>
        <v>-272920</v>
      </c>
      <c r="G574" s="72"/>
      <c r="I574" s="49">
        <f>-'Exp 2025'!AW61</f>
        <v>-75240</v>
      </c>
      <c r="J574" s="72"/>
      <c r="L574" s="49">
        <v>0</v>
      </c>
      <c r="M574" s="72"/>
      <c r="O574" s="49">
        <v>0</v>
      </c>
    </row>
    <row r="575" spans="2:15" x14ac:dyDescent="0.3">
      <c r="B575" t="s">
        <v>1677</v>
      </c>
      <c r="C575" s="49"/>
      <c r="F575" s="49"/>
      <c r="G575" s="72"/>
      <c r="I575" s="49">
        <f>-'Exp 2025'!AW104</f>
        <v>0</v>
      </c>
      <c r="J575" s="72"/>
      <c r="L575" s="49">
        <v>0</v>
      </c>
      <c r="M575" s="72"/>
      <c r="O575" s="49">
        <v>0</v>
      </c>
    </row>
    <row r="576" spans="2:15" x14ac:dyDescent="0.3">
      <c r="B576" t="s">
        <v>1676</v>
      </c>
      <c r="C576" s="49"/>
      <c r="F576" s="49"/>
      <c r="G576" s="72"/>
      <c r="I576" s="49">
        <f>-'Exp 2025'!AW111</f>
        <v>-109000</v>
      </c>
      <c r="J576" s="72"/>
      <c r="L576" s="49">
        <v>0</v>
      </c>
      <c r="M576" s="72"/>
      <c r="O576" s="49">
        <v>0</v>
      </c>
    </row>
    <row r="577" spans="2:15" x14ac:dyDescent="0.3">
      <c r="B577" t="s">
        <v>1702</v>
      </c>
      <c r="C577" s="49"/>
      <c r="F577" s="49"/>
      <c r="G577" s="72"/>
      <c r="I577" s="49"/>
      <c r="J577" s="72"/>
      <c r="L577" s="49">
        <v>0</v>
      </c>
      <c r="M577" s="72"/>
      <c r="O577" s="49">
        <v>0</v>
      </c>
    </row>
    <row r="578" spans="2:15" x14ac:dyDescent="0.3">
      <c r="B578" t="s">
        <v>1425</v>
      </c>
      <c r="C578" s="49"/>
      <c r="F578" s="49"/>
      <c r="G578" s="72"/>
      <c r="I578" s="49"/>
      <c r="J578" s="72"/>
      <c r="L578" s="49">
        <v>0</v>
      </c>
      <c r="M578" s="72"/>
      <c r="O578" s="49">
        <v>0</v>
      </c>
    </row>
    <row r="579" spans="2:15" x14ac:dyDescent="0.3">
      <c r="B579" t="s">
        <v>1417</v>
      </c>
      <c r="C579" s="49"/>
      <c r="F579" s="49"/>
      <c r="G579" s="72"/>
      <c r="I579" s="49"/>
      <c r="J579" s="72"/>
      <c r="L579" s="49">
        <v>0</v>
      </c>
      <c r="M579" s="72"/>
      <c r="O579" s="49">
        <v>0</v>
      </c>
    </row>
    <row r="580" spans="2:15" x14ac:dyDescent="0.3">
      <c r="B580" t="s">
        <v>1703</v>
      </c>
      <c r="C580" s="49"/>
      <c r="F580" s="49"/>
      <c r="G580" s="72"/>
      <c r="I580" s="49"/>
      <c r="J580" s="72"/>
      <c r="L580" s="49">
        <v>0</v>
      </c>
      <c r="M580" s="72"/>
      <c r="O580" s="49">
        <v>0</v>
      </c>
    </row>
    <row r="581" spans="2:15" x14ac:dyDescent="0.3">
      <c r="B581" t="s">
        <v>1442</v>
      </c>
      <c r="C581" s="49"/>
      <c r="F581" s="49"/>
      <c r="G581" s="72"/>
      <c r="I581" s="49"/>
      <c r="J581" s="72"/>
      <c r="L581" s="49">
        <v>0</v>
      </c>
      <c r="M581" s="72"/>
      <c r="O581" s="49">
        <v>0</v>
      </c>
    </row>
    <row r="582" spans="2:15" x14ac:dyDescent="0.3">
      <c r="B582" s="93">
        <v>45962</v>
      </c>
      <c r="C582" s="130">
        <f>SUM(C560:C581)</f>
        <v>0</v>
      </c>
      <c r="E582" s="93">
        <v>45962</v>
      </c>
      <c r="F582" s="130">
        <f>SUM(F560:F581)</f>
        <v>-65420</v>
      </c>
      <c r="G582" s="72"/>
      <c r="H582" s="93">
        <v>45962</v>
      </c>
      <c r="I582" s="130">
        <f>SUM(I560:I581)</f>
        <v>98578</v>
      </c>
      <c r="J582" s="72"/>
      <c r="K582" s="93">
        <v>45962</v>
      </c>
      <c r="L582" s="130">
        <f>SUM(L560:L581)</f>
        <v>0</v>
      </c>
      <c r="M582" s="72"/>
      <c r="N582" s="93">
        <v>45962</v>
      </c>
      <c r="O582" s="130">
        <f>SUM(O560:O581)</f>
        <v>0</v>
      </c>
    </row>
    <row r="583" spans="2:15" ht="15.6" x14ac:dyDescent="0.3">
      <c r="B583" s="469" t="s">
        <v>1685</v>
      </c>
      <c r="C583" s="470"/>
      <c r="D583" s="469"/>
      <c r="E583" s="469" t="s">
        <v>163</v>
      </c>
      <c r="F583" s="469"/>
      <c r="G583" s="469"/>
      <c r="H583" s="469" t="s">
        <v>1684</v>
      </c>
      <c r="I583" s="469"/>
      <c r="J583" s="469"/>
      <c r="K583" s="469" t="s">
        <v>266</v>
      </c>
      <c r="L583" s="469"/>
      <c r="M583" s="469"/>
      <c r="N583" s="469" t="s">
        <v>1683</v>
      </c>
      <c r="O583" s="469"/>
    </row>
    <row r="584" spans="2:15" x14ac:dyDescent="0.3">
      <c r="B584" s="82" t="s">
        <v>1767</v>
      </c>
      <c r="C584" s="49"/>
      <c r="E584" s="82"/>
      <c r="F584" s="49">
        <f>+'Recpt 2025'!DH58</f>
        <v>163001</v>
      </c>
      <c r="G584" s="72"/>
      <c r="I584" s="49"/>
      <c r="J584" s="72"/>
      <c r="L584" s="49">
        <v>0</v>
      </c>
      <c r="M584" s="72"/>
      <c r="O584" s="49">
        <v>0</v>
      </c>
    </row>
    <row r="585" spans="2:15" x14ac:dyDescent="0.3">
      <c r="B585" t="s">
        <v>80</v>
      </c>
      <c r="C585" s="49"/>
      <c r="F585" s="49">
        <f>+'Recpt 2025'!DH62</f>
        <v>8000</v>
      </c>
      <c r="G585" s="72"/>
      <c r="H585" s="82"/>
      <c r="I585" s="49"/>
      <c r="J585" s="72"/>
      <c r="K585" s="82"/>
      <c r="L585" s="49">
        <v>0</v>
      </c>
      <c r="M585" s="72"/>
      <c r="N585" s="82"/>
      <c r="O585" s="49">
        <v>0</v>
      </c>
    </row>
    <row r="586" spans="2:15" x14ac:dyDescent="0.3">
      <c r="B586" t="s">
        <v>63</v>
      </c>
      <c r="C586" s="49"/>
      <c r="F586" s="49"/>
      <c r="G586" s="72"/>
      <c r="I586" s="49">
        <f>+'Recpt 2025'!DH63</f>
        <v>500000</v>
      </c>
      <c r="J586" s="72"/>
      <c r="L586" s="49">
        <v>0</v>
      </c>
      <c r="M586" s="72"/>
      <c r="O586" s="49">
        <v>0</v>
      </c>
    </row>
    <row r="587" spans="2:15" x14ac:dyDescent="0.3">
      <c r="B587" t="s">
        <v>64</v>
      </c>
      <c r="C587" s="49"/>
      <c r="F587" s="49"/>
      <c r="G587" s="72"/>
      <c r="I587" s="49"/>
      <c r="J587" s="72"/>
      <c r="L587" s="49">
        <v>0</v>
      </c>
      <c r="M587" s="72"/>
      <c r="O587" s="49">
        <v>0</v>
      </c>
    </row>
    <row r="588" spans="2:15" x14ac:dyDescent="0.3">
      <c r="B588" t="s">
        <v>1699</v>
      </c>
      <c r="C588" s="49"/>
      <c r="F588" s="49"/>
      <c r="G588" s="72"/>
      <c r="I588" s="49">
        <f>+'Recpt 2025'!DH65</f>
        <v>150000</v>
      </c>
      <c r="J588" s="72"/>
      <c r="L588" s="49">
        <v>0</v>
      </c>
      <c r="M588" s="72"/>
      <c r="O588" s="49">
        <v>0</v>
      </c>
    </row>
    <row r="589" spans="2:15" x14ac:dyDescent="0.3">
      <c r="B589" t="s">
        <v>1408</v>
      </c>
      <c r="C589" s="49"/>
      <c r="F589" s="49"/>
      <c r="G589" s="72"/>
      <c r="I589" s="49">
        <f>+'Recpt 2025'!DH66</f>
        <v>50000</v>
      </c>
      <c r="J589" s="72"/>
      <c r="L589" s="49">
        <v>0</v>
      </c>
      <c r="M589" s="72"/>
      <c r="O589" s="49">
        <v>0</v>
      </c>
    </row>
    <row r="590" spans="2:15" x14ac:dyDescent="0.3">
      <c r="B590" s="82" t="s">
        <v>74</v>
      </c>
      <c r="C590" s="49"/>
      <c r="F590" s="49"/>
      <c r="G590" s="72"/>
      <c r="I590" s="49">
        <f>-'Exp 2025'!AY23-'Exp 2025'!AY26</f>
        <v>-254600</v>
      </c>
      <c r="J590" s="72"/>
      <c r="L590" s="49">
        <v>0</v>
      </c>
      <c r="M590" s="72"/>
      <c r="O590" s="49">
        <v>0</v>
      </c>
    </row>
    <row r="591" spans="2:15" x14ac:dyDescent="0.3">
      <c r="B591" s="82" t="s">
        <v>73</v>
      </c>
      <c r="C591" s="49"/>
      <c r="F591" s="49"/>
      <c r="G591" s="72"/>
      <c r="I591" s="49">
        <f>-'Exp 2025'!AY14</f>
        <v>-15000</v>
      </c>
      <c r="J591" s="72"/>
      <c r="L591" s="49">
        <v>0</v>
      </c>
      <c r="M591" s="72"/>
      <c r="O591" s="49">
        <v>0</v>
      </c>
    </row>
    <row r="592" spans="2:15" x14ac:dyDescent="0.3">
      <c r="B592" t="s">
        <v>81</v>
      </c>
      <c r="C592" s="49"/>
      <c r="F592" s="49"/>
      <c r="G592" s="72"/>
      <c r="I592" s="49">
        <f>-'Exp 2025'!AY37</f>
        <v>-29910</v>
      </c>
      <c r="J592" s="72"/>
      <c r="L592" s="49">
        <v>0</v>
      </c>
      <c r="M592" s="72"/>
      <c r="O592" s="49">
        <v>0</v>
      </c>
    </row>
    <row r="593" spans="2:15" x14ac:dyDescent="0.3">
      <c r="B593" s="82" t="s">
        <v>82</v>
      </c>
      <c r="C593" s="49"/>
      <c r="F593" s="49"/>
      <c r="G593" s="72"/>
      <c r="I593" s="49">
        <f>-'Exp 2025'!AY87</f>
        <v>-11070</v>
      </c>
      <c r="J593" s="72"/>
      <c r="L593" s="49">
        <v>0</v>
      </c>
      <c r="M593" s="72"/>
      <c r="O593" s="49">
        <v>0</v>
      </c>
    </row>
    <row r="594" spans="2:15" x14ac:dyDescent="0.3">
      <c r="B594" t="s">
        <v>83</v>
      </c>
      <c r="C594" s="49"/>
      <c r="F594" s="49"/>
      <c r="G594" s="72"/>
      <c r="I594" s="49">
        <f>-'Exp 2025'!AY57</f>
        <v>-5000</v>
      </c>
      <c r="J594" s="72"/>
      <c r="L594" s="49">
        <v>0</v>
      </c>
      <c r="M594" s="72"/>
      <c r="O594" s="49">
        <v>0</v>
      </c>
    </row>
    <row r="595" spans="2:15" x14ac:dyDescent="0.3">
      <c r="B595" t="s">
        <v>62</v>
      </c>
      <c r="C595" s="49"/>
      <c r="F595" s="49"/>
      <c r="G595" s="72"/>
      <c r="I595" s="49">
        <f>-'Exp 2025'!AY34</f>
        <v>-9500</v>
      </c>
      <c r="J595" s="72"/>
      <c r="L595" s="49">
        <v>0</v>
      </c>
      <c r="M595" s="72"/>
      <c r="O595" s="49">
        <v>0</v>
      </c>
    </row>
    <row r="596" spans="2:15" x14ac:dyDescent="0.3">
      <c r="B596" t="s">
        <v>140</v>
      </c>
      <c r="C596" s="49"/>
      <c r="F596" s="49"/>
      <c r="G596" s="72"/>
      <c r="I596" s="49">
        <f>-'Exp 2025'!AY47</f>
        <v>-38980</v>
      </c>
      <c r="J596" s="72"/>
      <c r="L596" s="49">
        <v>0</v>
      </c>
      <c r="M596" s="72"/>
      <c r="O596" s="49">
        <v>0</v>
      </c>
    </row>
    <row r="597" spans="2:15" x14ac:dyDescent="0.3">
      <c r="B597" s="82" t="s">
        <v>1701</v>
      </c>
      <c r="C597" s="49"/>
      <c r="E597" s="82" t="s">
        <v>1810</v>
      </c>
      <c r="F597" s="49">
        <f>-'Exp 2025'!AY40</f>
        <v>-219111</v>
      </c>
      <c r="G597" s="72"/>
      <c r="H597" s="82"/>
      <c r="I597" s="49"/>
      <c r="J597" s="72"/>
      <c r="K597" s="82"/>
      <c r="L597" s="49">
        <v>0</v>
      </c>
      <c r="M597" s="72"/>
      <c r="N597" s="82"/>
      <c r="O597" s="49">
        <v>0</v>
      </c>
    </row>
    <row r="598" spans="2:15" x14ac:dyDescent="0.3">
      <c r="B598" t="s">
        <v>1809</v>
      </c>
      <c r="C598" s="49"/>
      <c r="F598" s="49"/>
      <c r="G598" s="72"/>
      <c r="I598" s="49">
        <f>-'Exp 2025'!AY62</f>
        <v>0</v>
      </c>
      <c r="J598" s="72"/>
      <c r="L598" s="49">
        <v>0</v>
      </c>
      <c r="M598" s="72"/>
      <c r="O598" s="49">
        <v>0</v>
      </c>
    </row>
    <row r="599" spans="2:15" x14ac:dyDescent="0.3">
      <c r="B599" t="s">
        <v>1677</v>
      </c>
      <c r="C599" s="49"/>
      <c r="F599" s="49"/>
      <c r="G599" s="72"/>
      <c r="I599" s="49">
        <v>0</v>
      </c>
      <c r="J599" s="72"/>
      <c r="L599" s="49">
        <v>0</v>
      </c>
      <c r="M599" s="72"/>
      <c r="O599" s="49">
        <v>0</v>
      </c>
    </row>
    <row r="600" spans="2:15" x14ac:dyDescent="0.3">
      <c r="B600" t="s">
        <v>1676</v>
      </c>
      <c r="C600" s="49"/>
      <c r="F600" s="49"/>
      <c r="G600" s="72"/>
      <c r="I600" s="49">
        <v>0</v>
      </c>
      <c r="J600" s="72"/>
      <c r="L600" s="49">
        <v>0</v>
      </c>
      <c r="M600" s="72"/>
      <c r="O600" s="49">
        <v>0</v>
      </c>
    </row>
    <row r="601" spans="2:15" x14ac:dyDescent="0.3">
      <c r="B601" t="s">
        <v>1702</v>
      </c>
      <c r="C601" s="49"/>
      <c r="F601" s="49"/>
      <c r="G601" s="72"/>
      <c r="I601" s="49">
        <v>0</v>
      </c>
      <c r="J601" s="72"/>
      <c r="L601" s="49">
        <v>0</v>
      </c>
      <c r="M601" s="72"/>
      <c r="O601" s="49">
        <v>0</v>
      </c>
    </row>
    <row r="602" spans="2:15" x14ac:dyDescent="0.3">
      <c r="B602" t="s">
        <v>1425</v>
      </c>
      <c r="C602" s="49"/>
      <c r="F602" s="49"/>
      <c r="G602" s="72"/>
      <c r="I602" s="49">
        <v>0</v>
      </c>
      <c r="J602" s="72"/>
      <c r="L602" s="49">
        <v>0</v>
      </c>
      <c r="M602" s="72"/>
      <c r="O602" s="49">
        <v>0</v>
      </c>
    </row>
    <row r="603" spans="2:15" x14ac:dyDescent="0.3">
      <c r="B603" t="s">
        <v>1417</v>
      </c>
      <c r="C603" s="49"/>
      <c r="F603" s="49"/>
      <c r="G603" s="72"/>
      <c r="I603" s="49">
        <v>0</v>
      </c>
      <c r="J603" s="72"/>
      <c r="L603" s="49">
        <v>0</v>
      </c>
      <c r="M603" s="72"/>
      <c r="O603" s="49">
        <v>0</v>
      </c>
    </row>
    <row r="604" spans="2:15" x14ac:dyDescent="0.3">
      <c r="B604" t="s">
        <v>1703</v>
      </c>
      <c r="C604" s="49"/>
      <c r="F604" s="49"/>
      <c r="G604" s="72"/>
      <c r="I604" s="49">
        <v>0</v>
      </c>
      <c r="J604" s="72"/>
      <c r="L604" s="49">
        <v>0</v>
      </c>
      <c r="M604" s="72"/>
      <c r="O604" s="49">
        <v>0</v>
      </c>
    </row>
    <row r="605" spans="2:15" x14ac:dyDescent="0.3">
      <c r="B605" t="s">
        <v>1442</v>
      </c>
      <c r="C605" s="49"/>
      <c r="F605" s="49"/>
      <c r="G605" s="72"/>
      <c r="I605" s="49">
        <v>0</v>
      </c>
      <c r="J605" s="72"/>
      <c r="L605" s="49">
        <v>0</v>
      </c>
      <c r="M605" s="72"/>
      <c r="O605" s="49">
        <v>0</v>
      </c>
    </row>
    <row r="606" spans="2:15" x14ac:dyDescent="0.3">
      <c r="B606" s="93">
        <v>45992</v>
      </c>
      <c r="C606" s="130">
        <f>SUM(C584:C605)</f>
        <v>0</v>
      </c>
      <c r="E606" s="93">
        <v>45992</v>
      </c>
      <c r="F606" s="130">
        <f>SUM(F584:F605)</f>
        <v>-48110</v>
      </c>
      <c r="G606" s="72"/>
      <c r="H606" s="93">
        <v>45992</v>
      </c>
      <c r="I606" s="130">
        <f>SUM(I584:I605)</f>
        <v>335940</v>
      </c>
      <c r="J606" s="72"/>
      <c r="K606" s="93">
        <v>45992</v>
      </c>
      <c r="L606" s="130">
        <f>SUM(L584:L605)</f>
        <v>0</v>
      </c>
      <c r="M606" s="72"/>
      <c r="N606" s="93">
        <v>45992</v>
      </c>
      <c r="O606" s="130">
        <f>SUM(O584:O605)</f>
        <v>0</v>
      </c>
    </row>
    <row r="607" spans="2:15" ht="15" thickBot="1" x14ac:dyDescent="0.35">
      <c r="B607" s="200" t="s">
        <v>1864</v>
      </c>
      <c r="C607" s="201">
        <f>C292+C317+C344+C371+C398+C425+C452+C478+C504+C531+C558+C582+C606</f>
        <v>2923241.125</v>
      </c>
      <c r="D607" s="564"/>
      <c r="E607" s="200"/>
      <c r="F607" s="201">
        <f>F292+F317+F344+F371+F398+F425+F452+F478+F504+F531+F558+F582+F606</f>
        <v>224898</v>
      </c>
      <c r="G607" s="564"/>
      <c r="H607" s="200"/>
      <c r="I607" s="201">
        <f>I292+I317+I344+I371+I398+I425+I452+I478+I504+I531+I558+I582+I606</f>
        <v>982878</v>
      </c>
      <c r="J607" s="564"/>
      <c r="K607" s="200"/>
      <c r="L607" s="201">
        <f>L292+L317+L344+L371+L398+L425+L452+L478+L504+L531+L558+L582+L606</f>
        <v>1381000</v>
      </c>
      <c r="M607" s="564"/>
      <c r="N607" s="200"/>
      <c r="O607" s="201">
        <f>O292+O317+O344+O371+O398+O425+O452+O478+O504+O531+O558+O582+O606</f>
        <v>930000</v>
      </c>
    </row>
    <row r="608" spans="2:15" ht="15" thickTop="1" x14ac:dyDescent="0.3">
      <c r="B608" s="98" t="s">
        <v>1907</v>
      </c>
      <c r="C608" s="151">
        <f>2923241</f>
        <v>2923241</v>
      </c>
      <c r="E608" s="104"/>
      <c r="F608" s="151">
        <v>224898</v>
      </c>
      <c r="G608" s="72"/>
      <c r="H608" s="104"/>
      <c r="I608" s="151">
        <v>982878</v>
      </c>
      <c r="J608" s="72"/>
      <c r="K608" s="104"/>
      <c r="L608" s="151">
        <v>1381000</v>
      </c>
      <c r="M608" s="72"/>
      <c r="N608" s="104"/>
      <c r="O608" s="151">
        <v>930000</v>
      </c>
    </row>
    <row r="609" spans="2:15" ht="15.6" x14ac:dyDescent="0.3">
      <c r="B609" s="469" t="s">
        <v>1685</v>
      </c>
      <c r="C609" s="470"/>
      <c r="D609" s="565"/>
      <c r="E609" s="469" t="s">
        <v>163</v>
      </c>
      <c r="F609" s="469"/>
      <c r="G609" s="565"/>
      <c r="H609" s="469" t="s">
        <v>1684</v>
      </c>
      <c r="I609" s="469"/>
      <c r="J609" s="565"/>
      <c r="K609" s="469" t="s">
        <v>266</v>
      </c>
      <c r="L609" s="469"/>
      <c r="M609" s="565"/>
      <c r="N609" s="469" t="s">
        <v>1683</v>
      </c>
      <c r="O609" s="469"/>
    </row>
    <row r="610" spans="2:15" x14ac:dyDescent="0.3">
      <c r="B610" s="82" t="s">
        <v>1767</v>
      </c>
      <c r="C610" s="49">
        <v>0</v>
      </c>
      <c r="D610" s="568"/>
      <c r="E610" s="49"/>
      <c r="F610" s="49">
        <f>+'Recpt 2025'!DK58</f>
        <v>262500</v>
      </c>
      <c r="G610" s="568"/>
      <c r="H610" s="49"/>
      <c r="I610" s="49">
        <v>0</v>
      </c>
      <c r="J610" s="568"/>
      <c r="K610" s="49"/>
      <c r="L610" s="49"/>
      <c r="M610" s="568"/>
      <c r="N610" s="49"/>
      <c r="O610" s="49"/>
    </row>
    <row r="611" spans="2:15" x14ac:dyDescent="0.3">
      <c r="B611" t="s">
        <v>80</v>
      </c>
      <c r="C611" s="49">
        <v>0</v>
      </c>
      <c r="D611" s="568"/>
      <c r="E611" s="49"/>
      <c r="F611" s="49">
        <v>0</v>
      </c>
      <c r="G611" s="568"/>
      <c r="H611" s="49"/>
      <c r="I611" s="49">
        <v>0</v>
      </c>
      <c r="J611" s="568"/>
      <c r="K611" s="49"/>
      <c r="L611" s="49"/>
      <c r="M611" s="568"/>
      <c r="N611" s="49"/>
      <c r="O611" s="49"/>
    </row>
    <row r="612" spans="2:15" x14ac:dyDescent="0.3">
      <c r="B612" t="s">
        <v>63</v>
      </c>
      <c r="C612" s="49">
        <v>0</v>
      </c>
      <c r="D612" s="568"/>
      <c r="E612" s="49"/>
      <c r="F612" s="49">
        <v>0</v>
      </c>
      <c r="G612" s="568"/>
      <c r="H612" s="49"/>
      <c r="I612" s="49">
        <f>+'Recpt 2026'!D63</f>
        <v>500000</v>
      </c>
      <c r="J612" s="568"/>
      <c r="K612" s="49"/>
      <c r="L612" s="49"/>
      <c r="M612" s="568"/>
      <c r="N612" s="49"/>
      <c r="O612" s="49"/>
    </row>
    <row r="613" spans="2:15" x14ac:dyDescent="0.3">
      <c r="B613" t="s">
        <v>64</v>
      </c>
      <c r="C613" s="49">
        <v>0</v>
      </c>
      <c r="D613" s="568"/>
      <c r="E613" s="49"/>
      <c r="F613" s="49">
        <v>0</v>
      </c>
      <c r="G613" s="568"/>
      <c r="H613" s="49"/>
      <c r="I613" s="49">
        <f>+'Recpt 2026'!D64</f>
        <v>0</v>
      </c>
      <c r="J613" s="568"/>
      <c r="K613" s="49"/>
      <c r="L613" s="49"/>
      <c r="M613" s="568"/>
      <c r="N613" s="49"/>
      <c r="O613" s="49"/>
    </row>
    <row r="614" spans="2:15" x14ac:dyDescent="0.3">
      <c r="B614" t="s">
        <v>1699</v>
      </c>
      <c r="C614" s="49">
        <v>0</v>
      </c>
      <c r="D614" s="568"/>
      <c r="E614" s="49"/>
      <c r="F614" s="49">
        <v>0</v>
      </c>
      <c r="G614" s="568"/>
      <c r="H614" s="49"/>
      <c r="I614" s="49">
        <f>+'Recpt 2026'!D65</f>
        <v>0</v>
      </c>
      <c r="J614" s="568"/>
      <c r="K614" s="49"/>
      <c r="L614" s="49"/>
      <c r="M614" s="568"/>
      <c r="N614" s="49"/>
      <c r="O614" s="49"/>
    </row>
    <row r="615" spans="2:15" x14ac:dyDescent="0.3">
      <c r="B615" t="s">
        <v>142</v>
      </c>
      <c r="C615" s="49">
        <v>0</v>
      </c>
      <c r="D615" s="568"/>
      <c r="E615" s="49"/>
      <c r="F615" s="49">
        <v>0</v>
      </c>
      <c r="G615" s="568"/>
      <c r="H615" s="49"/>
      <c r="I615" s="49">
        <f>+'Recpt 2026'!D66</f>
        <v>27500</v>
      </c>
      <c r="J615" s="568"/>
      <c r="K615" s="49"/>
      <c r="L615" s="49"/>
      <c r="M615" s="568"/>
      <c r="N615" s="49"/>
      <c r="O615" s="49"/>
    </row>
    <row r="616" spans="2:15" x14ac:dyDescent="0.3">
      <c r="B616" t="s">
        <v>1865</v>
      </c>
      <c r="C616" s="49">
        <v>0</v>
      </c>
      <c r="D616" s="568"/>
      <c r="E616" s="49"/>
      <c r="F616" s="49">
        <v>0</v>
      </c>
      <c r="G616" s="568"/>
      <c r="H616" s="49"/>
      <c r="I616" s="49">
        <f>+'Recpt 2026'!D67</f>
        <v>50000</v>
      </c>
      <c r="J616" s="568"/>
      <c r="K616" s="49"/>
      <c r="L616" s="49"/>
      <c r="M616" s="568"/>
      <c r="N616" s="49"/>
      <c r="O616" s="49"/>
    </row>
    <row r="617" spans="2:15" x14ac:dyDescent="0.3">
      <c r="B617" t="s">
        <v>15</v>
      </c>
      <c r="C617" s="49">
        <v>0</v>
      </c>
      <c r="D617" s="568"/>
      <c r="E617" s="49"/>
      <c r="F617" s="49">
        <v>0</v>
      </c>
      <c r="G617" s="568"/>
      <c r="H617" s="49"/>
      <c r="I617" s="49">
        <f>-'Exp 2026'!D10</f>
        <v>0</v>
      </c>
      <c r="J617" s="568"/>
      <c r="K617" s="49"/>
      <c r="L617" s="49"/>
      <c r="M617" s="568"/>
      <c r="N617" s="49"/>
      <c r="O617" s="49"/>
    </row>
    <row r="618" spans="2:15" x14ac:dyDescent="0.3">
      <c r="B618" s="82" t="s">
        <v>74</v>
      </c>
      <c r="C618" s="49">
        <v>0</v>
      </c>
      <c r="D618" s="568"/>
      <c r="E618" s="49"/>
      <c r="F618" s="49">
        <v>0</v>
      </c>
      <c r="G618" s="568"/>
      <c r="H618" s="49"/>
      <c r="I618" s="49">
        <f>-'Exp 2026'!D19-'Exp 2026'!D22</f>
        <v>-265000</v>
      </c>
      <c r="J618" s="568"/>
      <c r="K618" s="49"/>
      <c r="L618" s="49"/>
      <c r="M618" s="568"/>
      <c r="N618" s="49"/>
      <c r="O618" s="49"/>
    </row>
    <row r="619" spans="2:15" x14ac:dyDescent="0.3">
      <c r="B619" t="s">
        <v>62</v>
      </c>
      <c r="C619" s="49">
        <v>0</v>
      </c>
      <c r="D619" s="568"/>
      <c r="E619" s="49"/>
      <c r="F619" s="49">
        <v>0</v>
      </c>
      <c r="G619" s="568"/>
      <c r="H619" s="49"/>
      <c r="I619" s="49">
        <f>-'Exp 2026'!D30</f>
        <v>-21300</v>
      </c>
      <c r="J619" s="568"/>
      <c r="K619" s="49"/>
      <c r="L619" s="49"/>
      <c r="M619" s="568"/>
      <c r="N619" s="49"/>
      <c r="O619" s="49"/>
    </row>
    <row r="620" spans="2:15" x14ac:dyDescent="0.3">
      <c r="B620" t="s">
        <v>81</v>
      </c>
      <c r="C620" s="49">
        <v>0</v>
      </c>
      <c r="D620" s="568"/>
      <c r="E620" s="49"/>
      <c r="F620" s="49">
        <v>0</v>
      </c>
      <c r="G620" s="568"/>
      <c r="H620" s="49"/>
      <c r="I620" s="49">
        <f>-'Exp 2026'!D33</f>
        <v>-15740</v>
      </c>
      <c r="J620" s="568"/>
      <c r="K620" s="49"/>
      <c r="L620" s="49"/>
      <c r="M620" s="568"/>
      <c r="N620" s="49"/>
      <c r="O620" s="49"/>
    </row>
    <row r="621" spans="2:15" x14ac:dyDescent="0.3">
      <c r="B621" t="s">
        <v>1869</v>
      </c>
      <c r="C621" s="49">
        <v>0</v>
      </c>
      <c r="D621" s="568"/>
      <c r="E621" s="49"/>
      <c r="F621" s="49">
        <f>-'Exp 2026'!D36</f>
        <v>-226381</v>
      </c>
      <c r="G621" s="568"/>
      <c r="H621" s="49"/>
      <c r="I621" s="49"/>
      <c r="J621" s="568"/>
      <c r="K621" s="49"/>
      <c r="L621" s="49"/>
      <c r="M621" s="568"/>
      <c r="N621" s="49"/>
      <c r="O621" s="49"/>
    </row>
    <row r="622" spans="2:15" x14ac:dyDescent="0.3">
      <c r="B622" t="s">
        <v>140</v>
      </c>
      <c r="C622" s="49">
        <v>0</v>
      </c>
      <c r="D622" s="568"/>
      <c r="E622" s="49"/>
      <c r="F622" s="49">
        <v>0</v>
      </c>
      <c r="G622" s="568"/>
      <c r="H622" s="49"/>
      <c r="I622" s="49">
        <f>-'Exp 2026'!D43</f>
        <v>-34580</v>
      </c>
      <c r="J622" s="568"/>
      <c r="K622" s="49"/>
      <c r="L622" s="49"/>
      <c r="M622" s="568"/>
      <c r="N622" s="49"/>
      <c r="O622" s="49"/>
    </row>
    <row r="623" spans="2:15" x14ac:dyDescent="0.3">
      <c r="B623" t="s">
        <v>83</v>
      </c>
      <c r="C623" s="49">
        <v>0</v>
      </c>
      <c r="D623" s="568"/>
      <c r="E623" s="49"/>
      <c r="F623" s="49">
        <v>0</v>
      </c>
      <c r="G623" s="568"/>
      <c r="H623" s="49"/>
      <c r="I623" s="49">
        <f>-'Exp 2026'!D49</f>
        <v>-11500</v>
      </c>
      <c r="J623" s="568"/>
      <c r="K623" s="49"/>
      <c r="L623" s="49"/>
      <c r="M623" s="568"/>
      <c r="N623" s="49"/>
      <c r="O623" s="49"/>
    </row>
    <row r="624" spans="2:15" x14ac:dyDescent="0.3">
      <c r="B624" t="s">
        <v>1704</v>
      </c>
      <c r="C624" s="49">
        <v>0</v>
      </c>
      <c r="D624" s="568"/>
      <c r="E624" s="49"/>
      <c r="F624" s="49">
        <v>0</v>
      </c>
      <c r="G624" s="568"/>
      <c r="H624" s="49"/>
      <c r="I624" s="49">
        <f>-'Exp 2026'!D52</f>
        <v>0</v>
      </c>
      <c r="J624" s="568"/>
      <c r="K624" s="49"/>
      <c r="L624" s="49"/>
      <c r="M624" s="568"/>
      <c r="N624" s="49"/>
      <c r="O624" s="49"/>
    </row>
    <row r="625" spans="2:15" x14ac:dyDescent="0.3">
      <c r="B625" t="s">
        <v>1862</v>
      </c>
      <c r="C625" s="49">
        <v>0</v>
      </c>
      <c r="D625" s="568"/>
      <c r="E625" s="49"/>
      <c r="F625" s="49">
        <v>0</v>
      </c>
      <c r="G625" s="568"/>
      <c r="H625" s="49"/>
      <c r="I625" s="49">
        <f>-'Exp 2026'!D58</f>
        <v>-18500</v>
      </c>
      <c r="J625" s="568"/>
      <c r="K625" s="49"/>
      <c r="L625" s="49"/>
      <c r="M625" s="568"/>
      <c r="N625" s="49"/>
      <c r="O625" s="49"/>
    </row>
    <row r="626" spans="2:15" x14ac:dyDescent="0.3">
      <c r="B626" t="s">
        <v>1417</v>
      </c>
      <c r="C626" s="49">
        <v>0</v>
      </c>
      <c r="D626" s="568"/>
      <c r="E626" s="49"/>
      <c r="F626" s="49">
        <v>0</v>
      </c>
      <c r="G626" s="568"/>
      <c r="H626" s="49"/>
      <c r="I626" s="49">
        <f>-'Exp 2026'!D62</f>
        <v>0</v>
      </c>
      <c r="J626" s="568"/>
      <c r="K626" s="49"/>
      <c r="L626" s="49"/>
      <c r="M626" s="568"/>
      <c r="N626" s="49"/>
      <c r="O626" s="49"/>
    </row>
    <row r="627" spans="2:15" x14ac:dyDescent="0.3">
      <c r="B627" t="s">
        <v>77</v>
      </c>
      <c r="C627" s="49">
        <v>0</v>
      </c>
      <c r="D627" s="568"/>
      <c r="E627" s="49"/>
      <c r="F627" s="49">
        <v>0</v>
      </c>
      <c r="G627" s="568"/>
      <c r="H627" s="49"/>
      <c r="I627" s="49">
        <f>-'Exp 2026'!D66</f>
        <v>0</v>
      </c>
      <c r="J627" s="568"/>
      <c r="K627" s="49"/>
      <c r="L627" s="49"/>
      <c r="M627" s="568"/>
      <c r="N627" s="49"/>
      <c r="O627" s="49"/>
    </row>
    <row r="628" spans="2:15" x14ac:dyDescent="0.3">
      <c r="B628" t="s">
        <v>82</v>
      </c>
      <c r="C628" s="49">
        <v>0</v>
      </c>
      <c r="D628" s="568"/>
      <c r="E628" s="49"/>
      <c r="F628" s="49">
        <v>0</v>
      </c>
      <c r="G628" s="568"/>
      <c r="H628" s="49"/>
      <c r="I628" s="49">
        <f>-'Exp 2026'!D78</f>
        <v>-273740</v>
      </c>
      <c r="J628" s="568"/>
      <c r="K628" s="49"/>
      <c r="L628" s="49"/>
      <c r="M628" s="568"/>
      <c r="N628" s="49"/>
      <c r="O628" s="49"/>
    </row>
    <row r="629" spans="2:15" x14ac:dyDescent="0.3">
      <c r="B629" t="s">
        <v>129</v>
      </c>
      <c r="C629" s="49">
        <v>0</v>
      </c>
      <c r="D629" s="568"/>
      <c r="E629" s="49"/>
      <c r="F629" s="49">
        <v>0</v>
      </c>
      <c r="G629" s="568"/>
      <c r="H629" s="49"/>
      <c r="I629" s="49">
        <f>-'Exp 2026'!D84</f>
        <v>0</v>
      </c>
      <c r="J629" s="568"/>
      <c r="K629" s="49"/>
      <c r="L629" s="49"/>
      <c r="M629" s="568"/>
      <c r="N629" s="49"/>
      <c r="O629" s="49"/>
    </row>
    <row r="630" spans="2:15" x14ac:dyDescent="0.3">
      <c r="B630" s="82" t="s">
        <v>1870</v>
      </c>
      <c r="C630" s="49">
        <v>0</v>
      </c>
      <c r="D630" s="568"/>
      <c r="E630" s="49"/>
      <c r="F630" s="49">
        <v>0</v>
      </c>
      <c r="G630" s="568"/>
      <c r="H630" s="49"/>
      <c r="I630" s="49">
        <f>-'Exp 2026'!D91</f>
        <v>0</v>
      </c>
      <c r="J630" s="568"/>
      <c r="K630" s="49"/>
      <c r="L630" s="49"/>
      <c r="M630" s="568"/>
      <c r="N630" s="49"/>
      <c r="O630" s="49"/>
    </row>
    <row r="631" spans="2:15" x14ac:dyDescent="0.3">
      <c r="B631" t="s">
        <v>1677</v>
      </c>
      <c r="C631" s="49">
        <v>0</v>
      </c>
      <c r="D631" s="568"/>
      <c r="E631" s="49"/>
      <c r="F631" s="49">
        <v>0</v>
      </c>
      <c r="G631" s="568"/>
      <c r="H631" s="49"/>
      <c r="I631" s="49">
        <f>-'Exp 2026'!D96</f>
        <v>0</v>
      </c>
      <c r="J631" s="568"/>
      <c r="K631" s="49"/>
      <c r="L631" s="49"/>
      <c r="M631" s="568"/>
      <c r="N631" s="49"/>
      <c r="O631" s="49"/>
    </row>
    <row r="632" spans="2:15" x14ac:dyDescent="0.3">
      <c r="B632" t="s">
        <v>1834</v>
      </c>
      <c r="C632" s="49">
        <v>0</v>
      </c>
      <c r="D632" s="568"/>
      <c r="E632" s="49"/>
      <c r="F632" s="49">
        <v>0</v>
      </c>
      <c r="G632" s="568"/>
      <c r="H632" s="49"/>
      <c r="I632" s="49">
        <f>-'Exp 2026'!D101</f>
        <v>-50000</v>
      </c>
      <c r="J632" s="568"/>
      <c r="K632" s="49"/>
      <c r="L632" s="49"/>
      <c r="M632" s="568"/>
      <c r="N632" s="49"/>
      <c r="O632" s="49"/>
    </row>
    <row r="633" spans="2:15" x14ac:dyDescent="0.3">
      <c r="B633" t="s">
        <v>1861</v>
      </c>
      <c r="C633" s="49">
        <v>0</v>
      </c>
      <c r="D633" s="568"/>
      <c r="E633" s="49"/>
      <c r="F633" s="49">
        <v>0</v>
      </c>
      <c r="G633" s="568"/>
      <c r="H633" s="49"/>
      <c r="I633" s="49">
        <f>-'Exp 2026'!D105</f>
        <v>-12500</v>
      </c>
      <c r="J633" s="568"/>
      <c r="K633" s="49"/>
      <c r="L633" s="49"/>
      <c r="M633" s="568"/>
      <c r="N633" s="49"/>
      <c r="O633" s="49"/>
    </row>
    <row r="634" spans="2:15" x14ac:dyDescent="0.3">
      <c r="C634" s="49"/>
      <c r="F634" s="49"/>
      <c r="G634" s="72"/>
      <c r="J634" s="72"/>
      <c r="M634" s="72"/>
    </row>
    <row r="635" spans="2:15" x14ac:dyDescent="0.3">
      <c r="B635" s="93">
        <v>46023</v>
      </c>
      <c r="C635" s="130">
        <f>SUM(C610:C634)</f>
        <v>0</v>
      </c>
      <c r="E635" s="93">
        <v>46023</v>
      </c>
      <c r="F635" s="130">
        <f>SUM(F610:F634)</f>
        <v>36119</v>
      </c>
      <c r="G635" s="72"/>
      <c r="H635" s="93">
        <v>46023</v>
      </c>
      <c r="I635" s="130">
        <f>SUM(I610:I634)</f>
        <v>-125360</v>
      </c>
      <c r="J635" s="72"/>
      <c r="K635" s="93">
        <v>46023</v>
      </c>
      <c r="L635" s="130">
        <f>SUM(L610:L634)</f>
        <v>0</v>
      </c>
      <c r="M635" s="72"/>
      <c r="N635" s="93">
        <v>46023</v>
      </c>
      <c r="O635" s="130">
        <f>SUM(O610:O634)</f>
        <v>0</v>
      </c>
    </row>
    <row r="636" spans="2:15" ht="15" thickBot="1" x14ac:dyDescent="0.35">
      <c r="B636" s="566" t="s">
        <v>1871</v>
      </c>
      <c r="C636" s="567">
        <f>C608+C635</f>
        <v>2923241</v>
      </c>
      <c r="D636" s="564"/>
      <c r="E636" s="566"/>
      <c r="F636" s="567">
        <f>F608+F635</f>
        <v>261017</v>
      </c>
      <c r="G636" s="564"/>
      <c r="H636" s="566"/>
      <c r="I636" s="567">
        <f>I608+I635</f>
        <v>857518</v>
      </c>
      <c r="J636" s="564"/>
      <c r="K636" s="566"/>
      <c r="L636" s="567">
        <f>L608+L635</f>
        <v>1381000</v>
      </c>
      <c r="M636" s="564"/>
      <c r="N636" s="566"/>
      <c r="O636" s="567">
        <f>O608+O635</f>
        <v>930000</v>
      </c>
    </row>
    <row r="637" spans="2:15" ht="15" thickTop="1" x14ac:dyDescent="0.3">
      <c r="B637" s="82" t="s">
        <v>1767</v>
      </c>
      <c r="C637" s="49"/>
      <c r="F637" s="49">
        <f>+'Recpt 2026'!G58</f>
        <v>241500</v>
      </c>
      <c r="G637" s="72"/>
      <c r="I637" s="49">
        <v>0</v>
      </c>
      <c r="J637" s="72"/>
      <c r="M637" s="72"/>
    </row>
    <row r="638" spans="2:15" x14ac:dyDescent="0.3">
      <c r="B638" t="s">
        <v>80</v>
      </c>
      <c r="C638" s="49"/>
      <c r="F638" s="49">
        <v>0</v>
      </c>
      <c r="G638" s="72"/>
      <c r="I638" s="49">
        <v>0</v>
      </c>
      <c r="J638" s="72"/>
      <c r="M638" s="72"/>
    </row>
    <row r="639" spans="2:15" x14ac:dyDescent="0.3">
      <c r="B639" t="s">
        <v>63</v>
      </c>
      <c r="C639" s="49"/>
      <c r="F639" s="49">
        <v>0</v>
      </c>
      <c r="G639" s="72"/>
      <c r="I639" s="49">
        <f>+'Recpt 2026'!G63</f>
        <v>500000</v>
      </c>
      <c r="J639" s="72"/>
      <c r="M639" s="72"/>
    </row>
    <row r="640" spans="2:15" x14ac:dyDescent="0.3">
      <c r="B640" t="s">
        <v>64</v>
      </c>
      <c r="C640" s="49"/>
      <c r="F640" s="49">
        <v>0</v>
      </c>
      <c r="G640" s="72"/>
      <c r="I640" s="49">
        <v>0</v>
      </c>
      <c r="J640" s="72"/>
      <c r="M640" s="72"/>
    </row>
    <row r="641" spans="2:13" x14ac:dyDescent="0.3">
      <c r="B641" t="s">
        <v>1699</v>
      </c>
      <c r="C641" s="49"/>
      <c r="F641" s="49">
        <v>0</v>
      </c>
      <c r="G641" s="72"/>
      <c r="I641" s="49">
        <f>+'Recpt 2026'!G65</f>
        <v>200000</v>
      </c>
      <c r="J641" s="72"/>
      <c r="M641" s="72"/>
    </row>
    <row r="642" spans="2:13" x14ac:dyDescent="0.3">
      <c r="B642" t="s">
        <v>142</v>
      </c>
      <c r="C642" s="49"/>
      <c r="F642" s="49">
        <v>0</v>
      </c>
      <c r="G642" s="72"/>
      <c r="I642" s="49">
        <v>0</v>
      </c>
      <c r="J642" s="72"/>
      <c r="M642" s="72"/>
    </row>
    <row r="643" spans="2:13" x14ac:dyDescent="0.3">
      <c r="B643" t="s">
        <v>1865</v>
      </c>
      <c r="C643" s="49"/>
      <c r="F643" s="49">
        <v>0</v>
      </c>
      <c r="G643" s="72"/>
      <c r="I643" s="49">
        <v>0</v>
      </c>
      <c r="J643" s="72"/>
      <c r="M643" s="72"/>
    </row>
    <row r="644" spans="2:13" x14ac:dyDescent="0.3">
      <c r="B644" t="s">
        <v>15</v>
      </c>
      <c r="C644" s="49"/>
      <c r="F644" s="49">
        <v>0</v>
      </c>
      <c r="G644" s="72"/>
      <c r="I644" s="49">
        <f>-'Exp 2026'!F10</f>
        <v>-15000</v>
      </c>
      <c r="J644" s="72"/>
      <c r="M644" s="72"/>
    </row>
    <row r="645" spans="2:13" x14ac:dyDescent="0.3">
      <c r="B645" s="82" t="s">
        <v>74</v>
      </c>
      <c r="C645" s="49"/>
      <c r="F645" s="49">
        <v>0</v>
      </c>
      <c r="G645" s="72"/>
      <c r="I645" s="49">
        <f>-'Exp 2026'!F19-'Exp 2026'!F22</f>
        <v>-225800</v>
      </c>
      <c r="J645" s="72"/>
      <c r="M645" s="72"/>
    </row>
    <row r="646" spans="2:13" x14ac:dyDescent="0.3">
      <c r="B646" t="s">
        <v>62</v>
      </c>
      <c r="C646" s="49"/>
      <c r="F646" s="49">
        <v>0</v>
      </c>
      <c r="G646" s="72"/>
      <c r="I646" s="49">
        <f>-'Exp 2026'!F30</f>
        <v>-16500</v>
      </c>
      <c r="J646" s="72"/>
      <c r="M646" s="72"/>
    </row>
    <row r="647" spans="2:13" x14ac:dyDescent="0.3">
      <c r="B647" t="s">
        <v>81</v>
      </c>
      <c r="C647" s="49"/>
      <c r="F647" s="49">
        <v>0</v>
      </c>
      <c r="G647" s="72"/>
      <c r="I647" s="49">
        <f>-'Exp 2026'!F33</f>
        <v>-12560</v>
      </c>
      <c r="J647" s="72"/>
      <c r="M647" s="72"/>
    </row>
    <row r="648" spans="2:13" x14ac:dyDescent="0.3">
      <c r="B648" t="s">
        <v>1869</v>
      </c>
      <c r="C648" s="49"/>
      <c r="F648" s="49">
        <f>-'Exp 2026'!F36</f>
        <v>-242468</v>
      </c>
      <c r="G648" s="72"/>
      <c r="I648" s="49">
        <v>0</v>
      </c>
      <c r="J648" s="72"/>
      <c r="M648" s="72"/>
    </row>
    <row r="649" spans="2:13" x14ac:dyDescent="0.3">
      <c r="B649" t="s">
        <v>140</v>
      </c>
      <c r="C649" s="49"/>
      <c r="F649" s="49"/>
      <c r="G649" s="72"/>
      <c r="I649" s="49">
        <f>-'Exp 2026'!F43</f>
        <v>-3640</v>
      </c>
      <c r="J649" s="72"/>
      <c r="M649" s="72"/>
    </row>
    <row r="650" spans="2:13" x14ac:dyDescent="0.3">
      <c r="B650" t="s">
        <v>83</v>
      </c>
      <c r="C650" s="49"/>
      <c r="F650" s="49"/>
      <c r="G650" s="72"/>
      <c r="I650" s="49">
        <f>-'Exp 2026'!F49</f>
        <v>-53600</v>
      </c>
      <c r="J650" s="72"/>
      <c r="M650" s="72"/>
    </row>
    <row r="651" spans="2:13" x14ac:dyDescent="0.3">
      <c r="B651" t="s">
        <v>1704</v>
      </c>
      <c r="C651" s="49"/>
      <c r="F651" s="49"/>
      <c r="G651" s="72"/>
      <c r="I651" s="49">
        <f>-'Exp 2026'!F52</f>
        <v>-169450</v>
      </c>
      <c r="J651" s="72"/>
      <c r="M651" s="72"/>
    </row>
    <row r="652" spans="2:13" x14ac:dyDescent="0.3">
      <c r="B652" t="s">
        <v>1862</v>
      </c>
      <c r="C652" s="49"/>
      <c r="F652" s="49"/>
      <c r="G652" s="72"/>
      <c r="I652" s="49">
        <f>-'Exp 2026'!F58</f>
        <v>-6600</v>
      </c>
      <c r="J652" s="72"/>
      <c r="M652" s="72"/>
    </row>
    <row r="653" spans="2:13" x14ac:dyDescent="0.3">
      <c r="B653" t="s">
        <v>1417</v>
      </c>
      <c r="C653" s="49"/>
      <c r="F653" s="49"/>
      <c r="G653" s="72"/>
      <c r="I653" s="49">
        <v>0</v>
      </c>
      <c r="J653" s="72"/>
      <c r="M653" s="72"/>
    </row>
    <row r="654" spans="2:13" x14ac:dyDescent="0.3">
      <c r="B654" t="s">
        <v>77</v>
      </c>
      <c r="C654" s="49"/>
      <c r="F654" s="49"/>
      <c r="G654" s="72"/>
      <c r="I654" s="49">
        <v>0</v>
      </c>
      <c r="J654" s="72"/>
      <c r="M654" s="72"/>
    </row>
    <row r="655" spans="2:13" x14ac:dyDescent="0.3">
      <c r="B655" t="s">
        <v>82</v>
      </c>
      <c r="C655" s="49"/>
      <c r="F655" s="49"/>
      <c r="G655" s="72"/>
      <c r="I655" s="49">
        <f>-'Exp 2026'!F78</f>
        <v>-83600</v>
      </c>
      <c r="J655" s="72"/>
      <c r="M655" s="72"/>
    </row>
    <row r="656" spans="2:13" x14ac:dyDescent="0.3">
      <c r="B656" t="s">
        <v>129</v>
      </c>
      <c r="C656" s="49"/>
      <c r="F656" s="49"/>
      <c r="G656" s="72"/>
      <c r="I656" s="49">
        <v>0</v>
      </c>
      <c r="J656" s="72"/>
      <c r="M656" s="72"/>
    </row>
    <row r="657" spans="2:15" x14ac:dyDescent="0.3">
      <c r="B657" s="82" t="s">
        <v>1870</v>
      </c>
      <c r="C657" s="49"/>
      <c r="F657" s="49"/>
      <c r="G657" s="72"/>
      <c r="I657" s="49">
        <f>-'Exp 2026'!F91</f>
        <v>-58445</v>
      </c>
      <c r="J657" s="72"/>
      <c r="M657" s="72"/>
    </row>
    <row r="658" spans="2:15" x14ac:dyDescent="0.3">
      <c r="B658" t="s">
        <v>1677</v>
      </c>
      <c r="C658" s="49"/>
      <c r="F658" s="49"/>
      <c r="G658" s="72"/>
      <c r="I658" s="49">
        <v>0</v>
      </c>
      <c r="J658" s="72"/>
      <c r="M658" s="72"/>
    </row>
    <row r="659" spans="2:15" x14ac:dyDescent="0.3">
      <c r="B659" t="s">
        <v>1834</v>
      </c>
      <c r="C659" s="49"/>
      <c r="F659" s="49"/>
      <c r="G659" s="72"/>
      <c r="I659" s="49">
        <f>-'Exp 2026'!F101</f>
        <v>-16000</v>
      </c>
      <c r="J659" s="72"/>
      <c r="M659" s="72"/>
    </row>
    <row r="660" spans="2:15" x14ac:dyDescent="0.3">
      <c r="B660" t="s">
        <v>1861</v>
      </c>
      <c r="C660" s="49"/>
      <c r="F660" s="49"/>
      <c r="G660" s="72"/>
      <c r="I660" s="49">
        <f>-'Exp 2026'!F105</f>
        <v>-12500</v>
      </c>
      <c r="J660" s="72"/>
      <c r="M660" s="72"/>
    </row>
    <row r="661" spans="2:15" x14ac:dyDescent="0.3">
      <c r="C661" s="49"/>
      <c r="F661" s="49"/>
      <c r="G661" s="72"/>
      <c r="J661" s="72"/>
      <c r="M661" s="72"/>
    </row>
    <row r="662" spans="2:15" x14ac:dyDescent="0.3">
      <c r="B662" s="93">
        <v>46054</v>
      </c>
      <c r="C662" s="130">
        <f>SUM(C637:C660)</f>
        <v>0</v>
      </c>
      <c r="E662" s="93">
        <v>46054</v>
      </c>
      <c r="F662" s="130">
        <f>SUM(F637:F660)</f>
        <v>-968</v>
      </c>
      <c r="G662" s="72"/>
      <c r="H662" s="93">
        <v>46054</v>
      </c>
      <c r="I662" s="130">
        <f>SUM(I637:I660)</f>
        <v>26305</v>
      </c>
      <c r="J662" s="72"/>
      <c r="K662" s="93">
        <v>46054</v>
      </c>
      <c r="L662" s="130">
        <f>SUM(L637:L660)</f>
        <v>0</v>
      </c>
      <c r="M662" s="72"/>
      <c r="N662" s="93">
        <v>46054</v>
      </c>
      <c r="O662" s="130">
        <f>SUM(O637:O660)</f>
        <v>0</v>
      </c>
    </row>
    <row r="663" spans="2:15" ht="15" thickBot="1" x14ac:dyDescent="0.35">
      <c r="B663" s="566" t="s">
        <v>1871</v>
      </c>
      <c r="C663" s="567">
        <f>C608+C635+C662</f>
        <v>2923241</v>
      </c>
      <c r="D663" s="564"/>
      <c r="E663" s="566"/>
      <c r="F663" s="567">
        <f>F608+F635+F662</f>
        <v>260049</v>
      </c>
      <c r="G663" s="564"/>
      <c r="H663" s="566"/>
      <c r="I663" s="567">
        <f>I608+I635+I662</f>
        <v>883823</v>
      </c>
      <c r="J663" s="564"/>
      <c r="K663" s="566"/>
      <c r="L663" s="567">
        <f>L608+L635+L662</f>
        <v>1381000</v>
      </c>
      <c r="M663" s="564"/>
      <c r="N663" s="566"/>
      <c r="O663" s="567">
        <f>O608+O635+O662</f>
        <v>930000</v>
      </c>
    </row>
    <row r="664" spans="2:15" ht="15" thickTop="1" x14ac:dyDescent="0.3">
      <c r="B664" s="82" t="s">
        <v>1767</v>
      </c>
      <c r="F664" s="49">
        <f>+'Recpt 2026'!J58</f>
        <v>171500</v>
      </c>
      <c r="G664" s="72"/>
      <c r="I664" s="49">
        <v>0</v>
      </c>
      <c r="J664" s="72"/>
      <c r="M664" s="72"/>
    </row>
    <row r="665" spans="2:15" x14ac:dyDescent="0.3">
      <c r="B665" t="s">
        <v>80</v>
      </c>
      <c r="F665" s="49">
        <v>0</v>
      </c>
      <c r="G665" s="72"/>
      <c r="I665" s="49">
        <v>0</v>
      </c>
      <c r="J665" s="72"/>
      <c r="M665" s="72"/>
    </row>
    <row r="666" spans="2:15" x14ac:dyDescent="0.3">
      <c r="B666" t="s">
        <v>63</v>
      </c>
      <c r="F666" s="49">
        <v>0</v>
      </c>
      <c r="G666" s="72"/>
      <c r="I666" s="49">
        <f>+'Recpt 2026'!J63</f>
        <v>1000000</v>
      </c>
      <c r="J666" s="72"/>
      <c r="M666" s="72"/>
    </row>
    <row r="667" spans="2:15" x14ac:dyDescent="0.3">
      <c r="B667" t="s">
        <v>64</v>
      </c>
      <c r="F667" s="49">
        <v>0</v>
      </c>
      <c r="G667" s="72"/>
      <c r="I667" s="49">
        <v>0</v>
      </c>
      <c r="J667" s="72"/>
      <c r="M667" s="72"/>
    </row>
    <row r="668" spans="2:15" x14ac:dyDescent="0.3">
      <c r="B668" t="s">
        <v>1699</v>
      </c>
      <c r="F668" s="49">
        <v>0</v>
      </c>
      <c r="G668" s="72"/>
      <c r="I668" s="49">
        <f>+'Recpt 2026'!J65</f>
        <v>200000</v>
      </c>
      <c r="J668" s="72"/>
      <c r="M668" s="72"/>
    </row>
    <row r="669" spans="2:15" x14ac:dyDescent="0.3">
      <c r="B669" t="s">
        <v>142</v>
      </c>
      <c r="F669" s="49">
        <v>0</v>
      </c>
      <c r="G669" s="72"/>
      <c r="I669" s="49">
        <v>0</v>
      </c>
      <c r="J669" s="72"/>
      <c r="M669" s="72"/>
    </row>
    <row r="670" spans="2:15" x14ac:dyDescent="0.3">
      <c r="B670" t="s">
        <v>1865</v>
      </c>
      <c r="F670" s="49">
        <v>0</v>
      </c>
      <c r="G670" s="72"/>
      <c r="I670" s="49">
        <v>0</v>
      </c>
      <c r="J670" s="72"/>
      <c r="M670" s="72"/>
    </row>
    <row r="671" spans="2:15" x14ac:dyDescent="0.3">
      <c r="B671" t="s">
        <v>15</v>
      </c>
      <c r="F671" s="49"/>
      <c r="G671" s="72"/>
      <c r="I671" s="49">
        <f>-'Exp 2026'!H10</f>
        <v>0</v>
      </c>
      <c r="J671" s="72"/>
      <c r="M671" s="72"/>
    </row>
    <row r="672" spans="2:15" x14ac:dyDescent="0.3">
      <c r="B672" s="82" t="s">
        <v>74</v>
      </c>
      <c r="F672" s="49"/>
      <c r="G672" s="72"/>
      <c r="I672" s="49">
        <f>-'Exp 2026'!H19-'Exp 2026'!H22</f>
        <v>-276000</v>
      </c>
      <c r="J672" s="72"/>
      <c r="M672" s="72"/>
    </row>
    <row r="673" spans="2:13" x14ac:dyDescent="0.3">
      <c r="B673" t="s">
        <v>62</v>
      </c>
      <c r="F673" s="49"/>
      <c r="G673" s="72"/>
      <c r="I673" s="49">
        <f>-'Exp 2026'!H30</f>
        <v>-33000</v>
      </c>
      <c r="J673" s="72"/>
      <c r="M673" s="72"/>
    </row>
    <row r="674" spans="2:13" x14ac:dyDescent="0.3">
      <c r="B674" t="s">
        <v>81</v>
      </c>
      <c r="F674" s="49"/>
      <c r="G674" s="72"/>
      <c r="I674" s="49">
        <f>-'Exp 2026'!H33</f>
        <v>-18170</v>
      </c>
      <c r="J674" s="72"/>
      <c r="M674" s="72"/>
    </row>
    <row r="675" spans="2:13" x14ac:dyDescent="0.3">
      <c r="B675" t="s">
        <v>1869</v>
      </c>
      <c r="F675" s="49">
        <f>-'Exp 2026'!H36</f>
        <v>-224818</v>
      </c>
      <c r="G675" s="72"/>
      <c r="I675" s="49">
        <v>0</v>
      </c>
      <c r="J675" s="72"/>
      <c r="M675" s="72"/>
    </row>
    <row r="676" spans="2:13" x14ac:dyDescent="0.3">
      <c r="B676" t="s">
        <v>140</v>
      </c>
      <c r="F676" s="49">
        <v>0</v>
      </c>
      <c r="G676" s="72"/>
      <c r="I676" s="49">
        <f>-'Exp 2026'!H43</f>
        <v>-50110</v>
      </c>
      <c r="J676" s="72"/>
      <c r="M676" s="72"/>
    </row>
    <row r="677" spans="2:13" x14ac:dyDescent="0.3">
      <c r="B677" t="s">
        <v>83</v>
      </c>
      <c r="F677" s="49">
        <v>0</v>
      </c>
      <c r="G677" s="72"/>
      <c r="I677" s="49">
        <f>-'Exp 2026'!H49</f>
        <v>-92270</v>
      </c>
      <c r="J677" s="72"/>
      <c r="M677" s="72"/>
    </row>
    <row r="678" spans="2:13" x14ac:dyDescent="0.3">
      <c r="B678" t="s">
        <v>1704</v>
      </c>
      <c r="F678" s="49">
        <v>0</v>
      </c>
      <c r="G678" s="72"/>
      <c r="I678" s="49">
        <f>-'Exp 2026'!H52</f>
        <v>0</v>
      </c>
      <c r="J678" s="72"/>
      <c r="M678" s="72"/>
    </row>
    <row r="679" spans="2:13" x14ac:dyDescent="0.3">
      <c r="B679" t="s">
        <v>1862</v>
      </c>
      <c r="F679" s="49">
        <v>0</v>
      </c>
      <c r="G679" s="72"/>
      <c r="I679" s="49">
        <f>-'Exp 2026'!H58</f>
        <v>-6970</v>
      </c>
      <c r="J679" s="72"/>
      <c r="M679" s="72"/>
    </row>
    <row r="680" spans="2:13" x14ac:dyDescent="0.3">
      <c r="B680" t="s">
        <v>1417</v>
      </c>
      <c r="F680" s="49">
        <v>0</v>
      </c>
      <c r="G680" s="72"/>
      <c r="I680" s="49">
        <f>-'Exp 2026'!H62</f>
        <v>-15000</v>
      </c>
      <c r="J680" s="72"/>
      <c r="M680" s="72"/>
    </row>
    <row r="681" spans="2:13" x14ac:dyDescent="0.3">
      <c r="B681" t="s">
        <v>77</v>
      </c>
      <c r="F681" s="49">
        <v>0</v>
      </c>
      <c r="G681" s="72"/>
      <c r="I681" s="49">
        <f>-'Exp 2026'!H66</f>
        <v>0</v>
      </c>
      <c r="J681" s="72"/>
      <c r="M681" s="72"/>
    </row>
    <row r="682" spans="2:13" x14ac:dyDescent="0.3">
      <c r="B682" t="s">
        <v>82</v>
      </c>
      <c r="F682" s="49">
        <v>0</v>
      </c>
      <c r="G682" s="72"/>
      <c r="I682" s="49">
        <f>-'Exp 2026'!H78</f>
        <v>-5990</v>
      </c>
      <c r="J682" s="72"/>
      <c r="M682" s="72"/>
    </row>
    <row r="683" spans="2:13" x14ac:dyDescent="0.3">
      <c r="B683" t="s">
        <v>129</v>
      </c>
      <c r="F683" s="49">
        <v>0</v>
      </c>
      <c r="G683" s="72"/>
      <c r="I683" s="49">
        <f>-'Exp 2026'!H84</f>
        <v>0</v>
      </c>
      <c r="J683" s="72"/>
      <c r="M683" s="72"/>
    </row>
    <row r="684" spans="2:13" x14ac:dyDescent="0.3">
      <c r="B684" s="82" t="s">
        <v>1870</v>
      </c>
      <c r="F684" s="49">
        <v>0</v>
      </c>
      <c r="G684" s="72"/>
      <c r="I684" s="49">
        <f>-'Exp 2026'!H91</f>
        <v>-200230</v>
      </c>
      <c r="J684" s="72"/>
      <c r="M684" s="72"/>
    </row>
    <row r="685" spans="2:13" x14ac:dyDescent="0.3">
      <c r="B685" t="s">
        <v>1677</v>
      </c>
      <c r="F685" s="49">
        <v>0</v>
      </c>
      <c r="G685" s="72"/>
      <c r="I685" s="49">
        <f>-'Exp 2026'!H96</f>
        <v>0</v>
      </c>
      <c r="J685" s="72"/>
      <c r="M685" s="72"/>
    </row>
    <row r="686" spans="2:13" x14ac:dyDescent="0.3">
      <c r="B686" t="s">
        <v>1834</v>
      </c>
      <c r="F686" s="49">
        <v>0</v>
      </c>
      <c r="G686" s="72"/>
      <c r="I686" s="49">
        <f>-'Exp 2026'!H101</f>
        <v>-41000</v>
      </c>
      <c r="J686" s="72"/>
      <c r="M686" s="72"/>
    </row>
    <row r="687" spans="2:13" x14ac:dyDescent="0.3">
      <c r="B687" t="s">
        <v>1861</v>
      </c>
      <c r="F687" s="49">
        <v>0</v>
      </c>
      <c r="G687" s="72"/>
      <c r="I687" s="49">
        <f>-'Exp 2026'!H105</f>
        <v>-12500</v>
      </c>
      <c r="J687" s="72"/>
      <c r="M687" s="72"/>
    </row>
    <row r="688" spans="2:13" x14ac:dyDescent="0.3">
      <c r="F688" s="49"/>
      <c r="G688" s="72"/>
      <c r="I688" s="49"/>
      <c r="J688" s="72"/>
      <c r="M688" s="72"/>
    </row>
    <row r="689" spans="2:15" x14ac:dyDescent="0.3">
      <c r="B689" s="93">
        <v>46082</v>
      </c>
      <c r="C689" s="130">
        <f>SUM(C664:C687)</f>
        <v>0</v>
      </c>
      <c r="E689" s="93">
        <v>46082</v>
      </c>
      <c r="F689" s="130">
        <f>SUM(F664:F687)</f>
        <v>-53318</v>
      </c>
      <c r="G689" s="72"/>
      <c r="H689" s="93">
        <v>46082</v>
      </c>
      <c r="I689" s="130">
        <f>SUM(I664:I687)</f>
        <v>448760</v>
      </c>
      <c r="J689" s="72"/>
      <c r="K689" s="93">
        <v>46082</v>
      </c>
      <c r="L689" s="130">
        <f>SUM(L664:L687)</f>
        <v>0</v>
      </c>
      <c r="M689" s="72"/>
      <c r="N689" s="93">
        <v>46082</v>
      </c>
      <c r="O689" s="130">
        <f>SUM(O664:O687)</f>
        <v>0</v>
      </c>
    </row>
    <row r="690" spans="2:15" ht="15" thickBot="1" x14ac:dyDescent="0.35">
      <c r="B690" s="566" t="s">
        <v>1871</v>
      </c>
      <c r="C690" s="567">
        <f>C608+C635+C662+C689</f>
        <v>2923241</v>
      </c>
      <c r="D690" s="564"/>
      <c r="E690" s="566"/>
      <c r="F690" s="567">
        <f>F608+F635+F662+F689</f>
        <v>206731</v>
      </c>
      <c r="G690" s="564"/>
      <c r="H690" s="566"/>
      <c r="I690" s="567">
        <f>I608+I635+I662+I689</f>
        <v>1332583</v>
      </c>
      <c r="J690" s="564"/>
      <c r="K690" s="566"/>
      <c r="L690" s="567">
        <f>L608+L635+L662+L689</f>
        <v>1381000</v>
      </c>
      <c r="M690" s="564"/>
      <c r="N690" s="566"/>
      <c r="O690" s="567">
        <f>O608+O635+O662+O689</f>
        <v>930000</v>
      </c>
    </row>
    <row r="691" spans="2:15" ht="15" thickTop="1" x14ac:dyDescent="0.3">
      <c r="G691" s="72"/>
      <c r="J691" s="72"/>
      <c r="M691" s="72"/>
    </row>
    <row r="692" spans="2:15" x14ac:dyDescent="0.3">
      <c r="G692" s="72"/>
      <c r="J692" s="72"/>
      <c r="M692" s="72"/>
    </row>
    <row r="693" spans="2:15" x14ac:dyDescent="0.3">
      <c r="G693" s="72"/>
      <c r="J693" s="72"/>
      <c r="M693" s="72"/>
    </row>
    <row r="694" spans="2:15" x14ac:dyDescent="0.3">
      <c r="G694" s="72"/>
      <c r="J694" s="72"/>
      <c r="M694" s="72"/>
    </row>
    <row r="695" spans="2:15" x14ac:dyDescent="0.3">
      <c r="G695" s="72"/>
      <c r="J695" s="72"/>
      <c r="M695" s="72"/>
    </row>
    <row r="696" spans="2:15" x14ac:dyDescent="0.3">
      <c r="G696" s="72"/>
      <c r="J696" s="72"/>
      <c r="M696" s="72"/>
    </row>
    <row r="697" spans="2:15" x14ac:dyDescent="0.3">
      <c r="G697" s="72"/>
      <c r="J697" s="72"/>
      <c r="M697" s="72"/>
    </row>
    <row r="698" spans="2:15" x14ac:dyDescent="0.3">
      <c r="G698" s="72"/>
      <c r="J698" s="72"/>
      <c r="M698" s="72"/>
    </row>
    <row r="699" spans="2:15" x14ac:dyDescent="0.3">
      <c r="G699" s="72"/>
      <c r="J699" s="72"/>
      <c r="M699" s="72"/>
    </row>
    <row r="700" spans="2:15" x14ac:dyDescent="0.3">
      <c r="G700" s="72"/>
      <c r="J700" s="72"/>
      <c r="M700" s="72"/>
    </row>
    <row r="701" spans="2:15" x14ac:dyDescent="0.3">
      <c r="G701" s="72"/>
      <c r="J701" s="72"/>
      <c r="M701" s="72"/>
    </row>
    <row r="702" spans="2:15" x14ac:dyDescent="0.3">
      <c r="G702" s="72"/>
      <c r="J702" s="72"/>
      <c r="M702" s="72"/>
    </row>
    <row r="703" spans="2:15" x14ac:dyDescent="0.3">
      <c r="G703" s="72"/>
      <c r="J703" s="72"/>
      <c r="M703" s="72"/>
    </row>
    <row r="704" spans="2:15" x14ac:dyDescent="0.3">
      <c r="G704" s="72"/>
      <c r="J704" s="72"/>
      <c r="M704" s="72"/>
    </row>
    <row r="705" spans="7:13" x14ac:dyDescent="0.3">
      <c r="G705" s="72"/>
      <c r="J705" s="72"/>
      <c r="M705" s="72"/>
    </row>
    <row r="706" spans="7:13" x14ac:dyDescent="0.3">
      <c r="G706" s="72"/>
      <c r="J706" s="72"/>
      <c r="M706" s="72"/>
    </row>
    <row r="707" spans="7:13" x14ac:dyDescent="0.3">
      <c r="G707" s="72"/>
      <c r="J707" s="72"/>
      <c r="M707" s="72"/>
    </row>
    <row r="708" spans="7:13" x14ac:dyDescent="0.3">
      <c r="G708" s="72"/>
      <c r="J708" s="72"/>
      <c r="M708" s="72"/>
    </row>
    <row r="709" spans="7:13" x14ac:dyDescent="0.3">
      <c r="G709" s="72"/>
      <c r="J709" s="72"/>
      <c r="M709" s="72"/>
    </row>
    <row r="710" spans="7:13" x14ac:dyDescent="0.3">
      <c r="G710" s="72"/>
      <c r="J710" s="72"/>
      <c r="M710" s="72"/>
    </row>
    <row r="711" spans="7:13" x14ac:dyDescent="0.3">
      <c r="G711" s="72"/>
      <c r="J711" s="72"/>
      <c r="M711" s="72"/>
    </row>
    <row r="712" spans="7:13" x14ac:dyDescent="0.3">
      <c r="G712" s="72"/>
      <c r="J712" s="72"/>
      <c r="M712" s="72"/>
    </row>
    <row r="713" spans="7:13" x14ac:dyDescent="0.3">
      <c r="G713" s="72"/>
      <c r="J713" s="72"/>
      <c r="M713" s="72"/>
    </row>
    <row r="714" spans="7:13" x14ac:dyDescent="0.3">
      <c r="G714" s="72"/>
      <c r="J714" s="72"/>
      <c r="M714" s="72"/>
    </row>
    <row r="715" spans="7:13" x14ac:dyDescent="0.3">
      <c r="G715" s="72"/>
      <c r="J715" s="72"/>
      <c r="M715" s="72"/>
    </row>
    <row r="716" spans="7:13" x14ac:dyDescent="0.3">
      <c r="G716" s="72"/>
      <c r="J716" s="72"/>
      <c r="M716" s="72"/>
    </row>
    <row r="717" spans="7:13" x14ac:dyDescent="0.3">
      <c r="G717" s="72"/>
      <c r="J717" s="72"/>
      <c r="M717" s="72"/>
    </row>
    <row r="718" spans="7:13" x14ac:dyDescent="0.3">
      <c r="G718" s="72"/>
      <c r="J718" s="72"/>
      <c r="M718" s="72"/>
    </row>
    <row r="719" spans="7:13" x14ac:dyDescent="0.3">
      <c r="G719" s="72"/>
      <c r="J719" s="72"/>
      <c r="M719" s="72"/>
    </row>
    <row r="720" spans="7:13" x14ac:dyDescent="0.3">
      <c r="G720" s="72"/>
      <c r="J720" s="72"/>
      <c r="M720" s="72"/>
    </row>
    <row r="721" spans="7:13" x14ac:dyDescent="0.3">
      <c r="G721" s="72"/>
      <c r="J721" s="72"/>
      <c r="M721" s="72"/>
    </row>
    <row r="722" spans="7:13" x14ac:dyDescent="0.3">
      <c r="G722" s="72"/>
      <c r="J722" s="72"/>
      <c r="M722" s="72"/>
    </row>
    <row r="723" spans="7:13" x14ac:dyDescent="0.3">
      <c r="G723" s="72"/>
      <c r="J723" s="72"/>
      <c r="M723" s="72"/>
    </row>
    <row r="724" spans="7:13" x14ac:dyDescent="0.3">
      <c r="G724" s="72"/>
      <c r="J724" s="72"/>
      <c r="M724" s="72"/>
    </row>
    <row r="725" spans="7:13" x14ac:dyDescent="0.3">
      <c r="G725" s="72"/>
      <c r="J725" s="72"/>
      <c r="M725" s="72"/>
    </row>
    <row r="726" spans="7:13" x14ac:dyDescent="0.3">
      <c r="G726" s="72"/>
      <c r="J726" s="72"/>
      <c r="M726" s="72"/>
    </row>
    <row r="727" spans="7:13" x14ac:dyDescent="0.3">
      <c r="G727" s="72"/>
      <c r="J727" s="72"/>
      <c r="M727" s="72"/>
    </row>
    <row r="728" spans="7:13" x14ac:dyDescent="0.3">
      <c r="G728" s="72"/>
      <c r="J728" s="72"/>
      <c r="M728" s="72"/>
    </row>
    <row r="729" spans="7:13" x14ac:dyDescent="0.3">
      <c r="G729" s="72"/>
      <c r="J729" s="72"/>
      <c r="M729" s="72"/>
    </row>
    <row r="730" spans="7:13" x14ac:dyDescent="0.3">
      <c r="G730" s="72"/>
      <c r="J730" s="72"/>
      <c r="M730" s="72"/>
    </row>
    <row r="731" spans="7:13" x14ac:dyDescent="0.3">
      <c r="G731" s="72"/>
      <c r="J731" s="72"/>
      <c r="M731" s="72"/>
    </row>
    <row r="732" spans="7:13" x14ac:dyDescent="0.3">
      <c r="G732" s="72"/>
    </row>
    <row r="733" spans="7:13" x14ac:dyDescent="0.3">
      <c r="G733" s="72"/>
    </row>
    <row r="734" spans="7:13" x14ac:dyDescent="0.3">
      <c r="G734" s="72"/>
    </row>
    <row r="735" spans="7:13" x14ac:dyDescent="0.3">
      <c r="G735" s="72"/>
    </row>
    <row r="736" spans="7:13" x14ac:dyDescent="0.3">
      <c r="G736" s="7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9C46C-5BF8-4ED1-A5A2-A5F9CFBB9D06}">
  <dimension ref="B3:AH92"/>
  <sheetViews>
    <sheetView topLeftCell="A21" workbookViewId="0">
      <selection activeCell="D27" sqref="D27"/>
    </sheetView>
  </sheetViews>
  <sheetFormatPr defaultRowHeight="14.4" x14ac:dyDescent="0.3"/>
  <cols>
    <col min="1" max="1" width="13.6640625" bestFit="1" customWidth="1"/>
    <col min="2" max="2" width="25.109375" customWidth="1"/>
    <col min="3" max="3" width="16.21875" customWidth="1"/>
    <col min="4" max="4" width="13" customWidth="1"/>
    <col min="5" max="5" width="21.77734375" customWidth="1"/>
    <col min="6" max="6" width="14.6640625" customWidth="1"/>
    <col min="7" max="7" width="21.109375" bestFit="1" customWidth="1"/>
    <col min="8" max="8" width="80.109375" bestFit="1" customWidth="1"/>
    <col min="9" max="9" width="2.21875" customWidth="1"/>
    <col min="10" max="10" width="17.21875" customWidth="1"/>
    <col min="11" max="11" width="2.109375" customWidth="1"/>
    <col min="12" max="12" width="12.5546875" bestFit="1" customWidth="1"/>
    <col min="13" max="13" width="10.109375" bestFit="1" customWidth="1"/>
    <col min="14" max="16" width="12.5546875" bestFit="1" customWidth="1"/>
    <col min="17" max="17" width="13.6640625" bestFit="1" customWidth="1"/>
    <col min="32" max="32" width="40.77734375" bestFit="1" customWidth="1"/>
    <col min="33" max="33" width="1.5546875" customWidth="1"/>
    <col min="34" max="34" width="13.33203125" bestFit="1" customWidth="1"/>
  </cols>
  <sheetData>
    <row r="3" spans="2:17" x14ac:dyDescent="0.3">
      <c r="B3" s="587" t="s">
        <v>45</v>
      </c>
      <c r="C3" s="587"/>
      <c r="D3" s="587"/>
      <c r="E3" s="587"/>
      <c r="F3" s="587"/>
    </row>
    <row r="4" spans="2:17" x14ac:dyDescent="0.3">
      <c r="B4" s="83" t="s">
        <v>46</v>
      </c>
      <c r="C4" s="84" t="s">
        <v>31</v>
      </c>
      <c r="D4" s="83" t="s">
        <v>47</v>
      </c>
      <c r="E4" s="84" t="s">
        <v>48</v>
      </c>
      <c r="F4" s="85" t="s">
        <v>49</v>
      </c>
      <c r="G4" s="85" t="s">
        <v>59</v>
      </c>
      <c r="H4" s="112"/>
      <c r="I4" s="112"/>
      <c r="J4" s="112"/>
    </row>
    <row r="5" spans="2:17" x14ac:dyDescent="0.3">
      <c r="B5" s="18" t="s">
        <v>50</v>
      </c>
      <c r="C5" s="86" t="s">
        <v>51</v>
      </c>
      <c r="D5" s="87">
        <v>750000</v>
      </c>
      <c r="E5" s="18" t="s">
        <v>52</v>
      </c>
      <c r="F5" s="88">
        <v>44470</v>
      </c>
    </row>
    <row r="6" spans="2:17" x14ac:dyDescent="0.3">
      <c r="B6" s="18" t="s">
        <v>53</v>
      </c>
      <c r="C6" s="86" t="s">
        <v>51</v>
      </c>
      <c r="D6" s="87">
        <v>375000</v>
      </c>
      <c r="E6" s="18" t="s">
        <v>54</v>
      </c>
      <c r="F6" s="88">
        <v>44378</v>
      </c>
    </row>
    <row r="7" spans="2:17" x14ac:dyDescent="0.3">
      <c r="B7" s="18" t="s">
        <v>53</v>
      </c>
      <c r="C7" s="18" t="s">
        <v>93</v>
      </c>
      <c r="D7" s="87">
        <v>825000</v>
      </c>
      <c r="E7" s="18" t="s">
        <v>55</v>
      </c>
      <c r="F7" s="88">
        <v>44348</v>
      </c>
    </row>
    <row r="8" spans="2:17" x14ac:dyDescent="0.3">
      <c r="B8" s="18" t="s">
        <v>50</v>
      </c>
      <c r="C8" s="18" t="s">
        <v>94</v>
      </c>
      <c r="D8" s="87">
        <v>400000</v>
      </c>
      <c r="E8" s="18" t="s">
        <v>56</v>
      </c>
      <c r="F8" s="88">
        <v>44499</v>
      </c>
    </row>
    <row r="9" spans="2:17" x14ac:dyDescent="0.3">
      <c r="B9" s="18" t="s">
        <v>53</v>
      </c>
      <c r="C9" s="18" t="s">
        <v>39</v>
      </c>
      <c r="D9" s="87">
        <v>990000</v>
      </c>
      <c r="E9" s="18" t="s">
        <v>57</v>
      </c>
      <c r="F9" s="88">
        <v>44440</v>
      </c>
    </row>
    <row r="10" spans="2:17" ht="16.2" x14ac:dyDescent="0.45">
      <c r="D10" s="89">
        <f>SUM(D5:D9)</f>
        <v>3340000</v>
      </c>
      <c r="E10" s="49"/>
    </row>
    <row r="11" spans="2:17" x14ac:dyDescent="0.3">
      <c r="B11" s="18" t="s">
        <v>67</v>
      </c>
      <c r="C11" s="18" t="s">
        <v>93</v>
      </c>
      <c r="D11" s="87">
        <f>450000+457500</f>
        <v>907500</v>
      </c>
      <c r="E11" s="18" t="s">
        <v>58</v>
      </c>
      <c r="F11" s="88">
        <v>44440</v>
      </c>
      <c r="G11" s="18" t="s">
        <v>60</v>
      </c>
    </row>
    <row r="12" spans="2:17" x14ac:dyDescent="0.3">
      <c r="B12" s="18" t="s">
        <v>67</v>
      </c>
      <c r="C12" s="18" t="s">
        <v>93</v>
      </c>
      <c r="D12" s="87">
        <v>907500</v>
      </c>
      <c r="E12" s="18" t="s">
        <v>79</v>
      </c>
      <c r="F12" s="88">
        <v>44531</v>
      </c>
      <c r="G12" s="48">
        <v>44563</v>
      </c>
      <c r="H12" s="77"/>
      <c r="I12" s="77"/>
      <c r="J12" s="77"/>
    </row>
    <row r="13" spans="2:17" x14ac:dyDescent="0.3">
      <c r="D13" s="109"/>
      <c r="F13" s="82"/>
      <c r="G13" s="77"/>
      <c r="H13" s="77"/>
      <c r="I13" s="77"/>
      <c r="J13" s="77"/>
    </row>
    <row r="14" spans="2:17" x14ac:dyDescent="0.3">
      <c r="B14" s="18" t="s">
        <v>67</v>
      </c>
      <c r="C14" s="18" t="s">
        <v>93</v>
      </c>
      <c r="D14" s="87">
        <v>812500</v>
      </c>
      <c r="E14" s="18" t="s">
        <v>92</v>
      </c>
      <c r="F14" s="88">
        <v>44621</v>
      </c>
      <c r="G14" s="48">
        <v>44635</v>
      </c>
      <c r="H14" s="77"/>
      <c r="I14" s="77"/>
      <c r="J14" s="77"/>
      <c r="L14">
        <f>6500000</f>
        <v>6500000</v>
      </c>
      <c r="M14">
        <f>L14/4</f>
        <v>1625000</v>
      </c>
      <c r="N14">
        <f>M14/2</f>
        <v>812500</v>
      </c>
      <c r="Q14" s="49">
        <f>1625000*4</f>
        <v>6500000</v>
      </c>
    </row>
    <row r="15" spans="2:17" x14ac:dyDescent="0.3">
      <c r="B15" s="18" t="s">
        <v>67</v>
      </c>
      <c r="C15" s="18" t="s">
        <v>93</v>
      </c>
      <c r="D15" s="87">
        <v>812500</v>
      </c>
      <c r="E15" s="18" t="s">
        <v>92</v>
      </c>
      <c r="F15" s="88">
        <v>44621</v>
      </c>
      <c r="G15" s="48">
        <v>44651</v>
      </c>
      <c r="H15" s="77"/>
      <c r="I15" s="77"/>
      <c r="J15" s="77"/>
      <c r="Q15" s="49">
        <v>800000</v>
      </c>
    </row>
    <row r="16" spans="2:17" x14ac:dyDescent="0.3">
      <c r="B16" s="18" t="s">
        <v>67</v>
      </c>
      <c r="C16" s="18" t="s">
        <v>93</v>
      </c>
      <c r="D16" s="87">
        <f>6500000/4</f>
        <v>1625000</v>
      </c>
      <c r="E16" s="18" t="s">
        <v>99</v>
      </c>
      <c r="F16" s="88">
        <v>44734</v>
      </c>
      <c r="G16" s="48">
        <v>44742</v>
      </c>
      <c r="H16" s="77"/>
      <c r="I16" s="77"/>
      <c r="J16" s="77"/>
      <c r="Q16" s="49">
        <v>1200000</v>
      </c>
    </row>
    <row r="17" spans="2:34" x14ac:dyDescent="0.3">
      <c r="B17" s="18" t="s">
        <v>67</v>
      </c>
      <c r="C17" s="18" t="s">
        <v>93</v>
      </c>
      <c r="D17" s="87">
        <f>6500000/4</f>
        <v>1625000</v>
      </c>
      <c r="E17" s="18" t="s">
        <v>138</v>
      </c>
      <c r="F17" s="88">
        <v>44826</v>
      </c>
      <c r="G17" s="48" t="s">
        <v>301</v>
      </c>
      <c r="H17" s="77"/>
      <c r="I17" s="77"/>
      <c r="J17" s="77"/>
      <c r="Q17" s="74">
        <f>SUM(Q14:Q16)</f>
        <v>8500000</v>
      </c>
    </row>
    <row r="18" spans="2:34" x14ac:dyDescent="0.3">
      <c r="B18" s="18" t="s">
        <v>67</v>
      </c>
      <c r="C18" s="18" t="s">
        <v>93</v>
      </c>
      <c r="D18" s="87">
        <f>6500000/4</f>
        <v>1625000</v>
      </c>
      <c r="E18" s="18" t="s">
        <v>150</v>
      </c>
      <c r="F18" s="88">
        <v>44896</v>
      </c>
      <c r="G18" s="48" t="s">
        <v>737</v>
      </c>
      <c r="H18" s="77"/>
      <c r="I18" s="77"/>
      <c r="J18" s="77"/>
    </row>
    <row r="19" spans="2:34" x14ac:dyDescent="0.3">
      <c r="B19" s="18" t="s">
        <v>67</v>
      </c>
      <c r="C19" s="18" t="s">
        <v>93</v>
      </c>
      <c r="D19" s="609">
        <f t="shared" ref="D19:D25" si="0">+O19</f>
        <v>1706250</v>
      </c>
      <c r="E19" s="18" t="s">
        <v>302</v>
      </c>
      <c r="F19" s="88">
        <v>44986</v>
      </c>
      <c r="G19" s="48"/>
      <c r="H19" s="274" t="s">
        <v>734</v>
      </c>
      <c r="I19" s="77"/>
      <c r="J19" s="77"/>
      <c r="L19">
        <v>6500000</v>
      </c>
      <c r="M19">
        <f>L19*5%</f>
        <v>325000</v>
      </c>
      <c r="N19">
        <f>L19+M19</f>
        <v>6825000</v>
      </c>
      <c r="O19" s="49">
        <f>N19/4</f>
        <v>1706250</v>
      </c>
    </row>
    <row r="20" spans="2:34" x14ac:dyDescent="0.3">
      <c r="B20" s="18" t="s">
        <v>67</v>
      </c>
      <c r="C20" s="18" t="s">
        <v>93</v>
      </c>
      <c r="D20" s="609">
        <f t="shared" si="0"/>
        <v>1706250</v>
      </c>
      <c r="E20" s="18" t="s">
        <v>473</v>
      </c>
      <c r="F20" s="88">
        <v>45100</v>
      </c>
      <c r="G20" s="48"/>
      <c r="H20" s="274" t="s">
        <v>736</v>
      </c>
      <c r="I20" s="77"/>
      <c r="J20" s="77"/>
      <c r="O20" s="49">
        <v>1706250</v>
      </c>
    </row>
    <row r="21" spans="2:34" x14ac:dyDescent="0.3">
      <c r="B21" s="18" t="s">
        <v>67</v>
      </c>
      <c r="C21" s="18" t="s">
        <v>93</v>
      </c>
      <c r="D21" s="609">
        <f t="shared" si="0"/>
        <v>1706250</v>
      </c>
      <c r="E21" s="18" t="s">
        <v>534</v>
      </c>
      <c r="F21" s="88">
        <v>45192</v>
      </c>
      <c r="G21" s="48"/>
      <c r="H21" s="274" t="s">
        <v>738</v>
      </c>
      <c r="I21" s="77"/>
      <c r="J21" s="77"/>
      <c r="O21" s="49">
        <v>1706250</v>
      </c>
    </row>
    <row r="22" spans="2:34" x14ac:dyDescent="0.3">
      <c r="B22" s="18" t="s">
        <v>67</v>
      </c>
      <c r="C22" s="18" t="s">
        <v>93</v>
      </c>
      <c r="D22" s="609">
        <f t="shared" si="0"/>
        <v>1706250</v>
      </c>
      <c r="E22" s="18" t="s">
        <v>1148</v>
      </c>
      <c r="F22" s="88">
        <v>45283</v>
      </c>
      <c r="G22" s="48"/>
      <c r="H22" s="274" t="s">
        <v>835</v>
      </c>
      <c r="I22" s="77"/>
      <c r="J22" s="77"/>
      <c r="O22" s="49">
        <v>1706250</v>
      </c>
    </row>
    <row r="23" spans="2:34" x14ac:dyDescent="0.3">
      <c r="B23" s="18" t="s">
        <v>67</v>
      </c>
      <c r="C23" s="18" t="s">
        <v>93</v>
      </c>
      <c r="D23" s="609">
        <f t="shared" si="0"/>
        <v>1791562.5</v>
      </c>
      <c r="E23" s="18" t="s">
        <v>739</v>
      </c>
      <c r="F23" s="88">
        <v>45352</v>
      </c>
      <c r="G23" s="48"/>
      <c r="H23" s="274" t="s">
        <v>983</v>
      </c>
      <c r="I23" s="77"/>
      <c r="J23" s="77"/>
      <c r="L23">
        <f>+N19</f>
        <v>6825000</v>
      </c>
      <c r="M23">
        <f>L23*5%</f>
        <v>341250</v>
      </c>
      <c r="N23">
        <f>L23+M23</f>
        <v>7166250</v>
      </c>
      <c r="O23" s="49">
        <f>N23/4</f>
        <v>1791562.5</v>
      </c>
    </row>
    <row r="24" spans="2:34" x14ac:dyDescent="0.3">
      <c r="B24" s="18" t="s">
        <v>67</v>
      </c>
      <c r="C24" s="18" t="s">
        <v>93</v>
      </c>
      <c r="D24" s="609">
        <f t="shared" si="0"/>
        <v>1791563</v>
      </c>
      <c r="E24" s="18" t="s">
        <v>981</v>
      </c>
      <c r="F24" s="88">
        <v>45444</v>
      </c>
      <c r="G24" s="48"/>
      <c r="H24" s="274" t="s">
        <v>984</v>
      </c>
      <c r="I24" s="77"/>
      <c r="J24" s="77"/>
      <c r="O24" s="49">
        <v>1791563</v>
      </c>
    </row>
    <row r="25" spans="2:34" x14ac:dyDescent="0.3">
      <c r="B25" s="18" t="s">
        <v>67</v>
      </c>
      <c r="C25" s="18" t="s">
        <v>93</v>
      </c>
      <c r="D25" s="609">
        <f t="shared" si="0"/>
        <v>1791563</v>
      </c>
      <c r="E25" s="18" t="s">
        <v>982</v>
      </c>
      <c r="F25" s="88">
        <v>45536</v>
      </c>
      <c r="G25" s="48"/>
      <c r="H25" s="274" t="s">
        <v>1149</v>
      </c>
      <c r="I25" s="77"/>
      <c r="J25" s="77"/>
      <c r="O25" s="49">
        <v>1791563</v>
      </c>
    </row>
    <row r="26" spans="2:34" x14ac:dyDescent="0.3">
      <c r="B26" s="18" t="s">
        <v>67</v>
      </c>
      <c r="C26" s="18" t="s">
        <v>93</v>
      </c>
      <c r="D26" s="609">
        <f>+O26</f>
        <v>1791563</v>
      </c>
      <c r="E26" s="18" t="s">
        <v>1158</v>
      </c>
      <c r="F26" s="88">
        <v>45627</v>
      </c>
      <c r="G26" s="48"/>
      <c r="H26" s="274" t="s">
        <v>1404</v>
      </c>
      <c r="I26" s="77"/>
      <c r="J26" s="77"/>
      <c r="O26" s="49">
        <v>1791563</v>
      </c>
    </row>
    <row r="27" spans="2:34" ht="18" x14ac:dyDescent="0.35">
      <c r="B27" s="18" t="s">
        <v>67</v>
      </c>
      <c r="C27" s="18" t="s">
        <v>93</v>
      </c>
      <c r="D27" s="609">
        <f>+O27</f>
        <v>1881140.625</v>
      </c>
      <c r="E27" s="18" t="s">
        <v>1373</v>
      </c>
      <c r="F27" s="88">
        <v>45717</v>
      </c>
      <c r="G27" s="48"/>
      <c r="H27" s="274" t="s">
        <v>1427</v>
      </c>
      <c r="I27" s="77"/>
      <c r="J27" s="77"/>
      <c r="L27">
        <f>+N23</f>
        <v>7166250</v>
      </c>
      <c r="M27">
        <f>L27*5%</f>
        <v>358312.5</v>
      </c>
      <c r="N27">
        <f>L27+M27</f>
        <v>7524562.5</v>
      </c>
      <c r="O27" s="49">
        <f>N27/4</f>
        <v>1881140.625</v>
      </c>
      <c r="AF27" s="35" t="s">
        <v>1482</v>
      </c>
      <c r="AG27" s="415"/>
      <c r="AH27" s="415"/>
    </row>
    <row r="28" spans="2:34" ht="18" x14ac:dyDescent="0.35">
      <c r="B28" s="260"/>
      <c r="C28" s="18" t="s">
        <v>1749</v>
      </c>
      <c r="D28" s="116">
        <f>D26-D27</f>
        <v>-89577.625</v>
      </c>
      <c r="E28" s="439" t="s">
        <v>1373</v>
      </c>
      <c r="F28" s="464">
        <v>45717</v>
      </c>
      <c r="G28" s="441" t="s">
        <v>117</v>
      </c>
      <c r="H28" s="274"/>
      <c r="I28" s="77"/>
      <c r="J28" s="77"/>
      <c r="O28" s="49">
        <f>+O27</f>
        <v>1881140.625</v>
      </c>
      <c r="AF28" s="35"/>
      <c r="AG28" s="415"/>
      <c r="AH28" s="415"/>
    </row>
    <row r="29" spans="2:34" ht="18" x14ac:dyDescent="0.35">
      <c r="B29" s="491" t="s">
        <v>67</v>
      </c>
      <c r="C29" s="491" t="s">
        <v>93</v>
      </c>
      <c r="D29" s="614">
        <f>+O28</f>
        <v>1881140.625</v>
      </c>
      <c r="E29" s="491" t="s">
        <v>1374</v>
      </c>
      <c r="F29" s="492">
        <v>45809</v>
      </c>
      <c r="G29" s="493"/>
      <c r="H29" s="274" t="s">
        <v>1764</v>
      </c>
      <c r="I29" s="77"/>
      <c r="J29">
        <f>1881141</f>
        <v>1881141</v>
      </c>
      <c r="O29" s="49">
        <f>+O28</f>
        <v>1881140.625</v>
      </c>
      <c r="AF29" s="415" t="s">
        <v>1479</v>
      </c>
      <c r="AG29" s="415"/>
      <c r="AH29" s="416">
        <f>D29</f>
        <v>1881140.625</v>
      </c>
    </row>
    <row r="30" spans="2:34" ht="18" x14ac:dyDescent="0.35">
      <c r="B30" s="617" t="s">
        <v>67</v>
      </c>
      <c r="C30" s="18" t="s">
        <v>93</v>
      </c>
      <c r="D30" s="116">
        <f>600000+500000+600000+270000</f>
        <v>1970000</v>
      </c>
      <c r="E30" s="18" t="s">
        <v>1654</v>
      </c>
      <c r="F30" s="88">
        <v>45901</v>
      </c>
      <c r="G30" s="48"/>
      <c r="H30" s="613" t="s">
        <v>1908</v>
      </c>
      <c r="I30" s="77"/>
      <c r="J30">
        <v>1700000</v>
      </c>
      <c r="O30" s="49">
        <f>+O29</f>
        <v>1881140.625</v>
      </c>
      <c r="AF30" s="415"/>
      <c r="AG30" s="415"/>
      <c r="AH30" s="416"/>
    </row>
    <row r="31" spans="2:34" ht="18" x14ac:dyDescent="0.35">
      <c r="B31" s="617"/>
      <c r="C31" s="18" t="s">
        <v>1946</v>
      </c>
      <c r="D31" s="116">
        <f>D29-D30</f>
        <v>-88859.375</v>
      </c>
      <c r="E31" s="18"/>
      <c r="F31" s="88"/>
      <c r="G31" s="48"/>
      <c r="H31" s="613"/>
      <c r="I31" s="77"/>
      <c r="J31">
        <f>J29-J30</f>
        <v>181141</v>
      </c>
      <c r="L31">
        <f>+N27</f>
        <v>7524562.5</v>
      </c>
      <c r="M31">
        <f>L31*5%</f>
        <v>376228.125</v>
      </c>
      <c r="N31">
        <f>L31+M31</f>
        <v>7900790.625</v>
      </c>
      <c r="O31" s="49">
        <f>N31/4</f>
        <v>1975197.65625</v>
      </c>
      <c r="AF31" s="415"/>
      <c r="AG31" s="415"/>
      <c r="AH31" s="416"/>
    </row>
    <row r="32" spans="2:34" ht="18" x14ac:dyDescent="0.35">
      <c r="B32" s="617"/>
      <c r="C32" s="18" t="s">
        <v>1750</v>
      </c>
      <c r="D32" s="116">
        <f>-D28</f>
        <v>89577.625</v>
      </c>
      <c r="E32" s="87">
        <f>D31+D32</f>
        <v>718.25</v>
      </c>
      <c r="F32" s="18"/>
      <c r="G32" s="88"/>
      <c r="H32" s="613"/>
      <c r="I32" s="274"/>
      <c r="J32" s="74">
        <f>J31+D32</f>
        <v>270718.625</v>
      </c>
      <c r="K32" s="77"/>
      <c r="L32" s="255"/>
      <c r="M32" s="272"/>
      <c r="N32" s="77"/>
      <c r="O32" s="255"/>
      <c r="P32" s="272"/>
      <c r="Q32" s="162"/>
      <c r="R32" s="73">
        <v>500000</v>
      </c>
      <c r="S32" s="37" t="s">
        <v>1697</v>
      </c>
      <c r="T32" s="471">
        <v>46010</v>
      </c>
      <c r="AF32" s="415" t="s">
        <v>1480</v>
      </c>
      <c r="AG32" s="415"/>
      <c r="AH32" s="416">
        <v>1100000</v>
      </c>
    </row>
    <row r="33" spans="2:34" ht="18" x14ac:dyDescent="0.35">
      <c r="B33" s="414" t="s">
        <v>67</v>
      </c>
      <c r="C33" s="414" t="s">
        <v>93</v>
      </c>
      <c r="D33" s="465">
        <f>500000+500000+500000</f>
        <v>1500000</v>
      </c>
      <c r="E33" s="414" t="s">
        <v>1655</v>
      </c>
      <c r="F33" s="615">
        <v>45992</v>
      </c>
      <c r="G33" s="616"/>
      <c r="H33" s="274" t="s">
        <v>1909</v>
      </c>
      <c r="I33" s="274"/>
      <c r="K33" s="77"/>
      <c r="AF33" s="415"/>
      <c r="AG33" s="415"/>
      <c r="AH33" s="416"/>
    </row>
    <row r="34" spans="2:34" ht="18" x14ac:dyDescent="0.35">
      <c r="B34" s="18"/>
      <c r="C34" s="18"/>
      <c r="D34" s="284">
        <f>D27-D33</f>
        <v>381140.625</v>
      </c>
      <c r="E34" s="18" t="s">
        <v>1655</v>
      </c>
      <c r="F34" s="88" t="s">
        <v>1935</v>
      </c>
      <c r="G34" s="260">
        <f>D34+D35</f>
        <v>1000000</v>
      </c>
      <c r="H34" s="613" t="s">
        <v>1936</v>
      </c>
      <c r="I34" s="274"/>
      <c r="J34">
        <f>1881141</f>
        <v>1881141</v>
      </c>
      <c r="K34" s="77"/>
      <c r="AF34" s="415"/>
      <c r="AG34" s="415"/>
      <c r="AH34" s="416"/>
    </row>
    <row r="35" spans="2:34" ht="18" x14ac:dyDescent="0.35">
      <c r="B35" s="18"/>
      <c r="C35" s="18"/>
      <c r="D35" s="284">
        <f>500000+500000-D34</f>
        <v>618859.375</v>
      </c>
      <c r="E35" s="18" t="s">
        <v>1933</v>
      </c>
      <c r="F35" s="88" t="s">
        <v>1934</v>
      </c>
      <c r="G35" s="48"/>
      <c r="H35" s="613"/>
      <c r="I35" s="274"/>
      <c r="K35" s="77"/>
      <c r="AF35" s="415"/>
      <c r="AG35" s="415"/>
      <c r="AH35" s="416"/>
    </row>
    <row r="36" spans="2:34" ht="18" x14ac:dyDescent="0.35">
      <c r="D36" s="494">
        <v>2000000</v>
      </c>
      <c r="F36" s="82"/>
      <c r="G36" s="77"/>
      <c r="H36" s="274"/>
      <c r="I36" s="274"/>
      <c r="K36" s="77"/>
      <c r="AF36" s="415"/>
      <c r="AG36" s="415"/>
      <c r="AH36" s="416"/>
    </row>
    <row r="37" spans="2:34" ht="18" x14ac:dyDescent="0.35">
      <c r="D37" s="494">
        <f>D36-D35</f>
        <v>1381140.625</v>
      </c>
      <c r="F37" s="82"/>
      <c r="G37" s="77"/>
      <c r="H37" s="274"/>
      <c r="I37" s="274"/>
      <c r="K37" s="77"/>
      <c r="AF37" s="415"/>
      <c r="AG37" s="415"/>
      <c r="AH37" s="416"/>
    </row>
    <row r="38" spans="2:34" ht="18" x14ac:dyDescent="0.35">
      <c r="D38" s="494"/>
      <c r="F38" s="82"/>
      <c r="G38" s="77"/>
      <c r="H38" s="274"/>
      <c r="I38" s="274"/>
      <c r="K38" s="77"/>
      <c r="AF38" s="415"/>
      <c r="AG38" s="415"/>
      <c r="AH38" s="416"/>
    </row>
    <row r="39" spans="2:34" ht="18" x14ac:dyDescent="0.35">
      <c r="D39" s="494"/>
      <c r="F39" s="82"/>
      <c r="G39" s="77"/>
      <c r="H39" s="274"/>
      <c r="I39" s="274"/>
      <c r="J39">
        <f>89578</f>
        <v>89578</v>
      </c>
      <c r="K39" s="77"/>
      <c r="AF39" s="415"/>
      <c r="AG39" s="415"/>
      <c r="AH39" s="416"/>
    </row>
    <row r="40" spans="2:34" ht="18" x14ac:dyDescent="0.35">
      <c r="B40" s="18" t="s">
        <v>66</v>
      </c>
      <c r="C40" s="18" t="s">
        <v>94</v>
      </c>
      <c r="D40" s="102">
        <v>400000</v>
      </c>
      <c r="E40" s="18" t="s">
        <v>851</v>
      </c>
      <c r="F40" s="88">
        <v>44521</v>
      </c>
      <c r="G40" s="18" t="s">
        <v>103</v>
      </c>
      <c r="H40" s="274"/>
      <c r="I40" s="77"/>
      <c r="J40" s="49">
        <f>J34+J39</f>
        <v>1970719</v>
      </c>
      <c r="AF40" s="415" t="s">
        <v>1481</v>
      </c>
      <c r="AG40" s="415"/>
      <c r="AH40" s="417">
        <f>AH29-AH32</f>
        <v>781140.625</v>
      </c>
    </row>
    <row r="41" spans="2:34" x14ac:dyDescent="0.3">
      <c r="B41" s="18" t="s">
        <v>66</v>
      </c>
      <c r="C41" s="18" t="s">
        <v>94</v>
      </c>
      <c r="D41" s="102">
        <v>400000</v>
      </c>
      <c r="E41" s="18" t="s">
        <v>852</v>
      </c>
      <c r="F41" s="88">
        <v>44682</v>
      </c>
      <c r="G41" s="18" t="s">
        <v>125</v>
      </c>
      <c r="H41" s="274"/>
      <c r="I41" s="77"/>
      <c r="J41" s="77"/>
    </row>
    <row r="42" spans="2:34" x14ac:dyDescent="0.3">
      <c r="B42" s="18" t="s">
        <v>66</v>
      </c>
      <c r="C42" s="18" t="s">
        <v>94</v>
      </c>
      <c r="D42" s="102">
        <v>400000</v>
      </c>
      <c r="E42" s="18" t="s">
        <v>853</v>
      </c>
      <c r="F42" s="88">
        <v>44866</v>
      </c>
      <c r="G42" s="48" t="s">
        <v>348</v>
      </c>
      <c r="H42" s="274"/>
      <c r="I42" s="77"/>
      <c r="J42" s="77"/>
    </row>
    <row r="43" spans="2:34" x14ac:dyDescent="0.3">
      <c r="B43" s="18" t="s">
        <v>66</v>
      </c>
      <c r="C43" s="18" t="s">
        <v>94</v>
      </c>
      <c r="D43" s="283">
        <v>400000</v>
      </c>
      <c r="E43" s="18" t="s">
        <v>854</v>
      </c>
      <c r="F43" s="88">
        <v>45047</v>
      </c>
      <c r="G43" s="48"/>
      <c r="H43" s="274" t="s">
        <v>735</v>
      </c>
      <c r="I43" s="77"/>
      <c r="J43" s="77"/>
    </row>
    <row r="44" spans="2:34" x14ac:dyDescent="0.3">
      <c r="B44" s="18" t="s">
        <v>66</v>
      </c>
      <c r="C44" s="18" t="s">
        <v>94</v>
      </c>
      <c r="D44" s="283">
        <v>400000</v>
      </c>
      <c r="E44" s="18" t="s">
        <v>855</v>
      </c>
      <c r="F44" s="88">
        <v>45231</v>
      </c>
      <c r="G44" s="48"/>
      <c r="H44" s="274" t="s">
        <v>738</v>
      </c>
      <c r="I44" s="77"/>
      <c r="J44" s="77"/>
    </row>
    <row r="45" spans="2:34" x14ac:dyDescent="0.3">
      <c r="B45" s="18" t="s">
        <v>66</v>
      </c>
      <c r="C45" s="18" t="s">
        <v>94</v>
      </c>
      <c r="D45" s="283">
        <v>400000</v>
      </c>
      <c r="E45" s="18" t="s">
        <v>856</v>
      </c>
      <c r="F45" s="88">
        <v>45413</v>
      </c>
      <c r="G45" s="48"/>
      <c r="H45" s="274" t="s">
        <v>881</v>
      </c>
      <c r="I45" s="77"/>
      <c r="J45" s="77"/>
    </row>
    <row r="46" spans="2:34" x14ac:dyDescent="0.3">
      <c r="B46" s="414" t="s">
        <v>1426</v>
      </c>
      <c r="D46" s="380">
        <v>100000</v>
      </c>
      <c r="G46" s="77"/>
      <c r="H46" s="274"/>
      <c r="I46" s="77"/>
      <c r="J46" s="77"/>
    </row>
    <row r="47" spans="2:34" x14ac:dyDescent="0.3">
      <c r="B47" s="414" t="s">
        <v>66</v>
      </c>
      <c r="C47" s="18" t="s">
        <v>94</v>
      </c>
      <c r="D47" s="380">
        <v>300000</v>
      </c>
      <c r="E47" s="18" t="s">
        <v>1765</v>
      </c>
      <c r="F47" s="88">
        <v>45901</v>
      </c>
      <c r="G47" s="77"/>
      <c r="H47" s="274" t="s">
        <v>1766</v>
      </c>
      <c r="I47" s="77"/>
      <c r="J47" s="77"/>
    </row>
    <row r="48" spans="2:34" x14ac:dyDescent="0.3">
      <c r="D48" s="380"/>
      <c r="G48" s="77"/>
      <c r="H48" s="274"/>
      <c r="I48" s="77"/>
      <c r="J48" s="77"/>
    </row>
    <row r="49" spans="2:15" x14ac:dyDescent="0.3">
      <c r="D49" s="380"/>
      <c r="G49" s="77"/>
      <c r="H49" s="274"/>
      <c r="I49" s="77"/>
      <c r="J49" s="77"/>
    </row>
    <row r="50" spans="2:15" x14ac:dyDescent="0.3">
      <c r="D50" s="413"/>
      <c r="G50" s="77"/>
      <c r="H50" s="274"/>
      <c r="I50" s="77"/>
      <c r="J50" s="77"/>
    </row>
    <row r="51" spans="2:15" x14ac:dyDescent="0.3">
      <c r="B51" s="18" t="s">
        <v>1014</v>
      </c>
      <c r="C51" s="18" t="s">
        <v>152</v>
      </c>
      <c r="D51" s="102">
        <v>300000</v>
      </c>
      <c r="E51" s="18" t="s">
        <v>283</v>
      </c>
      <c r="F51" s="88">
        <v>44949</v>
      </c>
      <c r="G51" s="48" t="s">
        <v>348</v>
      </c>
      <c r="H51" s="92"/>
      <c r="I51" s="74"/>
    </row>
    <row r="52" spans="2:15" x14ac:dyDescent="0.3">
      <c r="B52" s="18" t="s">
        <v>1014</v>
      </c>
      <c r="C52" s="18" t="s">
        <v>152</v>
      </c>
      <c r="D52" s="102">
        <v>300000</v>
      </c>
      <c r="E52" s="18" t="s">
        <v>284</v>
      </c>
      <c r="F52" s="88">
        <v>45039</v>
      </c>
      <c r="G52" s="48"/>
      <c r="H52" s="274" t="s">
        <v>734</v>
      </c>
      <c r="I52" s="74"/>
    </row>
    <row r="53" spans="2:15" x14ac:dyDescent="0.3">
      <c r="B53" s="18" t="s">
        <v>1014</v>
      </c>
      <c r="C53" s="18" t="s">
        <v>152</v>
      </c>
      <c r="D53" s="102">
        <v>300000</v>
      </c>
      <c r="E53" s="18" t="s">
        <v>285</v>
      </c>
      <c r="F53" s="88">
        <v>45130</v>
      </c>
      <c r="G53" s="48"/>
      <c r="H53" s="92" t="s">
        <v>736</v>
      </c>
      <c r="I53" s="74"/>
    </row>
    <row r="54" spans="2:15" x14ac:dyDescent="0.3">
      <c r="B54" s="18" t="s">
        <v>1014</v>
      </c>
      <c r="C54" s="18" t="s">
        <v>152</v>
      </c>
      <c r="D54" s="102">
        <v>300000</v>
      </c>
      <c r="E54" s="18" t="s">
        <v>286</v>
      </c>
      <c r="F54" s="88">
        <v>45222</v>
      </c>
      <c r="G54" s="48"/>
      <c r="H54" s="274" t="s">
        <v>738</v>
      </c>
      <c r="I54" s="74"/>
    </row>
    <row r="55" spans="2:15" x14ac:dyDescent="0.3">
      <c r="B55" s="18" t="s">
        <v>1014</v>
      </c>
      <c r="C55" s="18" t="s">
        <v>152</v>
      </c>
      <c r="D55" s="612">
        <v>300000</v>
      </c>
      <c r="E55" s="18" t="s">
        <v>760</v>
      </c>
      <c r="F55" s="88">
        <v>45314</v>
      </c>
      <c r="G55" s="48"/>
      <c r="H55" s="92" t="s">
        <v>835</v>
      </c>
      <c r="I55" s="74"/>
      <c r="L55" s="49">
        <v>1200000</v>
      </c>
      <c r="M55" s="49">
        <f>L55*5%</f>
        <v>60000</v>
      </c>
      <c r="N55" s="49">
        <f>L55+M55</f>
        <v>1260000</v>
      </c>
      <c r="O55" s="49">
        <f>N55/4</f>
        <v>315000</v>
      </c>
    </row>
    <row r="56" spans="2:15" x14ac:dyDescent="0.3">
      <c r="B56" s="18" t="s">
        <v>1014</v>
      </c>
      <c r="C56" s="18" t="s">
        <v>152</v>
      </c>
      <c r="D56" s="612">
        <v>300000</v>
      </c>
      <c r="E56" s="18" t="s">
        <v>1012</v>
      </c>
      <c r="F56" s="88">
        <v>45405</v>
      </c>
      <c r="G56" s="48"/>
      <c r="H56" s="92" t="s">
        <v>983</v>
      </c>
      <c r="I56" s="74"/>
      <c r="L56" s="49"/>
      <c r="M56" s="49"/>
      <c r="N56" s="49"/>
      <c r="O56" s="49">
        <v>315000</v>
      </c>
    </row>
    <row r="57" spans="2:15" x14ac:dyDescent="0.3">
      <c r="B57" s="18" t="s">
        <v>1014</v>
      </c>
      <c r="C57" s="18" t="s">
        <v>152</v>
      </c>
      <c r="D57" s="612">
        <v>300000</v>
      </c>
      <c r="E57" s="18" t="s">
        <v>1013</v>
      </c>
      <c r="F57" s="88">
        <v>45496</v>
      </c>
      <c r="G57" s="48"/>
      <c r="H57" s="92" t="s">
        <v>984</v>
      </c>
      <c r="I57" s="74"/>
      <c r="L57" s="49"/>
      <c r="M57" s="49"/>
      <c r="N57" s="49"/>
      <c r="O57" s="49">
        <v>315000</v>
      </c>
    </row>
    <row r="58" spans="2:15" x14ac:dyDescent="0.3">
      <c r="B58" s="18" t="s">
        <v>1014</v>
      </c>
      <c r="C58" s="18" t="s">
        <v>152</v>
      </c>
      <c r="D58" s="612">
        <v>300000</v>
      </c>
      <c r="E58" s="18" t="s">
        <v>1159</v>
      </c>
      <c r="F58" s="88">
        <v>45588</v>
      </c>
      <c r="G58" s="48"/>
      <c r="H58" s="92" t="s">
        <v>1149</v>
      </c>
      <c r="I58" s="74"/>
      <c r="L58" s="49"/>
      <c r="M58" s="49"/>
      <c r="N58" s="49"/>
      <c r="O58" s="49">
        <v>315000</v>
      </c>
    </row>
    <row r="59" spans="2:15" x14ac:dyDescent="0.3">
      <c r="B59" s="18" t="s">
        <v>1014</v>
      </c>
      <c r="C59" s="18" t="s">
        <v>152</v>
      </c>
      <c r="D59" s="612">
        <v>300000</v>
      </c>
      <c r="E59" s="18" t="s">
        <v>1160</v>
      </c>
      <c r="F59" s="88">
        <v>45680</v>
      </c>
      <c r="G59" s="48"/>
      <c r="H59" s="92" t="s">
        <v>1404</v>
      </c>
      <c r="I59" s="74">
        <f>300000*5%</f>
        <v>15000</v>
      </c>
      <c r="L59" s="49"/>
      <c r="M59" s="49"/>
      <c r="N59" s="49"/>
      <c r="O59" s="49"/>
    </row>
    <row r="60" spans="2:15" x14ac:dyDescent="0.3">
      <c r="B60" s="18" t="s">
        <v>1014</v>
      </c>
      <c r="C60" s="18" t="s">
        <v>152</v>
      </c>
      <c r="D60" s="612">
        <v>300000</v>
      </c>
      <c r="E60" s="18" t="s">
        <v>1375</v>
      </c>
      <c r="F60" s="88">
        <v>45770</v>
      </c>
      <c r="G60" s="48"/>
      <c r="H60" s="384" t="s">
        <v>1419</v>
      </c>
      <c r="I60" s="74"/>
      <c r="O60" s="49"/>
    </row>
    <row r="61" spans="2:15" x14ac:dyDescent="0.3">
      <c r="B61" s="18" t="s">
        <v>1014</v>
      </c>
      <c r="C61" s="18" t="s">
        <v>152</v>
      </c>
      <c r="D61" s="612">
        <v>300000</v>
      </c>
      <c r="E61" s="18" t="s">
        <v>1376</v>
      </c>
      <c r="F61" s="88">
        <v>45861</v>
      </c>
      <c r="G61" s="48"/>
      <c r="H61" s="92" t="s">
        <v>1945</v>
      </c>
      <c r="I61" s="74"/>
      <c r="O61" s="49"/>
    </row>
    <row r="62" spans="2:15" x14ac:dyDescent="0.3">
      <c r="B62" s="18" t="s">
        <v>1014</v>
      </c>
      <c r="C62" s="18" t="s">
        <v>152</v>
      </c>
      <c r="D62" s="612">
        <v>300000</v>
      </c>
      <c r="E62" s="18" t="s">
        <v>1420</v>
      </c>
      <c r="F62" s="88">
        <v>45953</v>
      </c>
      <c r="G62" s="48"/>
      <c r="H62" s="92" t="s">
        <v>1944</v>
      </c>
      <c r="I62" s="74"/>
      <c r="O62" s="49"/>
    </row>
    <row r="63" spans="2:15" ht="6" customHeight="1" x14ac:dyDescent="0.3">
      <c r="B63" s="601"/>
      <c r="C63" s="601"/>
      <c r="D63" s="610"/>
      <c r="E63" s="601"/>
      <c r="F63" s="611"/>
      <c r="G63" s="600"/>
      <c r="I63" s="74"/>
      <c r="O63" s="49"/>
    </row>
    <row r="64" spans="2:15" x14ac:dyDescent="0.3">
      <c r="B64" s="18" t="s">
        <v>1014</v>
      </c>
      <c r="C64" s="18" t="s">
        <v>152</v>
      </c>
      <c r="D64" s="612">
        <v>400000</v>
      </c>
      <c r="E64" s="18" t="s">
        <v>1939</v>
      </c>
      <c r="F64" s="88">
        <v>45680</v>
      </c>
      <c r="G64" s="48"/>
      <c r="H64" t="s">
        <v>1943</v>
      </c>
      <c r="I64" s="74"/>
      <c r="O64" s="49"/>
    </row>
    <row r="65" spans="2:15" x14ac:dyDescent="0.3">
      <c r="B65" s="18" t="s">
        <v>1014</v>
      </c>
      <c r="C65" s="18" t="s">
        <v>152</v>
      </c>
      <c r="D65" s="283">
        <v>400000</v>
      </c>
      <c r="E65" s="18" t="s">
        <v>1940</v>
      </c>
      <c r="F65" s="88">
        <v>45770</v>
      </c>
      <c r="G65" s="48"/>
      <c r="I65" s="74"/>
      <c r="O65" s="49"/>
    </row>
    <row r="66" spans="2:15" x14ac:dyDescent="0.3">
      <c r="B66" s="18" t="s">
        <v>1014</v>
      </c>
      <c r="C66" s="18" t="s">
        <v>152</v>
      </c>
      <c r="D66" s="283">
        <v>400000</v>
      </c>
      <c r="E66" s="18" t="s">
        <v>1941</v>
      </c>
      <c r="F66" s="88">
        <v>45861</v>
      </c>
      <c r="G66" s="48"/>
      <c r="I66" s="74"/>
      <c r="O66" s="49"/>
    </row>
    <row r="67" spans="2:15" x14ac:dyDescent="0.3">
      <c r="B67" s="18" t="s">
        <v>1014</v>
      </c>
      <c r="C67" s="18" t="s">
        <v>152</v>
      </c>
      <c r="D67" s="283">
        <v>400000</v>
      </c>
      <c r="E67" s="18" t="s">
        <v>1942</v>
      </c>
      <c r="F67" s="88">
        <v>45953</v>
      </c>
      <c r="G67" s="48"/>
      <c r="I67" s="74"/>
      <c r="O67" s="49"/>
    </row>
    <row r="68" spans="2:15" x14ac:dyDescent="0.3">
      <c r="I68" s="74"/>
    </row>
    <row r="69" spans="2:15" x14ac:dyDescent="0.3">
      <c r="B69" t="s">
        <v>91</v>
      </c>
    </row>
    <row r="70" spans="2:15" x14ac:dyDescent="0.3">
      <c r="B70" s="29" t="s">
        <v>90</v>
      </c>
      <c r="C70" s="29" t="s">
        <v>22</v>
      </c>
      <c r="D70" s="29" t="s">
        <v>1</v>
      </c>
      <c r="E70" s="29"/>
      <c r="H70" s="74"/>
    </row>
    <row r="71" spans="2:15" x14ac:dyDescent="0.3">
      <c r="C71" s="107">
        <v>44470</v>
      </c>
      <c r="D71" s="49">
        <v>600000</v>
      </c>
    </row>
    <row r="72" spans="2:15" x14ac:dyDescent="0.3">
      <c r="C72" s="107">
        <v>44501</v>
      </c>
      <c r="D72" s="49">
        <v>1400000</v>
      </c>
    </row>
    <row r="73" spans="2:15" x14ac:dyDescent="0.3">
      <c r="C73" s="107">
        <v>44531</v>
      </c>
      <c r="D73" s="49">
        <v>500000</v>
      </c>
    </row>
    <row r="74" spans="2:15" x14ac:dyDescent="0.3">
      <c r="C74" s="107">
        <v>44562</v>
      </c>
      <c r="D74" s="49">
        <v>400000</v>
      </c>
    </row>
    <row r="75" spans="2:15" x14ac:dyDescent="0.3">
      <c r="B75" t="s">
        <v>118</v>
      </c>
      <c r="C75" s="77">
        <v>44742</v>
      </c>
      <c r="D75" s="49">
        <v>272000</v>
      </c>
    </row>
    <row r="76" spans="2:15" ht="15" thickBot="1" x14ac:dyDescent="0.35">
      <c r="D76" s="108">
        <f>SUM(D71:D75)</f>
        <v>3172000</v>
      </c>
      <c r="E76" s="74">
        <f>SUM(D71:D74)</f>
        <v>2900000</v>
      </c>
      <c r="F76">
        <v>272000</v>
      </c>
      <c r="G76" s="74">
        <f>E76+F76</f>
        <v>3172000</v>
      </c>
      <c r="H76" t="s">
        <v>114</v>
      </c>
    </row>
    <row r="77" spans="2:15" x14ac:dyDescent="0.3">
      <c r="G77" s="74">
        <f>+D88</f>
        <v>3136000</v>
      </c>
      <c r="H77" t="s">
        <v>116</v>
      </c>
    </row>
    <row r="78" spans="2:15" ht="15" thickBot="1" x14ac:dyDescent="0.35">
      <c r="B78" t="s">
        <v>111</v>
      </c>
      <c r="G78" s="115">
        <f>G76-G77</f>
        <v>36000</v>
      </c>
      <c r="H78" t="s">
        <v>117</v>
      </c>
    </row>
    <row r="79" spans="2:15" ht="15" thickTop="1" x14ac:dyDescent="0.3">
      <c r="B79" t="s">
        <v>109</v>
      </c>
      <c r="D79" s="49">
        <v>1235000</v>
      </c>
    </row>
    <row r="80" spans="2:15" x14ac:dyDescent="0.3">
      <c r="B80" t="s">
        <v>124</v>
      </c>
      <c r="D80" s="49">
        <v>550000</v>
      </c>
    </row>
    <row r="81" spans="2:5" x14ac:dyDescent="0.3">
      <c r="B81" t="s">
        <v>110</v>
      </c>
      <c r="D81" s="49">
        <v>687000</v>
      </c>
    </row>
    <row r="82" spans="2:5" x14ac:dyDescent="0.3">
      <c r="B82" t="s">
        <v>119</v>
      </c>
      <c r="D82" s="49">
        <v>22000</v>
      </c>
    </row>
    <row r="83" spans="2:5" x14ac:dyDescent="0.3">
      <c r="B83" t="s">
        <v>120</v>
      </c>
      <c r="D83" s="49">
        <v>49500</v>
      </c>
    </row>
    <row r="84" spans="2:5" x14ac:dyDescent="0.3">
      <c r="B84" t="s">
        <v>121</v>
      </c>
      <c r="D84" s="49">
        <v>22500</v>
      </c>
    </row>
    <row r="85" spans="2:5" x14ac:dyDescent="0.3">
      <c r="B85" t="s">
        <v>122</v>
      </c>
      <c r="D85" s="49">
        <v>420000</v>
      </c>
    </row>
    <row r="86" spans="2:5" x14ac:dyDescent="0.3">
      <c r="B86" t="s">
        <v>123</v>
      </c>
      <c r="D86" s="49">
        <v>150000</v>
      </c>
    </row>
    <row r="87" spans="2:5" x14ac:dyDescent="0.3">
      <c r="D87" s="49"/>
    </row>
    <row r="88" spans="2:5" ht="15" thickBot="1" x14ac:dyDescent="0.35">
      <c r="B88" t="s">
        <v>113</v>
      </c>
      <c r="D88" s="103">
        <f>SUM(D79:D87)</f>
        <v>3136000</v>
      </c>
    </row>
    <row r="89" spans="2:5" ht="15" thickTop="1" x14ac:dyDescent="0.3">
      <c r="D89" s="49"/>
    </row>
    <row r="90" spans="2:5" x14ac:dyDescent="0.3">
      <c r="B90" s="92" t="s">
        <v>112</v>
      </c>
      <c r="C90" s="92"/>
      <c r="D90" s="101">
        <f>D76-D88</f>
        <v>36000</v>
      </c>
      <c r="E90" t="s">
        <v>144</v>
      </c>
    </row>
    <row r="91" spans="2:5" x14ac:dyDescent="0.3">
      <c r="B91" s="92" t="s">
        <v>132</v>
      </c>
      <c r="D91" s="101">
        <v>31800</v>
      </c>
      <c r="E91" t="s">
        <v>144</v>
      </c>
    </row>
    <row r="92" spans="2:5" x14ac:dyDescent="0.3">
      <c r="D92" s="74">
        <f>SUM(D90:D91)</f>
        <v>67800</v>
      </c>
    </row>
  </sheetData>
  <mergeCells count="4">
    <mergeCell ref="B3:F3"/>
    <mergeCell ref="H34:H35"/>
    <mergeCell ref="H30:H32"/>
    <mergeCell ref="B30:B3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7772-FDD0-4489-BDB7-D4C665E41CDD}">
  <dimension ref="B2:R61"/>
  <sheetViews>
    <sheetView topLeftCell="A35" workbookViewId="0">
      <selection activeCell="H53" sqref="H53"/>
    </sheetView>
  </sheetViews>
  <sheetFormatPr defaultRowHeight="14.4" x14ac:dyDescent="0.3"/>
  <cols>
    <col min="6" max="6" width="15.21875" customWidth="1"/>
    <col min="7" max="7" width="11.77734375" customWidth="1"/>
    <col min="8" max="8" width="58.6640625" customWidth="1"/>
    <col min="9" max="9" width="11.109375" bestFit="1" customWidth="1"/>
    <col min="13" max="13" width="11.109375" bestFit="1" customWidth="1"/>
    <col min="14" max="14" width="16.6640625" bestFit="1" customWidth="1"/>
    <col min="15" max="15" width="13.5546875" bestFit="1" customWidth="1"/>
  </cols>
  <sheetData>
    <row r="2" spans="2:18" x14ac:dyDescent="0.3">
      <c r="B2" t="s">
        <v>24</v>
      </c>
      <c r="N2" t="s">
        <v>1553</v>
      </c>
      <c r="P2" t="s">
        <v>1558</v>
      </c>
    </row>
    <row r="3" spans="2:18" x14ac:dyDescent="0.3">
      <c r="B3" t="s">
        <v>1534</v>
      </c>
      <c r="H3">
        <v>801</v>
      </c>
      <c r="I3" t="s">
        <v>1244</v>
      </c>
      <c r="J3" s="272" t="s">
        <v>1493</v>
      </c>
      <c r="K3">
        <v>4000</v>
      </c>
      <c r="L3" t="s">
        <v>1550</v>
      </c>
    </row>
    <row r="4" spans="2:18" x14ac:dyDescent="0.3">
      <c r="H4">
        <v>1001</v>
      </c>
      <c r="I4" t="s">
        <v>40</v>
      </c>
      <c r="J4" s="272" t="s">
        <v>1492</v>
      </c>
      <c r="K4">
        <v>5500</v>
      </c>
      <c r="L4" t="s">
        <v>1550</v>
      </c>
    </row>
    <row r="5" spans="2:18" x14ac:dyDescent="0.3">
      <c r="B5" s="428">
        <v>502</v>
      </c>
      <c r="C5" t="s">
        <v>1518</v>
      </c>
      <c r="D5" s="429" t="s">
        <v>1491</v>
      </c>
      <c r="E5">
        <v>5500</v>
      </c>
      <c r="F5" t="s">
        <v>1550</v>
      </c>
      <c r="N5" s="119" t="s">
        <v>1247</v>
      </c>
      <c r="O5" t="s">
        <v>1559</v>
      </c>
      <c r="P5" s="76">
        <v>35000</v>
      </c>
    </row>
    <row r="6" spans="2:18" x14ac:dyDescent="0.3">
      <c r="B6" s="428">
        <v>103</v>
      </c>
      <c r="C6" t="s">
        <v>41</v>
      </c>
      <c r="D6" s="429" t="s">
        <v>1494</v>
      </c>
      <c r="E6">
        <v>2500</v>
      </c>
      <c r="F6" t="s">
        <v>1550</v>
      </c>
      <c r="H6" s="430">
        <v>100000</v>
      </c>
      <c r="I6" s="431" t="s">
        <v>1572</v>
      </c>
      <c r="N6" s="119" t="s">
        <v>1243</v>
      </c>
      <c r="O6" t="s">
        <v>1559</v>
      </c>
      <c r="P6" s="76">
        <f>22000-11000</f>
        <v>11000</v>
      </c>
    </row>
    <row r="7" spans="2:18" x14ac:dyDescent="0.3">
      <c r="B7" s="428"/>
      <c r="D7" s="428"/>
      <c r="N7" s="119" t="s">
        <v>1244</v>
      </c>
      <c r="O7" t="s">
        <v>1559</v>
      </c>
      <c r="P7" s="76">
        <v>23000</v>
      </c>
    </row>
    <row r="8" spans="2:18" x14ac:dyDescent="0.3">
      <c r="B8" s="428">
        <v>603</v>
      </c>
      <c r="C8" t="s">
        <v>1551</v>
      </c>
      <c r="D8" s="429" t="s">
        <v>1473</v>
      </c>
      <c r="E8" s="104">
        <v>65000</v>
      </c>
      <c r="F8" t="s">
        <v>1552</v>
      </c>
      <c r="G8">
        <v>72000</v>
      </c>
      <c r="N8" s="119" t="s">
        <v>1245</v>
      </c>
      <c r="O8" t="s">
        <v>1559</v>
      </c>
      <c r="P8" s="76">
        <v>37000</v>
      </c>
      <c r="Q8">
        <v>20000</v>
      </c>
      <c r="R8" t="s">
        <v>1556</v>
      </c>
    </row>
    <row r="9" spans="2:18" ht="28.8" x14ac:dyDescent="0.3">
      <c r="B9" s="485">
        <v>102</v>
      </c>
      <c r="C9" s="486" t="s">
        <v>1549</v>
      </c>
      <c r="D9" s="488" t="s">
        <v>1487</v>
      </c>
      <c r="E9" s="489">
        <v>42000</v>
      </c>
      <c r="F9" s="486" t="s">
        <v>1548</v>
      </c>
      <c r="G9" s="486"/>
      <c r="H9" s="490" t="s">
        <v>1746</v>
      </c>
      <c r="N9" s="119" t="s">
        <v>1555</v>
      </c>
      <c r="O9" t="s">
        <v>1559</v>
      </c>
      <c r="P9" s="76">
        <v>23000</v>
      </c>
    </row>
    <row r="10" spans="2:18" x14ac:dyDescent="0.3">
      <c r="B10" s="485">
        <v>302</v>
      </c>
      <c r="C10" s="486" t="s">
        <v>1546</v>
      </c>
      <c r="D10" s="488" t="s">
        <v>1509</v>
      </c>
      <c r="E10" s="498">
        <v>33000</v>
      </c>
      <c r="F10" s="486" t="s">
        <v>1547</v>
      </c>
      <c r="G10" s="486"/>
      <c r="H10" s="499" t="s">
        <v>1747</v>
      </c>
      <c r="N10" s="119" t="s">
        <v>1246</v>
      </c>
      <c r="P10">
        <v>25000</v>
      </c>
      <c r="Q10" t="s">
        <v>1577</v>
      </c>
    </row>
    <row r="11" spans="2:18" x14ac:dyDescent="0.3">
      <c r="B11" s="428">
        <v>702</v>
      </c>
      <c r="C11" t="s">
        <v>38</v>
      </c>
      <c r="D11" s="429" t="s">
        <v>1519</v>
      </c>
      <c r="E11" s="104">
        <v>5500</v>
      </c>
      <c r="F11" t="s">
        <v>1539</v>
      </c>
    </row>
    <row r="12" spans="2:18" x14ac:dyDescent="0.3">
      <c r="B12" s="428">
        <v>1004</v>
      </c>
      <c r="C12" t="s">
        <v>1515</v>
      </c>
      <c r="D12" s="429" t="s">
        <v>1520</v>
      </c>
      <c r="E12" s="104">
        <v>5500</v>
      </c>
      <c r="F12" t="s">
        <v>1539</v>
      </c>
      <c r="N12" s="450" t="s">
        <v>1554</v>
      </c>
      <c r="O12" s="92"/>
      <c r="P12" s="92">
        <v>15000</v>
      </c>
      <c r="Q12" s="92" t="s">
        <v>1557</v>
      </c>
    </row>
    <row r="13" spans="2:18" x14ac:dyDescent="0.3">
      <c r="B13" s="428">
        <v>504</v>
      </c>
      <c r="C13" t="s">
        <v>1545</v>
      </c>
      <c r="D13" s="429" t="s">
        <v>1521</v>
      </c>
      <c r="E13" s="104">
        <v>5500</v>
      </c>
      <c r="F13" t="s">
        <v>1539</v>
      </c>
    </row>
    <row r="14" spans="2:18" x14ac:dyDescent="0.3">
      <c r="B14" s="428">
        <v>902</v>
      </c>
      <c r="C14" t="s">
        <v>1544</v>
      </c>
      <c r="D14" s="429" t="s">
        <v>1522</v>
      </c>
      <c r="E14" s="104">
        <v>5500</v>
      </c>
      <c r="F14" t="s">
        <v>1539</v>
      </c>
    </row>
    <row r="15" spans="2:18" x14ac:dyDescent="0.3">
      <c r="B15" s="428">
        <v>602</v>
      </c>
      <c r="C15" t="s">
        <v>1543</v>
      </c>
      <c r="D15" s="429" t="s">
        <v>1523</v>
      </c>
      <c r="E15" s="104">
        <v>5500</v>
      </c>
      <c r="F15" t="s">
        <v>1539</v>
      </c>
    </row>
    <row r="16" spans="2:18" x14ac:dyDescent="0.3">
      <c r="B16" s="428">
        <v>601</v>
      </c>
      <c r="C16" t="s">
        <v>1542</v>
      </c>
      <c r="D16" s="429" t="s">
        <v>1524</v>
      </c>
      <c r="E16" s="104">
        <v>5500</v>
      </c>
      <c r="F16" t="s">
        <v>1539</v>
      </c>
      <c r="N16" s="104" t="s">
        <v>1570</v>
      </c>
      <c r="P16">
        <f>E8+E11+E12+E13+E14+E15+E16+E17+E21+E22</f>
        <v>127500</v>
      </c>
    </row>
    <row r="17" spans="2:16" x14ac:dyDescent="0.3">
      <c r="B17" s="428">
        <v>603</v>
      </c>
      <c r="C17" t="s">
        <v>1536</v>
      </c>
      <c r="D17" s="429" t="s">
        <v>1529</v>
      </c>
      <c r="E17" s="104">
        <v>9000</v>
      </c>
      <c r="F17" t="s">
        <v>1539</v>
      </c>
      <c r="N17" s="76" t="s">
        <v>1571</v>
      </c>
      <c r="P17">
        <f>SUM(P5:P9)</f>
        <v>129000</v>
      </c>
    </row>
    <row r="18" spans="2:16" x14ac:dyDescent="0.3">
      <c r="B18" s="428">
        <v>502</v>
      </c>
      <c r="C18" t="s">
        <v>1518</v>
      </c>
      <c r="D18" s="429" t="s">
        <v>1531</v>
      </c>
      <c r="E18">
        <v>5500</v>
      </c>
      <c r="F18" t="s">
        <v>1539</v>
      </c>
    </row>
    <row r="19" spans="2:16" ht="16.8" customHeight="1" x14ac:dyDescent="0.3">
      <c r="B19" s="485">
        <v>1001</v>
      </c>
      <c r="C19" s="486" t="s">
        <v>40</v>
      </c>
      <c r="D19" s="488" t="s">
        <v>1533</v>
      </c>
      <c r="E19" s="489">
        <v>4000</v>
      </c>
      <c r="F19" s="486"/>
      <c r="G19" s="486"/>
      <c r="H19" s="490" t="s">
        <v>1746</v>
      </c>
    </row>
    <row r="20" spans="2:16" x14ac:dyDescent="0.3">
      <c r="B20" s="428">
        <v>103</v>
      </c>
      <c r="C20" t="s">
        <v>41</v>
      </c>
      <c r="D20" s="429" t="s">
        <v>1530</v>
      </c>
      <c r="E20" s="503">
        <v>2500</v>
      </c>
      <c r="F20" t="s">
        <v>1539</v>
      </c>
    </row>
    <row r="21" spans="2:16" x14ac:dyDescent="0.3">
      <c r="B21" s="428">
        <v>701</v>
      </c>
      <c r="C21" t="s">
        <v>1537</v>
      </c>
      <c r="D21" s="429" t="s">
        <v>1562</v>
      </c>
      <c r="E21" s="104">
        <v>15000</v>
      </c>
      <c r="F21" t="s">
        <v>1540</v>
      </c>
    </row>
    <row r="22" spans="2:16" x14ac:dyDescent="0.3">
      <c r="B22" s="428">
        <v>504</v>
      </c>
      <c r="C22" t="s">
        <v>1535</v>
      </c>
      <c r="D22" s="429" t="s">
        <v>1541</v>
      </c>
      <c r="E22" s="104">
        <v>5500</v>
      </c>
      <c r="F22" t="s">
        <v>1538</v>
      </c>
    </row>
    <row r="23" spans="2:16" ht="17.399999999999999" customHeight="1" x14ac:dyDescent="0.3">
      <c r="B23" s="485">
        <v>503</v>
      </c>
      <c r="C23" s="486" t="s">
        <v>1560</v>
      </c>
      <c r="D23" s="488" t="s">
        <v>1561</v>
      </c>
      <c r="E23" s="489">
        <v>14000</v>
      </c>
      <c r="F23" s="486" t="s">
        <v>1540</v>
      </c>
      <c r="G23" s="486"/>
      <c r="H23" s="490" t="s">
        <v>1746</v>
      </c>
    </row>
    <row r="24" spans="2:16" x14ac:dyDescent="0.3">
      <c r="B24" s="428">
        <v>901</v>
      </c>
      <c r="C24" t="s">
        <v>1631</v>
      </c>
      <c r="D24" s="428">
        <v>162</v>
      </c>
      <c r="E24" s="76">
        <v>16000</v>
      </c>
      <c r="F24" t="s">
        <v>1733</v>
      </c>
      <c r="G24" s="77">
        <v>45942</v>
      </c>
    </row>
    <row r="25" spans="2:16" x14ac:dyDescent="0.3">
      <c r="B25" s="428">
        <v>1004</v>
      </c>
      <c r="C25" t="s">
        <v>1515</v>
      </c>
      <c r="D25" s="429">
        <v>163</v>
      </c>
      <c r="E25" s="76">
        <v>5500</v>
      </c>
      <c r="F25" t="s">
        <v>1730</v>
      </c>
      <c r="G25" s="77">
        <v>45938</v>
      </c>
    </row>
    <row r="26" spans="2:16" x14ac:dyDescent="0.3">
      <c r="B26" s="428">
        <v>602</v>
      </c>
      <c r="C26" t="s">
        <v>1543</v>
      </c>
      <c r="D26" s="429">
        <v>164</v>
      </c>
      <c r="E26" s="76">
        <v>5500</v>
      </c>
      <c r="F26" t="s">
        <v>1730</v>
      </c>
      <c r="G26" s="77">
        <v>45941</v>
      </c>
    </row>
    <row r="27" spans="2:16" x14ac:dyDescent="0.3">
      <c r="B27" s="428">
        <v>902</v>
      </c>
      <c r="C27" t="s">
        <v>1544</v>
      </c>
      <c r="D27" s="429">
        <v>165</v>
      </c>
      <c r="E27" s="76">
        <v>5500</v>
      </c>
      <c r="F27" t="s">
        <v>1730</v>
      </c>
      <c r="G27" s="77">
        <v>45942</v>
      </c>
    </row>
    <row r="28" spans="2:16" x14ac:dyDescent="0.3">
      <c r="B28" s="428">
        <v>601</v>
      </c>
      <c r="C28" t="s">
        <v>1542</v>
      </c>
      <c r="D28" s="429">
        <v>166</v>
      </c>
      <c r="E28" s="76">
        <v>5500</v>
      </c>
      <c r="F28" t="s">
        <v>1730</v>
      </c>
      <c r="G28" s="77">
        <v>45948</v>
      </c>
    </row>
    <row r="29" spans="2:16" x14ac:dyDescent="0.3">
      <c r="B29" s="485">
        <v>501</v>
      </c>
      <c r="C29" s="486" t="s">
        <v>1632</v>
      </c>
      <c r="D29" s="485">
        <v>169</v>
      </c>
      <c r="E29" s="498">
        <v>16500</v>
      </c>
      <c r="F29" s="486" t="s">
        <v>1732</v>
      </c>
      <c r="G29" s="487">
        <v>45956</v>
      </c>
      <c r="H29" s="499" t="s">
        <v>1747</v>
      </c>
      <c r="I29" s="49"/>
    </row>
    <row r="30" spans="2:16" x14ac:dyDescent="0.3">
      <c r="I30" s="49"/>
    </row>
    <row r="31" spans="2:16" x14ac:dyDescent="0.3">
      <c r="B31" s="428">
        <v>1004</v>
      </c>
      <c r="C31" t="s">
        <v>1243</v>
      </c>
      <c r="D31" s="428">
        <v>171</v>
      </c>
      <c r="E31">
        <v>4000</v>
      </c>
      <c r="F31" t="s">
        <v>1731</v>
      </c>
      <c r="G31" s="77">
        <v>45957</v>
      </c>
      <c r="I31" s="49"/>
    </row>
    <row r="32" spans="2:16" x14ac:dyDescent="0.3">
      <c r="B32" s="428">
        <v>604</v>
      </c>
      <c r="C32" t="s">
        <v>1633</v>
      </c>
      <c r="D32" s="428">
        <v>172</v>
      </c>
      <c r="E32">
        <v>5500</v>
      </c>
      <c r="F32" t="s">
        <v>1730</v>
      </c>
      <c r="G32" s="77">
        <v>45961</v>
      </c>
      <c r="I32" s="49"/>
    </row>
    <row r="33" spans="2:17" x14ac:dyDescent="0.3">
      <c r="B33" s="428">
        <v>201</v>
      </c>
      <c r="C33" t="s">
        <v>1634</v>
      </c>
      <c r="D33" s="428">
        <v>173</v>
      </c>
      <c r="E33" s="197">
        <v>5500</v>
      </c>
      <c r="F33" t="s">
        <v>1729</v>
      </c>
      <c r="G33" s="77">
        <v>45962</v>
      </c>
      <c r="H33" t="s">
        <v>1736</v>
      </c>
      <c r="I33" s="588">
        <v>1000</v>
      </c>
    </row>
    <row r="34" spans="2:17" x14ac:dyDescent="0.3">
      <c r="B34" s="428">
        <v>504</v>
      </c>
      <c r="C34" t="s">
        <v>1635</v>
      </c>
      <c r="D34" s="428">
        <v>177</v>
      </c>
      <c r="E34" s="197">
        <v>5500</v>
      </c>
      <c r="F34" t="s">
        <v>1729</v>
      </c>
      <c r="G34" s="77">
        <v>45964</v>
      </c>
      <c r="H34" t="s">
        <v>1736</v>
      </c>
      <c r="I34" s="588"/>
    </row>
    <row r="35" spans="2:17" x14ac:dyDescent="0.3">
      <c r="B35" s="428">
        <v>103</v>
      </c>
      <c r="C35" t="s">
        <v>41</v>
      </c>
      <c r="D35" s="428">
        <v>179</v>
      </c>
      <c r="E35" s="503">
        <v>2500</v>
      </c>
      <c r="F35" t="s">
        <v>1730</v>
      </c>
      <c r="G35" s="77">
        <v>45961</v>
      </c>
    </row>
    <row r="36" spans="2:17" x14ac:dyDescent="0.3">
      <c r="B36" s="428">
        <v>602</v>
      </c>
      <c r="C36" t="s">
        <v>1543</v>
      </c>
      <c r="D36" s="428">
        <v>192</v>
      </c>
      <c r="E36" s="215">
        <v>5500</v>
      </c>
      <c r="F36" t="s">
        <v>1729</v>
      </c>
      <c r="G36" s="77">
        <v>45977</v>
      </c>
    </row>
    <row r="37" spans="2:17" x14ac:dyDescent="0.3">
      <c r="B37" s="428">
        <v>902</v>
      </c>
      <c r="C37" t="s">
        <v>1544</v>
      </c>
      <c r="D37" s="428">
        <v>193</v>
      </c>
      <c r="E37" s="215">
        <v>5500</v>
      </c>
      <c r="F37" t="s">
        <v>1729</v>
      </c>
      <c r="G37" s="77">
        <v>45977</v>
      </c>
    </row>
    <row r="38" spans="2:17" x14ac:dyDescent="0.3">
      <c r="B38" s="428">
        <v>601</v>
      </c>
      <c r="C38" t="s">
        <v>1542</v>
      </c>
      <c r="D38" s="428" t="s">
        <v>1707</v>
      </c>
      <c r="E38" s="76">
        <v>5500</v>
      </c>
      <c r="F38" t="s">
        <v>1729</v>
      </c>
      <c r="G38" s="77">
        <v>45986</v>
      </c>
    </row>
    <row r="39" spans="2:17" x14ac:dyDescent="0.3">
      <c r="B39" s="428">
        <v>504</v>
      </c>
      <c r="C39" t="s">
        <v>1635</v>
      </c>
      <c r="D39" s="428">
        <v>214</v>
      </c>
      <c r="E39" s="76">
        <v>5500</v>
      </c>
      <c r="F39" t="s">
        <v>1728</v>
      </c>
      <c r="G39" s="77">
        <v>45995</v>
      </c>
    </row>
    <row r="40" spans="2:17" x14ac:dyDescent="0.3">
      <c r="B40" s="428">
        <v>602</v>
      </c>
      <c r="C40" t="s">
        <v>1543</v>
      </c>
      <c r="D40" s="428">
        <v>215</v>
      </c>
      <c r="E40" s="76">
        <v>5500</v>
      </c>
      <c r="F40" t="s">
        <v>1728</v>
      </c>
      <c r="G40" s="77">
        <v>46000</v>
      </c>
    </row>
    <row r="41" spans="2:17" x14ac:dyDescent="0.3">
      <c r="B41" s="428">
        <v>703</v>
      </c>
      <c r="C41" t="s">
        <v>1727</v>
      </c>
      <c r="D41" s="428">
        <v>216</v>
      </c>
      <c r="E41" s="76">
        <v>11000</v>
      </c>
      <c r="F41" t="s">
        <v>1728</v>
      </c>
      <c r="G41" s="77">
        <v>46009</v>
      </c>
    </row>
    <row r="42" spans="2:17" x14ac:dyDescent="0.3">
      <c r="B42" s="428">
        <v>103</v>
      </c>
      <c r="C42" t="s">
        <v>41</v>
      </c>
      <c r="D42" s="429">
        <v>222</v>
      </c>
      <c r="E42">
        <v>5000</v>
      </c>
      <c r="F42" t="s">
        <v>1801</v>
      </c>
      <c r="G42" s="77">
        <v>46022</v>
      </c>
      <c r="I42" s="49">
        <v>325000</v>
      </c>
      <c r="M42" s="49">
        <v>325000</v>
      </c>
      <c r="O42">
        <v>460500</v>
      </c>
      <c r="Q42">
        <v>200000</v>
      </c>
    </row>
    <row r="43" spans="2:17" x14ac:dyDescent="0.3">
      <c r="B43" s="428">
        <v>503</v>
      </c>
      <c r="C43" t="s">
        <v>1560</v>
      </c>
      <c r="D43" s="428">
        <v>221</v>
      </c>
      <c r="E43" s="502">
        <v>14000</v>
      </c>
      <c r="F43" t="s">
        <v>1801</v>
      </c>
      <c r="G43" s="77">
        <v>46021</v>
      </c>
      <c r="I43" s="49">
        <v>-31000</v>
      </c>
      <c r="J43" t="s">
        <v>1737</v>
      </c>
      <c r="M43" s="484">
        <v>-49500</v>
      </c>
      <c r="O43">
        <v>200500</v>
      </c>
      <c r="Q43">
        <v>265000</v>
      </c>
    </row>
    <row r="44" spans="2:17" x14ac:dyDescent="0.3">
      <c r="I44" s="49">
        <v>-28000</v>
      </c>
      <c r="J44" t="s">
        <v>1738</v>
      </c>
      <c r="M44" s="74">
        <f>M42+M43</f>
        <v>275500</v>
      </c>
      <c r="O44">
        <f>O42-O43</f>
        <v>260000</v>
      </c>
    </row>
    <row r="45" spans="2:17" x14ac:dyDescent="0.3">
      <c r="B45" s="428">
        <v>402</v>
      </c>
      <c r="C45" t="s">
        <v>1727</v>
      </c>
      <c r="D45" s="428" t="s">
        <v>1793</v>
      </c>
      <c r="E45" s="215">
        <v>33000</v>
      </c>
      <c r="F45" t="s">
        <v>1794</v>
      </c>
      <c r="G45" s="77">
        <v>46023</v>
      </c>
      <c r="I45" s="49">
        <v>-16000</v>
      </c>
      <c r="J45" t="s">
        <v>1739</v>
      </c>
      <c r="O45">
        <v>200000</v>
      </c>
    </row>
    <row r="46" spans="2:17" x14ac:dyDescent="0.3">
      <c r="B46" s="428">
        <v>101</v>
      </c>
      <c r="C46" t="s">
        <v>1790</v>
      </c>
      <c r="D46" s="428" t="s">
        <v>1788</v>
      </c>
      <c r="E46" s="500">
        <v>28500</v>
      </c>
      <c r="F46" t="s">
        <v>1789</v>
      </c>
      <c r="G46" s="77">
        <v>46028</v>
      </c>
      <c r="I46" s="49">
        <v>-5000</v>
      </c>
      <c r="J46" t="s">
        <v>1740</v>
      </c>
    </row>
    <row r="47" spans="2:17" x14ac:dyDescent="0.3">
      <c r="B47" s="428">
        <v>504</v>
      </c>
      <c r="C47" t="s">
        <v>1635</v>
      </c>
      <c r="D47" s="428">
        <v>228</v>
      </c>
      <c r="E47" s="500">
        <v>5500</v>
      </c>
      <c r="F47" t="s">
        <v>1791</v>
      </c>
      <c r="G47" s="77">
        <v>46027</v>
      </c>
      <c r="I47" s="49">
        <v>-7000</v>
      </c>
      <c r="J47" t="s">
        <v>1744</v>
      </c>
    </row>
    <row r="48" spans="2:17" x14ac:dyDescent="0.3">
      <c r="B48" s="428">
        <v>704</v>
      </c>
      <c r="C48" t="s">
        <v>1544</v>
      </c>
      <c r="D48" s="428">
        <v>242</v>
      </c>
      <c r="E48" s="501">
        <v>5500</v>
      </c>
      <c r="F48" t="s">
        <v>1773</v>
      </c>
      <c r="G48" s="77">
        <v>46034</v>
      </c>
      <c r="I48" s="49">
        <v>-5500</v>
      </c>
      <c r="J48" t="s">
        <v>1741</v>
      </c>
    </row>
    <row r="49" spans="2:10" x14ac:dyDescent="0.3">
      <c r="B49" s="428">
        <v>602</v>
      </c>
      <c r="C49" t="s">
        <v>1543</v>
      </c>
      <c r="D49" s="428" t="s">
        <v>1772</v>
      </c>
      <c r="E49" s="501">
        <v>5500</v>
      </c>
      <c r="F49" t="s">
        <v>1773</v>
      </c>
      <c r="G49" s="77">
        <v>46037</v>
      </c>
      <c r="I49" s="49">
        <v>-5000</v>
      </c>
      <c r="J49" t="s">
        <v>1742</v>
      </c>
    </row>
    <row r="50" spans="2:10" x14ac:dyDescent="0.3">
      <c r="I50" s="49">
        <v>-15000</v>
      </c>
      <c r="J50" t="s">
        <v>1743</v>
      </c>
    </row>
    <row r="51" spans="2:10" x14ac:dyDescent="0.3">
      <c r="I51" s="49"/>
    </row>
    <row r="52" spans="2:10" x14ac:dyDescent="0.3">
      <c r="I52" s="49"/>
    </row>
    <row r="53" spans="2:10" x14ac:dyDescent="0.3">
      <c r="I53" s="49">
        <f>SUM(I42:I51)</f>
        <v>212500</v>
      </c>
    </row>
    <row r="56" spans="2:10" x14ac:dyDescent="0.3">
      <c r="D56" s="215"/>
      <c r="E56">
        <v>44000</v>
      </c>
    </row>
    <row r="57" spans="2:10" x14ac:dyDescent="0.3">
      <c r="D57" s="503"/>
      <c r="E57">
        <v>5000</v>
      </c>
      <c r="I57">
        <v>465000</v>
      </c>
    </row>
    <row r="58" spans="2:10" x14ac:dyDescent="0.3">
      <c r="D58" s="501"/>
      <c r="E58">
        <v>11000</v>
      </c>
      <c r="I58">
        <v>200000</v>
      </c>
    </row>
    <row r="59" spans="2:10" x14ac:dyDescent="0.3">
      <c r="D59" s="500"/>
      <c r="E59">
        <v>34000</v>
      </c>
      <c r="I59">
        <v>220000</v>
      </c>
    </row>
    <row r="60" spans="2:10" x14ac:dyDescent="0.3">
      <c r="D60" s="502"/>
      <c r="E60">
        <v>14000</v>
      </c>
    </row>
    <row r="61" spans="2:10" x14ac:dyDescent="0.3">
      <c r="D61" s="76"/>
      <c r="E61">
        <v>27500</v>
      </c>
    </row>
  </sheetData>
  <mergeCells count="1">
    <mergeCell ref="I33:I34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926A1-95B4-4165-8000-20A565323309}">
  <dimension ref="E3:AZ159"/>
  <sheetViews>
    <sheetView topLeftCell="AV139" workbookViewId="0">
      <selection activeCell="AY170" sqref="AY170"/>
    </sheetView>
  </sheetViews>
  <sheetFormatPr defaultRowHeight="14.4" x14ac:dyDescent="0.3"/>
  <cols>
    <col min="6" max="6" width="31.6640625" bestFit="1" customWidth="1"/>
    <col min="7" max="7" width="24.88671875" bestFit="1" customWidth="1"/>
    <col min="8" max="8" width="11.109375" bestFit="1" customWidth="1"/>
    <col min="10" max="10" width="10.6640625" bestFit="1" customWidth="1"/>
    <col min="13" max="13" width="9.5546875" bestFit="1" customWidth="1"/>
    <col min="14" max="14" width="11.109375" bestFit="1" customWidth="1"/>
    <col min="16" max="16" width="9.5546875" bestFit="1" customWidth="1"/>
    <col min="17" max="17" width="10.109375" bestFit="1" customWidth="1"/>
    <col min="18" max="18" width="44.44140625" bestFit="1" customWidth="1"/>
    <col min="19" max="19" width="9.5546875" bestFit="1" customWidth="1"/>
    <col min="20" max="20" width="11.109375" bestFit="1" customWidth="1"/>
    <col min="22" max="22" width="9.109375" bestFit="1" customWidth="1"/>
    <col min="23" max="23" width="37.5546875" bestFit="1" customWidth="1"/>
    <col min="24" max="24" width="9.5546875" bestFit="1" customWidth="1"/>
    <col min="25" max="25" width="10.109375" bestFit="1" customWidth="1"/>
    <col min="28" max="28" width="37.5546875" bestFit="1" customWidth="1"/>
    <col min="29" max="29" width="10.5546875" bestFit="1" customWidth="1"/>
    <col min="30" max="30" width="9.5546875" bestFit="1" customWidth="1"/>
    <col min="31" max="31" width="9.5546875" customWidth="1"/>
    <col min="32" max="32" width="51.21875" bestFit="1" customWidth="1"/>
    <col min="33" max="33" width="10.5546875" bestFit="1" customWidth="1"/>
    <col min="34" max="34" width="9.5546875" customWidth="1"/>
    <col min="36" max="36" width="37.5546875" bestFit="1" customWidth="1"/>
    <col min="37" max="37" width="9.6640625" bestFit="1" customWidth="1"/>
    <col min="38" max="38" width="11.109375" bestFit="1" customWidth="1"/>
    <col min="40" max="40" width="37.5546875" bestFit="1" customWidth="1"/>
    <col min="41" max="41" width="10.5546875" bestFit="1" customWidth="1"/>
    <col min="42" max="42" width="9.5546875" bestFit="1" customWidth="1"/>
    <col min="44" max="44" width="46.44140625" bestFit="1" customWidth="1"/>
    <col min="45" max="45" width="10.5546875" bestFit="1" customWidth="1"/>
    <col min="46" max="46" width="9.109375" bestFit="1" customWidth="1"/>
    <col min="48" max="48" width="46.44140625" bestFit="1" customWidth="1"/>
    <col min="49" max="49" width="14.109375" bestFit="1" customWidth="1"/>
    <col min="50" max="50" width="12.6640625" bestFit="1" customWidth="1"/>
    <col min="52" max="52" width="11.109375" bestFit="1" customWidth="1"/>
  </cols>
  <sheetData>
    <row r="3" spans="5:10" x14ac:dyDescent="0.3">
      <c r="E3" s="149" t="s">
        <v>155</v>
      </c>
      <c r="F3" s="149"/>
      <c r="G3" s="149"/>
      <c r="H3" s="150"/>
      <c r="I3" s="150"/>
      <c r="J3" s="150">
        <v>7946</v>
      </c>
    </row>
    <row r="4" spans="5:10" x14ac:dyDescent="0.3">
      <c r="E4" s="104"/>
      <c r="F4" s="104"/>
      <c r="G4" s="104"/>
      <c r="H4" s="151"/>
      <c r="I4" s="151"/>
      <c r="J4" s="151"/>
    </row>
    <row r="5" spans="5:10" x14ac:dyDescent="0.3">
      <c r="E5" s="104" t="s">
        <v>85</v>
      </c>
      <c r="F5" s="104" t="s">
        <v>163</v>
      </c>
      <c r="G5" s="104" t="s">
        <v>156</v>
      </c>
      <c r="H5" s="151">
        <v>11000</v>
      </c>
      <c r="I5" s="151"/>
      <c r="J5" s="151"/>
    </row>
    <row r="6" spans="5:10" x14ac:dyDescent="0.3">
      <c r="E6" s="104"/>
      <c r="F6" s="104" t="s">
        <v>164</v>
      </c>
      <c r="G6" s="104" t="s">
        <v>157</v>
      </c>
      <c r="H6" s="151">
        <v>15000</v>
      </c>
      <c r="I6" s="151"/>
      <c r="J6" s="151"/>
    </row>
    <row r="7" spans="5:10" x14ac:dyDescent="0.3">
      <c r="E7" s="104"/>
      <c r="F7" s="104" t="s">
        <v>165</v>
      </c>
      <c r="G7" s="104" t="s">
        <v>156</v>
      </c>
      <c r="H7" s="152">
        <v>5000</v>
      </c>
      <c r="I7" s="153"/>
      <c r="J7" s="151"/>
    </row>
    <row r="8" spans="5:10" x14ac:dyDescent="0.3">
      <c r="E8" s="104"/>
      <c r="F8" s="104"/>
      <c r="G8" s="104"/>
      <c r="H8" s="151">
        <f>SUM(H5:H7)</f>
        <v>31000</v>
      </c>
      <c r="I8" s="151"/>
      <c r="J8" s="151"/>
    </row>
    <row r="9" spans="5:10" x14ac:dyDescent="0.3">
      <c r="E9" s="104" t="s">
        <v>159</v>
      </c>
      <c r="F9" s="104" t="s">
        <v>160</v>
      </c>
      <c r="G9" s="154">
        <v>44866</v>
      </c>
      <c r="H9" s="151">
        <v>-21300</v>
      </c>
      <c r="I9" s="151"/>
      <c r="J9" s="151"/>
    </row>
    <row r="10" spans="5:10" ht="15" thickBot="1" x14ac:dyDescent="0.35">
      <c r="E10" s="104"/>
      <c r="F10" s="104" t="s">
        <v>161</v>
      </c>
      <c r="G10" s="154">
        <v>44866</v>
      </c>
      <c r="H10" s="152">
        <v>-8000</v>
      </c>
      <c r="I10" s="151"/>
      <c r="J10" s="178"/>
    </row>
    <row r="11" spans="5:10" x14ac:dyDescent="0.3">
      <c r="E11" s="104"/>
      <c r="F11" s="104"/>
      <c r="G11" s="104"/>
      <c r="H11" s="151">
        <f>SUM(H8:H10)</f>
        <v>1700</v>
      </c>
      <c r="I11" s="151"/>
      <c r="J11" s="151">
        <v>1700</v>
      </c>
    </row>
    <row r="12" spans="5:10" x14ac:dyDescent="0.3">
      <c r="E12" s="104"/>
      <c r="F12" s="104"/>
      <c r="G12" s="104"/>
      <c r="H12" s="151"/>
      <c r="I12" s="151"/>
      <c r="J12" s="151"/>
    </row>
    <row r="13" spans="5:10" x14ac:dyDescent="0.3">
      <c r="E13" s="104" t="s">
        <v>85</v>
      </c>
      <c r="F13" s="104" t="s">
        <v>166</v>
      </c>
      <c r="G13" s="104" t="s">
        <v>158</v>
      </c>
      <c r="H13" s="151">
        <v>16000</v>
      </c>
      <c r="I13" s="151"/>
      <c r="J13" s="151"/>
    </row>
    <row r="14" spans="5:10" x14ac:dyDescent="0.3">
      <c r="E14" s="104"/>
      <c r="F14" s="104" t="s">
        <v>164</v>
      </c>
      <c r="G14" s="154">
        <v>44896</v>
      </c>
      <c r="H14" s="152">
        <v>7500</v>
      </c>
      <c r="I14" s="151"/>
      <c r="J14" s="151"/>
    </row>
    <row r="15" spans="5:10" x14ac:dyDescent="0.3">
      <c r="E15" s="104"/>
      <c r="F15" s="104"/>
      <c r="G15" s="104"/>
      <c r="H15" s="151">
        <f>SUM(H13:H14)</f>
        <v>23500</v>
      </c>
      <c r="I15" s="151"/>
      <c r="J15" s="151"/>
    </row>
    <row r="16" spans="5:10" ht="15" thickBot="1" x14ac:dyDescent="0.35">
      <c r="E16" s="104" t="s">
        <v>159</v>
      </c>
      <c r="F16" s="104" t="s">
        <v>162</v>
      </c>
      <c r="G16" s="154">
        <v>44896</v>
      </c>
      <c r="H16" s="152">
        <v>-23750</v>
      </c>
      <c r="I16" s="151"/>
      <c r="J16" s="178"/>
    </row>
    <row r="17" spans="5:12" x14ac:dyDescent="0.3">
      <c r="E17" s="104"/>
      <c r="F17" s="104"/>
      <c r="G17" s="104"/>
      <c r="H17" s="151">
        <f>SUM(H15:H16)</f>
        <v>-250</v>
      </c>
      <c r="I17" s="151"/>
      <c r="J17" s="151">
        <v>-250</v>
      </c>
    </row>
    <row r="18" spans="5:12" x14ac:dyDescent="0.3">
      <c r="E18" s="104"/>
      <c r="F18" s="104"/>
      <c r="G18" s="104"/>
      <c r="H18" s="151"/>
      <c r="I18" s="151"/>
      <c r="J18" s="151"/>
    </row>
    <row r="19" spans="5:12" x14ac:dyDescent="0.3">
      <c r="E19" s="104" t="s">
        <v>85</v>
      </c>
      <c r="F19" s="104" t="s">
        <v>163</v>
      </c>
      <c r="G19" s="104" t="s">
        <v>167</v>
      </c>
      <c r="H19" s="151">
        <v>11000</v>
      </c>
      <c r="I19" s="151"/>
      <c r="J19" s="151"/>
    </row>
    <row r="20" spans="5:12" x14ac:dyDescent="0.3">
      <c r="E20" s="104"/>
      <c r="F20" s="104" t="s">
        <v>165</v>
      </c>
      <c r="G20" s="104" t="s">
        <v>167</v>
      </c>
      <c r="H20" s="152">
        <v>5000</v>
      </c>
      <c r="I20" s="104"/>
      <c r="J20" s="104"/>
    </row>
    <row r="21" spans="5:12" x14ac:dyDescent="0.3">
      <c r="E21" s="104"/>
      <c r="F21" s="104"/>
      <c r="G21" s="104"/>
      <c r="H21" s="151">
        <f>SUM(H19:H20)</f>
        <v>16000</v>
      </c>
      <c r="I21" s="104"/>
      <c r="J21" s="104"/>
    </row>
    <row r="22" spans="5:12" ht="15" thickBot="1" x14ac:dyDescent="0.35">
      <c r="E22" s="104" t="s">
        <v>168</v>
      </c>
      <c r="F22" s="104" t="s">
        <v>169</v>
      </c>
      <c r="G22" s="155">
        <v>44927</v>
      </c>
      <c r="H22" s="152">
        <v>-16230</v>
      </c>
      <c r="I22" s="104"/>
      <c r="J22" s="181"/>
    </row>
    <row r="23" spans="5:12" x14ac:dyDescent="0.3">
      <c r="E23" s="104"/>
      <c r="F23" s="104"/>
      <c r="G23" s="104"/>
      <c r="H23" s="151">
        <f>SUM(H21:H22)</f>
        <v>-230</v>
      </c>
      <c r="I23" s="104"/>
      <c r="J23" s="151">
        <v>-230</v>
      </c>
    </row>
    <row r="24" spans="5:12" x14ac:dyDescent="0.3">
      <c r="E24" s="104"/>
      <c r="F24" s="104"/>
      <c r="G24" s="104"/>
      <c r="H24" s="151"/>
      <c r="I24" s="104"/>
      <c r="J24" s="151"/>
    </row>
    <row r="25" spans="5:12" x14ac:dyDescent="0.3">
      <c r="E25" s="104" t="s">
        <v>154</v>
      </c>
      <c r="F25" s="104" t="s">
        <v>266</v>
      </c>
      <c r="G25" s="104" t="s">
        <v>24</v>
      </c>
      <c r="H25" s="151">
        <v>20600</v>
      </c>
      <c r="I25" s="104"/>
      <c r="J25" s="151"/>
      <c r="L25" t="s">
        <v>292</v>
      </c>
    </row>
    <row r="26" spans="5:12" x14ac:dyDescent="0.3">
      <c r="E26" s="104"/>
      <c r="F26" s="104" t="s">
        <v>267</v>
      </c>
      <c r="G26" s="104" t="s">
        <v>268</v>
      </c>
      <c r="H26" s="151">
        <v>34000</v>
      </c>
      <c r="I26" s="104"/>
      <c r="J26" s="151"/>
      <c r="L26" t="s">
        <v>269</v>
      </c>
    </row>
    <row r="27" spans="5:12" x14ac:dyDescent="0.3">
      <c r="E27" s="104"/>
      <c r="F27" s="104" t="s">
        <v>163</v>
      </c>
      <c r="G27" s="154">
        <v>44986</v>
      </c>
      <c r="H27" s="151">
        <v>5500</v>
      </c>
      <c r="I27" s="104"/>
      <c r="J27" s="151"/>
    </row>
    <row r="28" spans="5:12" x14ac:dyDescent="0.3">
      <c r="E28" s="104"/>
      <c r="F28" s="104" t="s">
        <v>165</v>
      </c>
      <c r="G28" s="154">
        <v>44986</v>
      </c>
      <c r="H28" s="152">
        <v>2500</v>
      </c>
      <c r="I28" s="104"/>
      <c r="J28" s="151"/>
    </row>
    <row r="29" spans="5:12" x14ac:dyDescent="0.3">
      <c r="E29" s="104"/>
      <c r="F29" s="104"/>
      <c r="G29" s="104"/>
      <c r="H29" s="151">
        <f>SUM(H25:H28)</f>
        <v>62600</v>
      </c>
      <c r="I29" s="104"/>
      <c r="J29" s="151"/>
    </row>
    <row r="30" spans="5:12" x14ac:dyDescent="0.3">
      <c r="E30" s="104" t="s">
        <v>159</v>
      </c>
      <c r="F30" s="104" t="s">
        <v>270</v>
      </c>
      <c r="G30" s="104"/>
      <c r="H30" s="111">
        <v>-3000</v>
      </c>
      <c r="I30" s="104"/>
      <c r="J30" s="151"/>
    </row>
    <row r="31" spans="5:12" x14ac:dyDescent="0.3">
      <c r="E31" s="104"/>
      <c r="F31" s="104" t="s">
        <v>271</v>
      </c>
      <c r="G31" s="104"/>
      <c r="H31" s="111">
        <v>-3000</v>
      </c>
      <c r="I31" s="104"/>
      <c r="J31" s="151"/>
    </row>
    <row r="32" spans="5:12" x14ac:dyDescent="0.3">
      <c r="E32" s="104"/>
      <c r="F32" s="104" t="s">
        <v>272</v>
      </c>
      <c r="G32" s="104"/>
      <c r="H32" s="111">
        <v>-11000</v>
      </c>
      <c r="I32" s="104"/>
      <c r="J32" s="151"/>
    </row>
    <row r="33" spans="5:13" x14ac:dyDescent="0.3">
      <c r="E33" s="104"/>
      <c r="F33" s="104" t="s">
        <v>273</v>
      </c>
      <c r="G33" s="104"/>
      <c r="H33" s="111">
        <v>-19300</v>
      </c>
      <c r="I33" s="104"/>
      <c r="J33" s="151"/>
    </row>
    <row r="34" spans="5:13" x14ac:dyDescent="0.3">
      <c r="E34" s="104"/>
      <c r="F34" s="104" t="s">
        <v>278</v>
      </c>
      <c r="G34" s="104" t="s">
        <v>279</v>
      </c>
      <c r="H34" s="111">
        <f>-290-290</f>
        <v>-580</v>
      </c>
      <c r="I34" s="104"/>
      <c r="J34" s="151"/>
    </row>
    <row r="35" spans="5:13" x14ac:dyDescent="0.3">
      <c r="E35" s="104"/>
      <c r="F35" s="104" t="s">
        <v>389</v>
      </c>
      <c r="G35" s="104"/>
      <c r="H35" s="111">
        <v>-180</v>
      </c>
      <c r="I35" s="104"/>
      <c r="J35" s="151"/>
    </row>
    <row r="36" spans="5:13" x14ac:dyDescent="0.3">
      <c r="E36" s="104"/>
      <c r="F36" s="104" t="s">
        <v>311</v>
      </c>
      <c r="G36" s="104"/>
      <c r="H36" s="111">
        <v>-3346</v>
      </c>
      <c r="I36" s="104"/>
      <c r="J36" s="151"/>
    </row>
    <row r="37" spans="5:13" x14ac:dyDescent="0.3">
      <c r="E37" s="104"/>
      <c r="F37" s="104" t="s">
        <v>310</v>
      </c>
      <c r="G37" s="104"/>
      <c r="H37" s="111">
        <v>-2500</v>
      </c>
      <c r="I37" s="104"/>
      <c r="J37" s="151"/>
    </row>
    <row r="38" spans="5:13" ht="15" thickBot="1" x14ac:dyDescent="0.35">
      <c r="E38" s="104"/>
      <c r="F38" s="104" t="s">
        <v>312</v>
      </c>
      <c r="G38" s="104"/>
      <c r="H38" s="275">
        <f>-15401-3001</f>
        <v>-18402</v>
      </c>
      <c r="I38" s="104"/>
      <c r="J38" s="178"/>
    </row>
    <row r="39" spans="5:13" x14ac:dyDescent="0.3">
      <c r="E39" s="104"/>
      <c r="F39" s="104"/>
      <c r="G39" s="104"/>
      <c r="H39" s="151">
        <f>SUM(H29:H38)</f>
        <v>1292</v>
      </c>
      <c r="I39" s="104"/>
      <c r="J39" s="151">
        <f>+H39</f>
        <v>1292</v>
      </c>
      <c r="M39" s="74"/>
    </row>
    <row r="40" spans="5:13" x14ac:dyDescent="0.3">
      <c r="E40" s="104"/>
      <c r="F40" s="104" t="s">
        <v>474</v>
      </c>
      <c r="G40" s="104"/>
      <c r="H40" s="151"/>
      <c r="I40" s="104"/>
      <c r="J40" s="151"/>
    </row>
    <row r="41" spans="5:13" x14ac:dyDescent="0.3">
      <c r="E41" s="104"/>
      <c r="F41" s="104" t="s">
        <v>163</v>
      </c>
      <c r="G41" s="104" t="s">
        <v>303</v>
      </c>
      <c r="H41" s="151">
        <v>11000</v>
      </c>
      <c r="I41" s="104"/>
      <c r="J41" s="151"/>
    </row>
    <row r="42" spans="5:13" x14ac:dyDescent="0.3">
      <c r="E42" s="104"/>
      <c r="F42" s="104" t="s">
        <v>165</v>
      </c>
      <c r="G42" s="104" t="s">
        <v>303</v>
      </c>
      <c r="H42" s="151">
        <v>5000</v>
      </c>
      <c r="I42" s="104"/>
      <c r="J42" s="151"/>
    </row>
    <row r="43" spans="5:13" x14ac:dyDescent="0.3">
      <c r="E43" s="104"/>
      <c r="F43" s="104" t="s">
        <v>307</v>
      </c>
      <c r="G43" s="176">
        <v>45112</v>
      </c>
      <c r="H43" s="111">
        <v>50000</v>
      </c>
      <c r="I43" s="104"/>
      <c r="J43" s="151"/>
    </row>
    <row r="44" spans="5:13" x14ac:dyDescent="0.3">
      <c r="E44" s="104"/>
      <c r="F44" s="104" t="s">
        <v>305</v>
      </c>
      <c r="G44" s="176">
        <v>45112</v>
      </c>
      <c r="H44" s="151">
        <v>-37150</v>
      </c>
      <c r="I44" s="104"/>
      <c r="J44" s="151"/>
    </row>
    <row r="45" spans="5:13" x14ac:dyDescent="0.3">
      <c r="E45" s="104"/>
      <c r="F45" s="104" t="s">
        <v>306</v>
      </c>
      <c r="G45" s="176">
        <v>45112</v>
      </c>
      <c r="H45" s="151">
        <v>-15000</v>
      </c>
      <c r="I45" s="104"/>
      <c r="J45" s="151"/>
    </row>
    <row r="46" spans="5:13" x14ac:dyDescent="0.3">
      <c r="E46" s="104"/>
      <c r="F46" s="104" t="s">
        <v>307</v>
      </c>
      <c r="G46" s="176">
        <v>45204</v>
      </c>
      <c r="H46" s="111">
        <v>50000</v>
      </c>
      <c r="I46" s="104"/>
      <c r="J46" s="151"/>
    </row>
    <row r="47" spans="5:13" x14ac:dyDescent="0.3">
      <c r="E47" s="104"/>
      <c r="F47" s="104" t="s">
        <v>305</v>
      </c>
      <c r="G47" s="176">
        <v>45204</v>
      </c>
      <c r="H47" s="151">
        <v>-25000</v>
      </c>
      <c r="I47" s="104"/>
      <c r="J47" s="151"/>
    </row>
    <row r="48" spans="5:13" x14ac:dyDescent="0.3">
      <c r="E48" s="104"/>
      <c r="F48" s="104" t="s">
        <v>305</v>
      </c>
      <c r="G48" s="176">
        <v>45235</v>
      </c>
      <c r="H48" s="151">
        <v>-18650</v>
      </c>
      <c r="I48" s="104"/>
      <c r="J48" s="151"/>
    </row>
    <row r="49" spans="5:17" x14ac:dyDescent="0.3">
      <c r="E49" s="104"/>
      <c r="F49" s="104" t="s">
        <v>307</v>
      </c>
      <c r="G49" s="177" t="s">
        <v>304</v>
      </c>
      <c r="H49" s="111">
        <v>70000</v>
      </c>
      <c r="I49" s="104"/>
      <c r="J49" s="151"/>
      <c r="N49" t="s">
        <v>309</v>
      </c>
    </row>
    <row r="50" spans="5:17" x14ac:dyDescent="0.3">
      <c r="E50" s="104"/>
      <c r="F50" s="104" t="s">
        <v>305</v>
      </c>
      <c r="G50" s="177" t="s">
        <v>304</v>
      </c>
      <c r="H50" s="151">
        <v>-48300</v>
      </c>
      <c r="I50" s="104"/>
      <c r="J50" s="151"/>
      <c r="M50" s="182">
        <v>45112</v>
      </c>
      <c r="N50" s="49">
        <v>25000</v>
      </c>
      <c r="P50" s="176">
        <v>45112</v>
      </c>
      <c r="Q50" s="151">
        <v>37150</v>
      </c>
    </row>
    <row r="51" spans="5:17" x14ac:dyDescent="0.3">
      <c r="E51" s="104"/>
      <c r="F51" s="104" t="s">
        <v>308</v>
      </c>
      <c r="G51" s="177" t="s">
        <v>304</v>
      </c>
      <c r="H51" s="184">
        <v>-20000</v>
      </c>
      <c r="I51" s="104"/>
      <c r="J51" s="151"/>
      <c r="M51" s="179" t="s">
        <v>304</v>
      </c>
      <c r="N51" s="49">
        <v>20000</v>
      </c>
      <c r="P51" s="176">
        <v>45204</v>
      </c>
      <c r="Q51" s="151">
        <v>25000</v>
      </c>
    </row>
    <row r="52" spans="5:17" x14ac:dyDescent="0.3">
      <c r="E52" s="104"/>
      <c r="F52" s="104" t="s">
        <v>307</v>
      </c>
      <c r="G52" s="177" t="s">
        <v>313</v>
      </c>
      <c r="H52" s="174">
        <v>50000</v>
      </c>
      <c r="I52" s="104"/>
      <c r="J52" s="151"/>
      <c r="K52">
        <v>2000</v>
      </c>
      <c r="M52" s="179" t="s">
        <v>313</v>
      </c>
      <c r="N52" s="49">
        <v>20000</v>
      </c>
      <c r="P52" s="176">
        <v>45235</v>
      </c>
      <c r="Q52" s="151">
        <v>18650</v>
      </c>
    </row>
    <row r="53" spans="5:17" x14ac:dyDescent="0.3">
      <c r="E53" s="104"/>
      <c r="F53" s="104" t="s">
        <v>308</v>
      </c>
      <c r="G53" s="177" t="s">
        <v>313</v>
      </c>
      <c r="H53" s="184">
        <v>-20000</v>
      </c>
      <c r="I53" s="104"/>
      <c r="J53" s="151"/>
      <c r="K53">
        <v>5000</v>
      </c>
      <c r="M53" s="180" t="s">
        <v>314</v>
      </c>
      <c r="N53" s="49">
        <v>35000</v>
      </c>
      <c r="P53" s="177" t="s">
        <v>304</v>
      </c>
      <c r="Q53" s="151">
        <v>48300</v>
      </c>
    </row>
    <row r="54" spans="5:17" x14ac:dyDescent="0.3">
      <c r="E54" s="104"/>
      <c r="F54" s="104" t="s">
        <v>305</v>
      </c>
      <c r="G54" s="177" t="s">
        <v>313</v>
      </c>
      <c r="H54" s="153">
        <v>-30300</v>
      </c>
      <c r="I54" s="104"/>
      <c r="J54" s="151"/>
      <c r="M54" s="177" t="s">
        <v>340</v>
      </c>
      <c r="N54" s="49">
        <v>5000</v>
      </c>
      <c r="P54" s="177" t="s">
        <v>313</v>
      </c>
      <c r="Q54" s="153">
        <v>30300</v>
      </c>
    </row>
    <row r="55" spans="5:17" x14ac:dyDescent="0.3">
      <c r="E55" s="104"/>
      <c r="F55" s="104" t="s">
        <v>307</v>
      </c>
      <c r="G55" s="177" t="s">
        <v>314</v>
      </c>
      <c r="H55" s="174">
        <v>50000</v>
      </c>
      <c r="I55" s="104"/>
      <c r="J55" s="151"/>
      <c r="M55" s="177" t="s">
        <v>349</v>
      </c>
      <c r="N55" s="49">
        <v>15000</v>
      </c>
      <c r="P55" s="177" t="s">
        <v>314</v>
      </c>
      <c r="Q55" s="153">
        <v>22120</v>
      </c>
    </row>
    <row r="56" spans="5:17" x14ac:dyDescent="0.3">
      <c r="E56" s="104"/>
      <c r="F56" s="104" t="s">
        <v>305</v>
      </c>
      <c r="G56" s="177" t="s">
        <v>314</v>
      </c>
      <c r="H56" s="153">
        <v>-22120</v>
      </c>
      <c r="I56" s="104"/>
      <c r="J56" s="151"/>
      <c r="K56">
        <v>1100</v>
      </c>
      <c r="M56" s="104" t="s">
        <v>353</v>
      </c>
      <c r="N56" s="49">
        <v>20000</v>
      </c>
      <c r="P56" s="177" t="s">
        <v>375</v>
      </c>
      <c r="Q56" s="151">
        <v>5000</v>
      </c>
    </row>
    <row r="57" spans="5:17" x14ac:dyDescent="0.3">
      <c r="E57" s="104"/>
      <c r="F57" s="104" t="s">
        <v>308</v>
      </c>
      <c r="G57" s="177" t="s">
        <v>314</v>
      </c>
      <c r="H57" s="184">
        <v>-35000</v>
      </c>
      <c r="I57" s="104"/>
      <c r="J57" s="151"/>
      <c r="K57">
        <v>10000</v>
      </c>
      <c r="M57" s="177" t="s">
        <v>353</v>
      </c>
      <c r="N57" s="184">
        <v>30000</v>
      </c>
      <c r="P57" s="177" t="s">
        <v>375</v>
      </c>
      <c r="Q57" s="151">
        <v>9450</v>
      </c>
    </row>
    <row r="58" spans="5:17" x14ac:dyDescent="0.3">
      <c r="E58" s="104"/>
      <c r="F58" s="104" t="s">
        <v>308</v>
      </c>
      <c r="G58" s="177" t="s">
        <v>340</v>
      </c>
      <c r="H58" s="184">
        <v>-5000</v>
      </c>
      <c r="I58" s="104"/>
      <c r="J58" s="151"/>
      <c r="P58" s="177" t="s">
        <v>375</v>
      </c>
      <c r="Q58" s="151">
        <v>7430</v>
      </c>
    </row>
    <row r="59" spans="5:17" x14ac:dyDescent="0.3">
      <c r="E59" s="104"/>
      <c r="F59" s="104" t="s">
        <v>307</v>
      </c>
      <c r="G59" s="177" t="s">
        <v>349</v>
      </c>
      <c r="H59" s="111">
        <v>50000</v>
      </c>
      <c r="I59" s="104"/>
      <c r="J59" s="151"/>
      <c r="P59" s="177" t="s">
        <v>353</v>
      </c>
      <c r="Q59" s="151">
        <v>15400</v>
      </c>
    </row>
    <row r="60" spans="5:17" x14ac:dyDescent="0.3">
      <c r="E60" s="104"/>
      <c r="F60" s="104" t="s">
        <v>308</v>
      </c>
      <c r="G60" s="177" t="s">
        <v>349</v>
      </c>
      <c r="H60" s="184">
        <v>-15000</v>
      </c>
      <c r="I60" s="104"/>
      <c r="J60" s="151"/>
      <c r="K60">
        <v>10000</v>
      </c>
      <c r="N60" s="183"/>
      <c r="P60" s="177" t="s">
        <v>376</v>
      </c>
      <c r="Q60" s="151">
        <v>15520</v>
      </c>
    </row>
    <row r="61" spans="5:17" x14ac:dyDescent="0.3">
      <c r="E61" s="104"/>
      <c r="F61" s="104" t="s">
        <v>379</v>
      </c>
      <c r="G61" s="177" t="s">
        <v>375</v>
      </c>
      <c r="H61" s="151">
        <f>-3000-2000</f>
        <v>-5000</v>
      </c>
      <c r="I61" s="104"/>
      <c r="J61" s="151"/>
      <c r="P61" s="177">
        <v>45022</v>
      </c>
      <c r="Q61" s="151">
        <v>2490</v>
      </c>
    </row>
    <row r="62" spans="5:17" x14ac:dyDescent="0.3">
      <c r="E62" s="104"/>
      <c r="F62" s="104" t="s">
        <v>305</v>
      </c>
      <c r="G62" s="177" t="s">
        <v>375</v>
      </c>
      <c r="H62" s="151">
        <v>-9450</v>
      </c>
      <c r="I62" s="104"/>
      <c r="J62" s="151"/>
    </row>
    <row r="63" spans="5:17" x14ac:dyDescent="0.3">
      <c r="E63" s="104"/>
      <c r="F63" s="104" t="s">
        <v>305</v>
      </c>
      <c r="G63" s="177" t="s">
        <v>375</v>
      </c>
      <c r="H63" s="151">
        <v>-7430</v>
      </c>
      <c r="I63" s="104"/>
      <c r="J63" s="151"/>
      <c r="N63" s="183"/>
      <c r="P63" t="s">
        <v>352</v>
      </c>
      <c r="Q63" s="151">
        <v>15000</v>
      </c>
    </row>
    <row r="64" spans="5:17" x14ac:dyDescent="0.3">
      <c r="E64" s="104"/>
      <c r="F64" s="104" t="s">
        <v>350</v>
      </c>
      <c r="G64" s="177" t="s">
        <v>375</v>
      </c>
      <c r="H64" s="151">
        <v>-500</v>
      </c>
      <c r="I64" s="104"/>
      <c r="J64" s="151"/>
      <c r="N64" s="183"/>
      <c r="P64" t="s">
        <v>351</v>
      </c>
      <c r="Q64" s="49">
        <f>500</f>
        <v>500</v>
      </c>
    </row>
    <row r="65" spans="5:50" ht="15" thickBot="1" x14ac:dyDescent="0.35">
      <c r="E65" s="104"/>
      <c r="F65" s="104" t="s">
        <v>308</v>
      </c>
      <c r="G65" s="177" t="s">
        <v>353</v>
      </c>
      <c r="H65" s="184">
        <v>-20000</v>
      </c>
      <c r="I65" s="104"/>
      <c r="J65" s="151"/>
      <c r="M65" t="s">
        <v>315</v>
      </c>
      <c r="N65" s="103">
        <f>SUM(N50:N64)</f>
        <v>170000</v>
      </c>
      <c r="Q65" s="103">
        <f>SUM(Q50:Q64)</f>
        <v>252310</v>
      </c>
      <c r="T65" s="74">
        <f>N65+Q65</f>
        <v>422310</v>
      </c>
    </row>
    <row r="66" spans="5:50" ht="15" thickTop="1" x14ac:dyDescent="0.3">
      <c r="E66" s="104"/>
      <c r="F66" s="104" t="s">
        <v>307</v>
      </c>
      <c r="G66" s="177" t="s">
        <v>353</v>
      </c>
      <c r="H66" s="111">
        <v>50000</v>
      </c>
      <c r="I66" s="104"/>
      <c r="J66" s="151"/>
      <c r="N66" s="183"/>
      <c r="T66" s="49">
        <f>345000+50000</f>
        <v>395000</v>
      </c>
    </row>
    <row r="67" spans="5:50" x14ac:dyDescent="0.3">
      <c r="E67" s="104"/>
      <c r="F67" s="104" t="s">
        <v>305</v>
      </c>
      <c r="G67" s="177" t="s">
        <v>353</v>
      </c>
      <c r="H67" s="151">
        <v>-15400</v>
      </c>
      <c r="I67" s="104"/>
      <c r="J67" s="151"/>
      <c r="N67" s="183"/>
      <c r="T67" s="49">
        <v>16000</v>
      </c>
    </row>
    <row r="68" spans="5:50" x14ac:dyDescent="0.3">
      <c r="E68" s="104"/>
      <c r="F68" s="104" t="s">
        <v>305</v>
      </c>
      <c r="G68" s="177" t="s">
        <v>376</v>
      </c>
      <c r="H68" s="151">
        <v>-15520</v>
      </c>
      <c r="I68" s="104"/>
      <c r="J68" s="151"/>
      <c r="N68" s="183"/>
      <c r="T68" s="49">
        <f>T66+T67-T65</f>
        <v>-11310</v>
      </c>
    </row>
    <row r="69" spans="5:50" x14ac:dyDescent="0.3">
      <c r="E69" s="104"/>
      <c r="F69" s="104" t="s">
        <v>305</v>
      </c>
      <c r="G69" s="177">
        <v>45022</v>
      </c>
      <c r="H69" s="151">
        <v>-2490</v>
      </c>
      <c r="I69" s="104"/>
      <c r="J69" s="151"/>
      <c r="N69" s="183"/>
      <c r="T69" s="74"/>
    </row>
    <row r="70" spans="5:50" x14ac:dyDescent="0.3">
      <c r="E70" s="104"/>
      <c r="F70" s="104" t="s">
        <v>308</v>
      </c>
      <c r="G70" s="177" t="s">
        <v>353</v>
      </c>
      <c r="H70" s="184">
        <f>-25000-5000-5000</f>
        <v>-35000</v>
      </c>
      <c r="I70" s="104"/>
      <c r="J70" s="151"/>
      <c r="N70" s="183"/>
      <c r="T70" s="74"/>
    </row>
    <row r="71" spans="5:50" x14ac:dyDescent="0.3">
      <c r="E71" s="104"/>
      <c r="F71" s="104"/>
      <c r="G71" s="177"/>
      <c r="H71" s="151"/>
      <c r="I71" s="104"/>
      <c r="J71" s="151"/>
      <c r="N71" s="183"/>
      <c r="T71" s="74"/>
    </row>
    <row r="72" spans="5:50" ht="15" thickBot="1" x14ac:dyDescent="0.35">
      <c r="E72" s="104"/>
      <c r="F72" s="104"/>
      <c r="G72" s="104"/>
      <c r="H72" s="181"/>
      <c r="I72" s="104"/>
      <c r="J72" s="178"/>
      <c r="N72" s="183"/>
      <c r="T72" s="74"/>
    </row>
    <row r="73" spans="5:50" x14ac:dyDescent="0.3">
      <c r="E73" s="104"/>
      <c r="F73" s="104"/>
      <c r="G73" s="104"/>
      <c r="H73" s="151">
        <f>SUM(H41:H72)</f>
        <v>-16310</v>
      </c>
      <c r="I73" s="104"/>
      <c r="J73" s="151">
        <f>+H73</f>
        <v>-16310</v>
      </c>
    </row>
    <row r="74" spans="5:50" x14ac:dyDescent="0.3">
      <c r="E74" s="104"/>
      <c r="F74" s="104"/>
      <c r="G74" s="104"/>
      <c r="H74" s="104"/>
      <c r="I74" s="104"/>
      <c r="J74" s="104"/>
    </row>
    <row r="75" spans="5:50" x14ac:dyDescent="0.3">
      <c r="F75" s="211">
        <v>45078</v>
      </c>
    </row>
    <row r="76" spans="5:50" x14ac:dyDescent="0.3">
      <c r="F76" t="s">
        <v>394</v>
      </c>
      <c r="G76" s="208">
        <v>45022</v>
      </c>
      <c r="H76" s="49">
        <v>90000</v>
      </c>
    </row>
    <row r="77" spans="5:50" x14ac:dyDescent="0.3">
      <c r="F77" t="s">
        <v>384</v>
      </c>
      <c r="G77" s="208">
        <v>45022</v>
      </c>
      <c r="H77" s="49">
        <v>-40000</v>
      </c>
      <c r="R77" s="29" t="s">
        <v>525</v>
      </c>
    </row>
    <row r="78" spans="5:50" x14ac:dyDescent="0.3">
      <c r="F78" t="s">
        <v>392</v>
      </c>
      <c r="G78" s="208">
        <v>45205</v>
      </c>
      <c r="H78" s="49">
        <v>-30000</v>
      </c>
      <c r="R78" s="29" t="s">
        <v>524</v>
      </c>
      <c r="S78" s="29"/>
      <c r="T78" s="29"/>
      <c r="W78" s="29" t="s">
        <v>879</v>
      </c>
      <c r="AB78" s="29" t="s">
        <v>879</v>
      </c>
      <c r="AF78" s="29" t="s">
        <v>878</v>
      </c>
      <c r="AJ78" s="29" t="s">
        <v>746</v>
      </c>
      <c r="AN78" s="29" t="s">
        <v>877</v>
      </c>
      <c r="AR78" s="29" t="s">
        <v>1071</v>
      </c>
      <c r="AV78" s="29" t="s">
        <v>1166</v>
      </c>
    </row>
    <row r="79" spans="5:50" x14ac:dyDescent="0.3">
      <c r="F79" s="180" t="s">
        <v>411</v>
      </c>
      <c r="G79" s="208">
        <v>45266</v>
      </c>
      <c r="H79" s="49">
        <v>-34020</v>
      </c>
    </row>
    <row r="80" spans="5:50" x14ac:dyDescent="0.3">
      <c r="F80" t="s">
        <v>307</v>
      </c>
      <c r="G80" s="208">
        <v>45266</v>
      </c>
      <c r="H80" s="49">
        <v>100000</v>
      </c>
      <c r="R80" s="197" t="s">
        <v>377</v>
      </c>
      <c r="S80" s="198">
        <v>45112</v>
      </c>
      <c r="T80" s="196">
        <v>25000</v>
      </c>
      <c r="W80" s="104" t="s">
        <v>394</v>
      </c>
      <c r="X80" s="176">
        <v>45022</v>
      </c>
      <c r="Y80" s="111">
        <v>90000</v>
      </c>
      <c r="AB80" t="s">
        <v>307</v>
      </c>
      <c r="AC80" s="209" t="s">
        <v>478</v>
      </c>
      <c r="AD80" s="49">
        <v>75000</v>
      </c>
      <c r="AE80" s="49"/>
      <c r="AF80" t="s">
        <v>307</v>
      </c>
      <c r="AG80" s="209"/>
      <c r="AH80" s="49"/>
      <c r="AJ80" t="s">
        <v>307</v>
      </c>
      <c r="AK80" s="209"/>
      <c r="AL80" s="49"/>
      <c r="AN80" t="s">
        <v>307</v>
      </c>
      <c r="AO80" s="209"/>
      <c r="AP80" s="49"/>
      <c r="AR80" t="s">
        <v>307</v>
      </c>
      <c r="AS80" s="209" t="s">
        <v>1077</v>
      </c>
      <c r="AT80" s="49">
        <v>80000</v>
      </c>
      <c r="AV80" t="s">
        <v>307</v>
      </c>
      <c r="AW80" s="209"/>
      <c r="AX80" s="49"/>
    </row>
    <row r="81" spans="6:50" x14ac:dyDescent="0.3">
      <c r="F81" s="180" t="s">
        <v>411</v>
      </c>
      <c r="G81" s="209" t="s">
        <v>393</v>
      </c>
      <c r="H81" s="49">
        <v>-33090</v>
      </c>
      <c r="R81" s="104" t="s">
        <v>307</v>
      </c>
      <c r="S81" s="176">
        <v>45112</v>
      </c>
      <c r="T81" s="111">
        <v>50000</v>
      </c>
      <c r="W81" s="104" t="s">
        <v>307</v>
      </c>
      <c r="X81" s="176">
        <v>45266</v>
      </c>
      <c r="Y81" s="111">
        <v>100000</v>
      </c>
      <c r="AB81" t="s">
        <v>307</v>
      </c>
      <c r="AC81" s="209" t="s">
        <v>479</v>
      </c>
      <c r="AD81" s="49">
        <v>5000</v>
      </c>
      <c r="AE81" s="49"/>
      <c r="AG81" s="209"/>
      <c r="AH81" s="49"/>
      <c r="AK81" s="209"/>
      <c r="AL81" s="49"/>
      <c r="AO81" s="209"/>
      <c r="AP81" s="49"/>
      <c r="AR81" t="s">
        <v>307</v>
      </c>
      <c r="AS81" s="209" t="s">
        <v>1074</v>
      </c>
      <c r="AT81" s="49">
        <v>20000</v>
      </c>
      <c r="AV81" t="s">
        <v>307</v>
      </c>
      <c r="AW81" s="209"/>
      <c r="AX81" s="49"/>
    </row>
    <row r="82" spans="6:50" x14ac:dyDescent="0.3">
      <c r="F82" s="104" t="s">
        <v>308</v>
      </c>
      <c r="G82" s="209" t="s">
        <v>395</v>
      </c>
      <c r="H82" s="49">
        <v>-20000</v>
      </c>
      <c r="R82" s="104" t="s">
        <v>307</v>
      </c>
      <c r="S82" s="176">
        <v>45204</v>
      </c>
      <c r="T82" s="111">
        <v>50000</v>
      </c>
      <c r="W82" s="197" t="s">
        <v>396</v>
      </c>
      <c r="X82" s="223" t="s">
        <v>402</v>
      </c>
      <c r="Y82" s="111">
        <v>100000</v>
      </c>
      <c r="AB82" t="s">
        <v>307</v>
      </c>
      <c r="AC82" s="209" t="s">
        <v>512</v>
      </c>
      <c r="AD82" s="49">
        <v>50000</v>
      </c>
      <c r="AE82" s="49"/>
      <c r="AG82" s="209"/>
      <c r="AH82" s="49"/>
      <c r="AK82" s="209"/>
      <c r="AL82" s="49"/>
      <c r="AO82" s="209"/>
      <c r="AP82" s="49"/>
      <c r="AS82" s="209"/>
      <c r="AT82" s="49"/>
      <c r="AW82" s="209"/>
      <c r="AX82" s="49"/>
    </row>
    <row r="83" spans="6:50" x14ac:dyDescent="0.3">
      <c r="F83" t="s">
        <v>384</v>
      </c>
      <c r="G83" s="209" t="s">
        <v>395</v>
      </c>
      <c r="H83" s="49">
        <v>-20000</v>
      </c>
      <c r="R83" s="104" t="s">
        <v>307</v>
      </c>
      <c r="S83" s="177" t="s">
        <v>304</v>
      </c>
      <c r="T83" s="111">
        <v>70000</v>
      </c>
      <c r="W83" s="104" t="s">
        <v>307</v>
      </c>
      <c r="X83" s="177" t="s">
        <v>403</v>
      </c>
      <c r="Y83" s="111">
        <v>75000</v>
      </c>
    </row>
    <row r="84" spans="6:50" x14ac:dyDescent="0.3">
      <c r="F84" t="s">
        <v>396</v>
      </c>
      <c r="G84" s="210" t="s">
        <v>402</v>
      </c>
      <c r="H84" s="49">
        <v>100000</v>
      </c>
      <c r="R84" s="104" t="s">
        <v>307</v>
      </c>
      <c r="S84" s="177" t="s">
        <v>313</v>
      </c>
      <c r="T84" s="174">
        <v>50000</v>
      </c>
      <c r="W84" s="104" t="s">
        <v>307</v>
      </c>
      <c r="X84" s="177" t="s">
        <v>404</v>
      </c>
      <c r="Y84" s="111">
        <v>100000</v>
      </c>
    </row>
    <row r="85" spans="6:50" x14ac:dyDescent="0.3">
      <c r="F85" s="212" t="s">
        <v>412</v>
      </c>
      <c r="G85" s="210" t="s">
        <v>401</v>
      </c>
      <c r="H85" s="49">
        <v>-27800</v>
      </c>
      <c r="R85" s="104" t="s">
        <v>307</v>
      </c>
      <c r="S85" s="177" t="s">
        <v>314</v>
      </c>
      <c r="T85" s="174">
        <v>50000</v>
      </c>
      <c r="W85" s="104" t="s">
        <v>307</v>
      </c>
      <c r="X85" s="177" t="s">
        <v>409</v>
      </c>
      <c r="Y85" s="111">
        <v>100000</v>
      </c>
    </row>
    <row r="86" spans="6:50" x14ac:dyDescent="0.3">
      <c r="F86" s="180" t="s">
        <v>411</v>
      </c>
      <c r="G86" s="210" t="s">
        <v>401</v>
      </c>
      <c r="H86" s="49">
        <v>-25000</v>
      </c>
      <c r="R86" s="104" t="s">
        <v>307</v>
      </c>
      <c r="S86" s="177" t="s">
        <v>349</v>
      </c>
      <c r="T86" s="111">
        <v>50000</v>
      </c>
      <c r="W86" s="186" t="s">
        <v>521</v>
      </c>
      <c r="X86" s="177" t="s">
        <v>522</v>
      </c>
      <c r="Y86" s="111">
        <v>57000</v>
      </c>
    </row>
    <row r="87" spans="6:50" x14ac:dyDescent="0.3">
      <c r="F87" t="s">
        <v>384</v>
      </c>
      <c r="G87" s="210" t="s">
        <v>401</v>
      </c>
      <c r="H87" s="49">
        <v>-20000</v>
      </c>
      <c r="R87" s="104" t="s">
        <v>307</v>
      </c>
      <c r="S87" s="177" t="s">
        <v>353</v>
      </c>
      <c r="T87" s="111">
        <v>50000</v>
      </c>
    </row>
    <row r="88" spans="6:50" ht="15" thickBot="1" x14ac:dyDescent="0.35">
      <c r="F88" s="104" t="s">
        <v>399</v>
      </c>
      <c r="G88" s="210" t="s">
        <v>401</v>
      </c>
      <c r="H88" s="49">
        <v>-3000</v>
      </c>
      <c r="T88" s="147"/>
      <c r="Y88" s="147"/>
      <c r="AD88" s="147"/>
      <c r="AH88" s="147"/>
      <c r="AL88" s="147"/>
      <c r="AP88" s="147"/>
      <c r="AT88" s="147"/>
      <c r="AX88" s="147"/>
    </row>
    <row r="89" spans="6:50" ht="15" customHeight="1" x14ac:dyDescent="0.3">
      <c r="F89" t="s">
        <v>400</v>
      </c>
      <c r="G89" s="210" t="s">
        <v>402</v>
      </c>
      <c r="H89" s="49">
        <v>-2600</v>
      </c>
      <c r="R89" s="29" t="s">
        <v>382</v>
      </c>
      <c r="T89" s="202">
        <f>SUM(T80:T87)</f>
        <v>395000</v>
      </c>
      <c r="W89" s="29" t="s">
        <v>382</v>
      </c>
      <c r="Y89" s="202">
        <f>SUM(Y80:Y86)</f>
        <v>622000</v>
      </c>
      <c r="AB89" s="29" t="s">
        <v>382</v>
      </c>
      <c r="AD89" s="202">
        <f>SUM(AD80:AD88)</f>
        <v>130000</v>
      </c>
      <c r="AE89" s="202"/>
      <c r="AF89" s="29" t="s">
        <v>382</v>
      </c>
      <c r="AH89" s="202">
        <f>SUM(AH80:AH88)</f>
        <v>0</v>
      </c>
      <c r="AJ89" s="29" t="s">
        <v>382</v>
      </c>
      <c r="AL89" s="202">
        <f>SUM(AL80:AL88)</f>
        <v>0</v>
      </c>
      <c r="AN89" s="29" t="s">
        <v>382</v>
      </c>
      <c r="AP89" s="202">
        <f>SUM(AP80:AP88)</f>
        <v>0</v>
      </c>
      <c r="AR89" s="29" t="s">
        <v>382</v>
      </c>
      <c r="AT89" s="202">
        <f>SUM(AT80:AT88)</f>
        <v>100000</v>
      </c>
      <c r="AV89" s="29" t="s">
        <v>382</v>
      </c>
      <c r="AX89" s="202">
        <f>SUM(AX80:AX88)</f>
        <v>0</v>
      </c>
    </row>
    <row r="90" spans="6:50" x14ac:dyDescent="0.3">
      <c r="F90" t="s">
        <v>398</v>
      </c>
      <c r="G90" s="210" t="s">
        <v>397</v>
      </c>
      <c r="H90" s="49">
        <v>-6500</v>
      </c>
    </row>
    <row r="91" spans="6:50" x14ac:dyDescent="0.3">
      <c r="F91" t="s">
        <v>307</v>
      </c>
      <c r="G91" s="209" t="s">
        <v>403</v>
      </c>
      <c r="H91" s="49">
        <v>75000</v>
      </c>
    </row>
    <row r="92" spans="6:50" x14ac:dyDescent="0.3">
      <c r="F92" s="180" t="s">
        <v>411</v>
      </c>
      <c r="G92" s="209" t="s">
        <v>403</v>
      </c>
      <c r="H92" s="49">
        <v>-37400</v>
      </c>
      <c r="M92">
        <v>40000</v>
      </c>
      <c r="R92" s="186" t="s">
        <v>305</v>
      </c>
      <c r="S92" s="187">
        <v>45112</v>
      </c>
      <c r="T92" s="188">
        <v>-37150</v>
      </c>
      <c r="V92" s="199"/>
      <c r="W92" s="218" t="s">
        <v>411</v>
      </c>
      <c r="X92" s="219">
        <v>45266</v>
      </c>
      <c r="Y92" s="111">
        <v>-34020</v>
      </c>
      <c r="AB92" s="212" t="s">
        <v>412</v>
      </c>
      <c r="AC92" s="209" t="s">
        <v>483</v>
      </c>
      <c r="AD92" s="49">
        <v>-34380</v>
      </c>
      <c r="AE92" s="49"/>
      <c r="AF92" s="337"/>
      <c r="AG92" s="209"/>
      <c r="AH92" s="61"/>
      <c r="AJ92" s="337"/>
      <c r="AK92" s="209"/>
      <c r="AL92" s="61"/>
      <c r="AN92" s="337"/>
      <c r="AO92" s="209"/>
      <c r="AP92" s="49"/>
      <c r="AR92" s="180" t="s">
        <v>411</v>
      </c>
      <c r="AS92" s="216" t="s">
        <v>1077</v>
      </c>
      <c r="AT92" s="151">
        <v>-46870</v>
      </c>
      <c r="AV92" s="180"/>
      <c r="AW92" s="216"/>
      <c r="AX92" s="151"/>
    </row>
    <row r="93" spans="6:50" x14ac:dyDescent="0.3">
      <c r="F93" s="104" t="s">
        <v>308</v>
      </c>
      <c r="G93" s="209" t="s">
        <v>404</v>
      </c>
      <c r="H93" s="49">
        <v>-35000</v>
      </c>
      <c r="M93">
        <v>33000</v>
      </c>
      <c r="R93" s="186" t="s">
        <v>305</v>
      </c>
      <c r="S93" s="187">
        <v>45204</v>
      </c>
      <c r="T93" s="188">
        <v>-25000</v>
      </c>
      <c r="U93" s="74"/>
      <c r="V93" s="74"/>
      <c r="W93" s="218" t="s">
        <v>411</v>
      </c>
      <c r="X93" s="220" t="s">
        <v>393</v>
      </c>
      <c r="Y93" s="111">
        <v>-33090</v>
      </c>
      <c r="AB93" s="212" t="s">
        <v>412</v>
      </c>
      <c r="AC93" s="209" t="s">
        <v>484</v>
      </c>
      <c r="AD93" s="49">
        <v>-19400</v>
      </c>
      <c r="AE93" s="49"/>
      <c r="AG93" s="209"/>
      <c r="AH93" s="61"/>
      <c r="AK93" s="209"/>
      <c r="AL93" s="61"/>
      <c r="AO93" s="209"/>
      <c r="AP93" s="49"/>
      <c r="AR93" s="180" t="s">
        <v>411</v>
      </c>
      <c r="AS93" s="216" t="s">
        <v>1143</v>
      </c>
      <c r="AT93" s="151">
        <v>-30670</v>
      </c>
      <c r="AV93" s="180"/>
      <c r="AW93" s="216"/>
      <c r="AX93" s="151"/>
    </row>
    <row r="94" spans="6:50" x14ac:dyDescent="0.3">
      <c r="F94" t="s">
        <v>307</v>
      </c>
      <c r="G94" s="209" t="s">
        <v>404</v>
      </c>
      <c r="H94" s="49">
        <v>100000</v>
      </c>
      <c r="M94">
        <f>M92+M93</f>
        <v>73000</v>
      </c>
      <c r="R94" s="186" t="s">
        <v>305</v>
      </c>
      <c r="S94" s="187">
        <v>45235</v>
      </c>
      <c r="T94" s="188">
        <v>-18650</v>
      </c>
      <c r="W94" s="212" t="s">
        <v>412</v>
      </c>
      <c r="X94" s="221" t="s">
        <v>401</v>
      </c>
      <c r="Y94" s="196">
        <v>-27800</v>
      </c>
      <c r="AB94" t="s">
        <v>480</v>
      </c>
      <c r="AC94" s="209" t="s">
        <v>479</v>
      </c>
      <c r="AD94" s="49">
        <v>-5000</v>
      </c>
      <c r="AE94" s="49"/>
      <c r="AF94" s="337"/>
      <c r="AG94" s="209"/>
      <c r="AH94" s="61"/>
      <c r="AJ94" s="337"/>
      <c r="AK94" s="209"/>
      <c r="AL94" s="61"/>
      <c r="AN94" s="337"/>
      <c r="AO94" s="209"/>
      <c r="AP94" s="49"/>
      <c r="AR94" s="337"/>
      <c r="AS94" s="209"/>
      <c r="AT94" s="49"/>
      <c r="AV94" s="337"/>
      <c r="AW94" s="209"/>
      <c r="AX94" s="49"/>
    </row>
    <row r="95" spans="6:50" x14ac:dyDescent="0.3">
      <c r="F95" t="s">
        <v>405</v>
      </c>
      <c r="G95" s="209" t="s">
        <v>404</v>
      </c>
      <c r="H95" s="49">
        <v>-2000</v>
      </c>
      <c r="R95" s="186" t="s">
        <v>305</v>
      </c>
      <c r="S95" s="189" t="s">
        <v>304</v>
      </c>
      <c r="T95" s="188">
        <v>-48300</v>
      </c>
      <c r="W95" s="218" t="s">
        <v>411</v>
      </c>
      <c r="X95" s="224" t="s">
        <v>401</v>
      </c>
      <c r="Y95" s="111">
        <v>-25000</v>
      </c>
      <c r="AB95" s="180" t="s">
        <v>411</v>
      </c>
      <c r="AC95" s="209" t="s">
        <v>513</v>
      </c>
      <c r="AD95" s="49">
        <v>-27270</v>
      </c>
      <c r="AE95" s="49"/>
      <c r="AG95" s="209"/>
      <c r="AH95" s="61"/>
      <c r="AK95" s="209"/>
      <c r="AL95" s="61"/>
      <c r="AO95" s="209"/>
      <c r="AP95" s="49"/>
      <c r="AS95" s="209"/>
      <c r="AT95" s="49"/>
      <c r="AW95" s="209"/>
      <c r="AX95" s="49"/>
    </row>
    <row r="96" spans="6:50" x14ac:dyDescent="0.3">
      <c r="F96" t="s">
        <v>406</v>
      </c>
      <c r="G96" s="209" t="s">
        <v>407</v>
      </c>
      <c r="H96" s="49">
        <v>-15000</v>
      </c>
      <c r="R96" s="186" t="s">
        <v>305</v>
      </c>
      <c r="S96" s="189" t="s">
        <v>313</v>
      </c>
      <c r="T96" s="190">
        <v>-30300</v>
      </c>
      <c r="W96" s="218" t="s">
        <v>411</v>
      </c>
      <c r="X96" s="220" t="s">
        <v>403</v>
      </c>
      <c r="Y96" s="111">
        <v>-37400</v>
      </c>
      <c r="AB96" s="180" t="s">
        <v>411</v>
      </c>
      <c r="AC96" s="209" t="s">
        <v>514</v>
      </c>
      <c r="AD96" s="49">
        <v>-18100</v>
      </c>
      <c r="AE96" s="49"/>
      <c r="AF96" s="337"/>
      <c r="AG96" s="209"/>
      <c r="AH96" s="61"/>
      <c r="AJ96" s="337"/>
      <c r="AK96" s="209"/>
      <c r="AL96" s="61"/>
      <c r="AN96" s="337"/>
      <c r="AO96" s="209"/>
      <c r="AP96" s="49"/>
      <c r="AR96" s="337"/>
      <c r="AS96" s="209"/>
      <c r="AT96" s="49"/>
      <c r="AV96" s="337"/>
      <c r="AW96" s="209"/>
      <c r="AX96" s="49"/>
    </row>
    <row r="97" spans="6:50" x14ac:dyDescent="0.3">
      <c r="F97" s="180" t="s">
        <v>411</v>
      </c>
      <c r="G97" s="209" t="s">
        <v>407</v>
      </c>
      <c r="H97" s="49">
        <v>-49000</v>
      </c>
      <c r="R97" s="186" t="s">
        <v>305</v>
      </c>
      <c r="S97" s="189" t="s">
        <v>314</v>
      </c>
      <c r="T97" s="190">
        <v>-22120</v>
      </c>
      <c r="W97" s="218" t="s">
        <v>411</v>
      </c>
      <c r="X97" s="220" t="s">
        <v>407</v>
      </c>
      <c r="Y97" s="111">
        <v>-49000</v>
      </c>
    </row>
    <row r="98" spans="6:50" x14ac:dyDescent="0.3">
      <c r="F98" t="s">
        <v>307</v>
      </c>
      <c r="G98" s="209" t="s">
        <v>409</v>
      </c>
      <c r="H98" s="49">
        <v>100000</v>
      </c>
      <c r="M98" s="74">
        <f>M94-J141</f>
        <v>-12208</v>
      </c>
      <c r="R98" s="186" t="s">
        <v>383</v>
      </c>
      <c r="S98" s="189" t="s">
        <v>375</v>
      </c>
      <c r="T98" s="188">
        <f>-3000-2000</f>
        <v>-5000</v>
      </c>
      <c r="W98" s="212" t="s">
        <v>412</v>
      </c>
      <c r="X98" s="222" t="s">
        <v>410</v>
      </c>
      <c r="Y98" s="196">
        <v>-20200</v>
      </c>
    </row>
    <row r="99" spans="6:50" x14ac:dyDescent="0.3">
      <c r="F99" s="212" t="s">
        <v>412</v>
      </c>
      <c r="G99" s="209" t="s">
        <v>410</v>
      </c>
      <c r="H99" s="49">
        <v>-20200</v>
      </c>
      <c r="R99" s="186" t="s">
        <v>305</v>
      </c>
      <c r="S99" s="189" t="s">
        <v>375</v>
      </c>
      <c r="T99" s="188">
        <v>-9450</v>
      </c>
      <c r="W99" s="212" t="s">
        <v>412</v>
      </c>
      <c r="X99" s="222" t="s">
        <v>410</v>
      </c>
      <c r="Y99" s="196">
        <v>-10160</v>
      </c>
    </row>
    <row r="100" spans="6:50" x14ac:dyDescent="0.3">
      <c r="F100" s="212" t="s">
        <v>412</v>
      </c>
      <c r="G100" s="209" t="s">
        <v>410</v>
      </c>
      <c r="H100" s="49">
        <v>-10160</v>
      </c>
      <c r="R100" s="186" t="s">
        <v>305</v>
      </c>
      <c r="S100" s="189" t="s">
        <v>375</v>
      </c>
      <c r="T100" s="188">
        <v>-7430</v>
      </c>
      <c r="W100" s="218" t="s">
        <v>411</v>
      </c>
      <c r="X100" s="220" t="s">
        <v>410</v>
      </c>
      <c r="Y100" s="111">
        <v>-52870</v>
      </c>
    </row>
    <row r="101" spans="6:50" x14ac:dyDescent="0.3">
      <c r="F101" s="180" t="s">
        <v>411</v>
      </c>
      <c r="G101" s="209" t="s">
        <v>410</v>
      </c>
      <c r="H101" s="49">
        <v>-52870</v>
      </c>
      <c r="R101" s="186" t="s">
        <v>305</v>
      </c>
      <c r="S101" s="189" t="s">
        <v>353</v>
      </c>
      <c r="T101" s="188">
        <v>-15400</v>
      </c>
      <c r="W101" s="212" t="s">
        <v>412</v>
      </c>
      <c r="X101" s="222" t="s">
        <v>408</v>
      </c>
      <c r="Y101" s="196">
        <v>-13200</v>
      </c>
    </row>
    <row r="102" spans="6:50" x14ac:dyDescent="0.3">
      <c r="F102" s="104" t="s">
        <v>308</v>
      </c>
      <c r="G102" s="209" t="s">
        <v>408</v>
      </c>
      <c r="H102" s="49">
        <v>-45000</v>
      </c>
      <c r="R102" s="186" t="s">
        <v>305</v>
      </c>
      <c r="S102" s="189" t="s">
        <v>376</v>
      </c>
      <c r="T102" s="188">
        <v>-15520</v>
      </c>
      <c r="W102" s="218" t="s">
        <v>411</v>
      </c>
      <c r="X102" s="220">
        <v>45114</v>
      </c>
      <c r="Y102" s="111">
        <v>-12200</v>
      </c>
    </row>
    <row r="103" spans="6:50" x14ac:dyDescent="0.3">
      <c r="F103" s="212" t="s">
        <v>412</v>
      </c>
      <c r="G103" s="209" t="s">
        <v>408</v>
      </c>
      <c r="H103" s="49">
        <v>-13200</v>
      </c>
      <c r="R103" s="186" t="s">
        <v>305</v>
      </c>
      <c r="S103" s="189">
        <v>45022</v>
      </c>
      <c r="T103" s="188">
        <v>-2490</v>
      </c>
    </row>
    <row r="104" spans="6:50" ht="15" thickBot="1" x14ac:dyDescent="0.35">
      <c r="F104" s="180" t="s">
        <v>411</v>
      </c>
      <c r="G104" s="209">
        <v>45114</v>
      </c>
      <c r="H104" s="49">
        <v>-12200</v>
      </c>
      <c r="T104" s="147"/>
      <c r="Y104" s="147"/>
      <c r="AD104" s="147"/>
      <c r="AH104" s="147"/>
      <c r="AL104" s="147"/>
      <c r="AP104" s="147"/>
      <c r="AT104" s="147"/>
      <c r="AX104" s="147"/>
    </row>
    <row r="105" spans="6:50" x14ac:dyDescent="0.3">
      <c r="R105" s="29" t="s">
        <v>381</v>
      </c>
      <c r="T105" s="195">
        <f>SUM(T92:T103)</f>
        <v>-236810</v>
      </c>
      <c r="W105" s="29" t="s">
        <v>381</v>
      </c>
      <c r="Y105" s="195">
        <f>SUM(Y92:Y103)</f>
        <v>-314940</v>
      </c>
      <c r="AB105" s="29" t="s">
        <v>381</v>
      </c>
      <c r="AD105" s="195">
        <f>SUM(AD92:AD103)</f>
        <v>-104150</v>
      </c>
      <c r="AE105" s="195"/>
      <c r="AF105" s="29" t="s">
        <v>381</v>
      </c>
      <c r="AH105" s="195">
        <f>SUM(AH92:AH103)</f>
        <v>0</v>
      </c>
      <c r="AJ105" s="29" t="s">
        <v>381</v>
      </c>
      <c r="AL105" s="195">
        <f>SUM(AL92:AL103)</f>
        <v>0</v>
      </c>
      <c r="AN105" s="29" t="s">
        <v>381</v>
      </c>
      <c r="AP105" s="195">
        <f>SUM(AP92:AP103)</f>
        <v>0</v>
      </c>
      <c r="AR105" s="29" t="s">
        <v>381</v>
      </c>
      <c r="AT105" s="195">
        <f>SUM(AT92:AT103)</f>
        <v>-77540</v>
      </c>
      <c r="AV105" s="29" t="s">
        <v>381</v>
      </c>
      <c r="AX105" s="195">
        <f>SUM(AX92:AX103)</f>
        <v>0</v>
      </c>
    </row>
    <row r="106" spans="6:50" x14ac:dyDescent="0.3">
      <c r="H106" s="28"/>
    </row>
    <row r="107" spans="6:50" x14ac:dyDescent="0.3">
      <c r="H107" s="74">
        <f>SUM(H76:H105)</f>
        <v>10960</v>
      </c>
      <c r="J107" s="74">
        <f>+H107</f>
        <v>10960</v>
      </c>
      <c r="R107" s="192" t="s">
        <v>378</v>
      </c>
      <c r="S107" s="193">
        <v>45112</v>
      </c>
      <c r="T107" s="194">
        <v>-25000</v>
      </c>
      <c r="W107" s="215" t="s">
        <v>308</v>
      </c>
      <c r="X107" s="216" t="s">
        <v>395</v>
      </c>
      <c r="Y107" s="217">
        <v>-20000</v>
      </c>
      <c r="AB107" s="104" t="s">
        <v>308</v>
      </c>
      <c r="AD107" s="49">
        <v>-16000</v>
      </c>
      <c r="AE107" s="49"/>
      <c r="AH107" s="61"/>
      <c r="AL107" s="61"/>
      <c r="AP107" s="49"/>
      <c r="AR107" s="104" t="s">
        <v>308</v>
      </c>
      <c r="AS107" s="216" t="s">
        <v>1073</v>
      </c>
      <c r="AT107" s="151">
        <v>-11000</v>
      </c>
      <c r="AV107" s="104"/>
      <c r="AW107" s="216"/>
      <c r="AX107" s="151"/>
    </row>
    <row r="108" spans="6:50" x14ac:dyDescent="0.3">
      <c r="R108" s="185" t="s">
        <v>308</v>
      </c>
      <c r="S108" s="191" t="s">
        <v>304</v>
      </c>
      <c r="T108" s="184">
        <v>-20000</v>
      </c>
      <c r="W108" s="215" t="s">
        <v>308</v>
      </c>
      <c r="X108" s="216" t="s">
        <v>404</v>
      </c>
      <c r="Y108" s="217">
        <v>-35000</v>
      </c>
      <c r="AB108" s="104" t="s">
        <v>308</v>
      </c>
      <c r="AD108" s="49">
        <v>-7000</v>
      </c>
      <c r="AE108" s="49"/>
      <c r="AH108" s="61"/>
      <c r="AL108" s="61"/>
      <c r="AP108" s="49"/>
      <c r="AR108" s="104" t="s">
        <v>308</v>
      </c>
      <c r="AS108" s="216" t="s">
        <v>1072</v>
      </c>
      <c r="AT108" s="151">
        <v>-25000</v>
      </c>
      <c r="AV108" s="104"/>
      <c r="AW108" s="216"/>
      <c r="AX108" s="151"/>
    </row>
    <row r="109" spans="6:50" x14ac:dyDescent="0.3">
      <c r="R109" s="185" t="s">
        <v>308</v>
      </c>
      <c r="S109" s="191" t="s">
        <v>313</v>
      </c>
      <c r="T109" s="184">
        <v>-20000</v>
      </c>
      <c r="W109" s="215" t="s">
        <v>308</v>
      </c>
      <c r="X109" s="216" t="s">
        <v>408</v>
      </c>
      <c r="Y109" s="217">
        <v>-45000</v>
      </c>
      <c r="AB109" s="104" t="s">
        <v>308</v>
      </c>
      <c r="AD109" s="49">
        <v>-3500</v>
      </c>
      <c r="AE109" s="49"/>
      <c r="AH109" s="61"/>
      <c r="AL109" s="61"/>
      <c r="AP109" s="49"/>
      <c r="AR109" s="104" t="s">
        <v>308</v>
      </c>
      <c r="AS109" s="216" t="s">
        <v>1074</v>
      </c>
      <c r="AT109" s="151">
        <v>-15000</v>
      </c>
      <c r="AV109" s="104"/>
      <c r="AW109" s="216"/>
      <c r="AX109" s="151"/>
    </row>
    <row r="110" spans="6:50" x14ac:dyDescent="0.3">
      <c r="R110" s="185" t="s">
        <v>308</v>
      </c>
      <c r="S110" s="191" t="s">
        <v>314</v>
      </c>
      <c r="T110" s="184">
        <v>-35000</v>
      </c>
      <c r="AB110" s="104" t="s">
        <v>308</v>
      </c>
      <c r="AD110" s="49">
        <v>-30000</v>
      </c>
      <c r="AE110" s="49"/>
      <c r="AH110" s="61"/>
      <c r="AL110" s="61"/>
      <c r="AP110" s="49"/>
      <c r="AT110" s="49"/>
      <c r="AX110" s="49"/>
    </row>
    <row r="111" spans="6:50" x14ac:dyDescent="0.3">
      <c r="F111" t="s">
        <v>546</v>
      </c>
      <c r="R111" s="185" t="s">
        <v>308</v>
      </c>
      <c r="S111" s="191" t="s">
        <v>340</v>
      </c>
      <c r="T111" s="184">
        <v>-5000</v>
      </c>
    </row>
    <row r="112" spans="6:50" x14ac:dyDescent="0.3">
      <c r="F112" t="s">
        <v>544</v>
      </c>
      <c r="G112" s="209" t="s">
        <v>545</v>
      </c>
      <c r="H112" s="61">
        <f>5500*4</f>
        <v>22000</v>
      </c>
      <c r="R112" s="185" t="s">
        <v>308</v>
      </c>
      <c r="S112" s="191" t="s">
        <v>349</v>
      </c>
      <c r="T112" s="184">
        <v>-15000</v>
      </c>
    </row>
    <row r="113" spans="6:50" x14ac:dyDescent="0.3">
      <c r="F113" t="s">
        <v>481</v>
      </c>
      <c r="G113" s="208">
        <v>45022</v>
      </c>
      <c r="H113" s="61">
        <v>11000</v>
      </c>
      <c r="R113" s="185" t="s">
        <v>308</v>
      </c>
      <c r="S113" s="191" t="s">
        <v>353</v>
      </c>
      <c r="T113" s="184">
        <v>-20000</v>
      </c>
    </row>
    <row r="114" spans="6:50" x14ac:dyDescent="0.3">
      <c r="F114" t="s">
        <v>475</v>
      </c>
      <c r="G114" s="209">
        <v>45085</v>
      </c>
      <c r="H114" s="61">
        <v>22000</v>
      </c>
      <c r="R114" s="185" t="s">
        <v>308</v>
      </c>
      <c r="S114" s="191">
        <v>45022</v>
      </c>
      <c r="T114" s="184">
        <f>-25000-5000-5000</f>
        <v>-35000</v>
      </c>
    </row>
    <row r="115" spans="6:50" ht="15" thickBot="1" x14ac:dyDescent="0.35">
      <c r="F115" t="s">
        <v>476</v>
      </c>
      <c r="G115" s="209">
        <v>45238</v>
      </c>
      <c r="H115" s="61">
        <v>33000</v>
      </c>
      <c r="T115" s="147"/>
      <c r="Y115" s="147"/>
      <c r="AD115" s="147"/>
      <c r="AH115" s="147"/>
      <c r="AL115" s="147"/>
      <c r="AP115" s="147"/>
      <c r="AT115" s="147"/>
      <c r="AX115" s="147"/>
    </row>
    <row r="116" spans="6:50" x14ac:dyDescent="0.3">
      <c r="F116" t="s">
        <v>477</v>
      </c>
      <c r="G116" s="209">
        <v>45177</v>
      </c>
      <c r="H116" s="61">
        <v>32000</v>
      </c>
      <c r="R116" s="29" t="s">
        <v>380</v>
      </c>
      <c r="S116" s="29"/>
      <c r="T116" s="195">
        <f>SUM(T107:T114)</f>
        <v>-175000</v>
      </c>
      <c r="W116" s="29" t="s">
        <v>380</v>
      </c>
      <c r="X116" s="29"/>
      <c r="Y116" s="195">
        <f>SUM(Y107:Y114)</f>
        <v>-100000</v>
      </c>
      <c r="AB116" s="29" t="s">
        <v>380</v>
      </c>
      <c r="AC116" s="29"/>
      <c r="AD116" s="195">
        <f>SUM(AD107:AD114)</f>
        <v>-56500</v>
      </c>
      <c r="AE116" s="195"/>
      <c r="AF116" s="29" t="s">
        <v>380</v>
      </c>
      <c r="AG116" s="29"/>
      <c r="AH116" s="195">
        <f>SUM(AH107:AH114)</f>
        <v>0</v>
      </c>
      <c r="AJ116" s="29" t="s">
        <v>380</v>
      </c>
      <c r="AK116" s="29"/>
      <c r="AL116" s="195">
        <f>SUM(AL107:AL114)</f>
        <v>0</v>
      </c>
      <c r="AN116" s="29" t="s">
        <v>380</v>
      </c>
      <c r="AO116" s="29"/>
      <c r="AP116" s="195">
        <f>SUM(AP107:AP114)</f>
        <v>0</v>
      </c>
      <c r="AR116" s="29" t="s">
        <v>380</v>
      </c>
      <c r="AS116" s="29"/>
      <c r="AT116" s="195">
        <f>SUM(AT107:AT114)</f>
        <v>-51000</v>
      </c>
      <c r="AV116" s="29" t="s">
        <v>380</v>
      </c>
      <c r="AW116" s="29"/>
      <c r="AX116" s="195">
        <f>SUM(AX107:AX114)</f>
        <v>0</v>
      </c>
    </row>
    <row r="117" spans="6:50" x14ac:dyDescent="0.3">
      <c r="F117" t="s">
        <v>543</v>
      </c>
      <c r="G117" s="209" t="s">
        <v>545</v>
      </c>
      <c r="H117" s="61">
        <f>2500*4</f>
        <v>10000</v>
      </c>
    </row>
    <row r="118" spans="6:50" ht="15" thickBot="1" x14ac:dyDescent="0.35">
      <c r="F118" t="s">
        <v>307</v>
      </c>
      <c r="G118" s="209" t="s">
        <v>478</v>
      </c>
      <c r="H118" s="49">
        <v>75000</v>
      </c>
      <c r="R118" s="200"/>
      <c r="S118" s="200"/>
      <c r="T118" s="201">
        <f>T89+T105+T116</f>
        <v>-16810</v>
      </c>
    </row>
    <row r="119" spans="6:50" ht="15" thickTop="1" x14ac:dyDescent="0.3">
      <c r="F119" t="s">
        <v>307</v>
      </c>
      <c r="G119" s="209" t="s">
        <v>479</v>
      </c>
      <c r="H119" s="49">
        <v>5000</v>
      </c>
    </row>
    <row r="120" spans="6:50" x14ac:dyDescent="0.3">
      <c r="F120" t="s">
        <v>480</v>
      </c>
      <c r="G120" s="209" t="s">
        <v>479</v>
      </c>
      <c r="H120" s="49">
        <v>-5000</v>
      </c>
      <c r="R120" s="29" t="s">
        <v>519</v>
      </c>
      <c r="T120" s="74"/>
      <c r="W120" s="29" t="s">
        <v>519</v>
      </c>
      <c r="AB120" s="29" t="s">
        <v>519</v>
      </c>
      <c r="AF120" s="29" t="s">
        <v>519</v>
      </c>
      <c r="AJ120" s="29" t="s">
        <v>519</v>
      </c>
      <c r="AN120" s="29" t="s">
        <v>519</v>
      </c>
      <c r="AR120" s="29" t="s">
        <v>519</v>
      </c>
      <c r="AV120" s="29" t="s">
        <v>519</v>
      </c>
    </row>
    <row r="121" spans="6:50" x14ac:dyDescent="0.3">
      <c r="F121" s="212" t="s">
        <v>412</v>
      </c>
      <c r="G121" s="209" t="s">
        <v>483</v>
      </c>
      <c r="H121" s="49">
        <v>-34380</v>
      </c>
    </row>
    <row r="122" spans="6:50" x14ac:dyDescent="0.3">
      <c r="F122" s="212" t="s">
        <v>412</v>
      </c>
      <c r="G122" s="209" t="s">
        <v>484</v>
      </c>
      <c r="H122" s="49">
        <v>-19400</v>
      </c>
      <c r="R122" s="104" t="s">
        <v>306</v>
      </c>
      <c r="S122" s="176">
        <v>45112</v>
      </c>
      <c r="T122" s="151">
        <v>-15000</v>
      </c>
      <c r="W122" s="76" t="s">
        <v>384</v>
      </c>
      <c r="X122" s="219">
        <v>45022</v>
      </c>
      <c r="Y122" s="111">
        <v>-40000</v>
      </c>
      <c r="AB122" t="s">
        <v>482</v>
      </c>
      <c r="AC122" s="209" t="s">
        <v>483</v>
      </c>
      <c r="AD122" s="49">
        <v>-12900</v>
      </c>
      <c r="AE122" s="49"/>
      <c r="AF122" t="s">
        <v>605</v>
      </c>
      <c r="AG122" s="209">
        <v>45057</v>
      </c>
      <c r="AH122" s="49">
        <v>-19800</v>
      </c>
      <c r="AJ122" t="s">
        <v>741</v>
      </c>
      <c r="AK122" s="77">
        <v>45347</v>
      </c>
      <c r="AL122" s="151">
        <v>-44000</v>
      </c>
      <c r="AN122" t="s">
        <v>886</v>
      </c>
      <c r="AO122" s="77">
        <v>45410</v>
      </c>
      <c r="AP122" s="151">
        <v>-1757</v>
      </c>
      <c r="AR122" t="s">
        <v>1010</v>
      </c>
      <c r="AS122" s="77">
        <v>45536</v>
      </c>
      <c r="AT122" s="151">
        <v>-2000</v>
      </c>
      <c r="AV122" t="s">
        <v>1167</v>
      </c>
      <c r="AW122" s="77">
        <v>45690</v>
      </c>
      <c r="AX122" s="151">
        <v>-25000</v>
      </c>
    </row>
    <row r="123" spans="6:50" x14ac:dyDescent="0.3">
      <c r="F123" t="s">
        <v>482</v>
      </c>
      <c r="G123" s="209" t="s">
        <v>483</v>
      </c>
      <c r="H123" s="49">
        <v>-12900</v>
      </c>
      <c r="R123" s="104" t="s">
        <v>350</v>
      </c>
      <c r="S123" s="177" t="s">
        <v>375</v>
      </c>
      <c r="T123" s="151">
        <v>-500</v>
      </c>
      <c r="W123" s="76" t="s">
        <v>384</v>
      </c>
      <c r="X123" s="220" t="s">
        <v>395</v>
      </c>
      <c r="Y123" s="111">
        <v>-20000</v>
      </c>
      <c r="AB123" t="s">
        <v>485</v>
      </c>
      <c r="AC123" s="209" t="s">
        <v>483</v>
      </c>
      <c r="AD123" s="49">
        <v>-350</v>
      </c>
      <c r="AE123" s="49"/>
      <c r="AF123" t="s">
        <v>482</v>
      </c>
      <c r="AG123" s="209" t="s">
        <v>595</v>
      </c>
      <c r="AH123" s="49">
        <v>-26240</v>
      </c>
      <c r="AJ123" t="s">
        <v>742</v>
      </c>
      <c r="AK123" s="77">
        <v>45354</v>
      </c>
      <c r="AL123" s="151">
        <v>-7000</v>
      </c>
      <c r="AN123" t="s">
        <v>887</v>
      </c>
      <c r="AO123" s="77">
        <v>45447</v>
      </c>
      <c r="AP123" s="151">
        <v>-26800</v>
      </c>
      <c r="AR123" t="s">
        <v>1144</v>
      </c>
      <c r="AS123" s="77">
        <v>45612</v>
      </c>
      <c r="AT123" s="151">
        <f>-23800-900-6000</f>
        <v>-30700</v>
      </c>
      <c r="AV123" t="s">
        <v>1233</v>
      </c>
      <c r="AW123" s="77">
        <v>45716</v>
      </c>
      <c r="AX123" s="151">
        <v>-1240</v>
      </c>
    </row>
    <row r="124" spans="6:50" x14ac:dyDescent="0.3">
      <c r="F124" t="s">
        <v>485</v>
      </c>
      <c r="G124" s="209" t="s">
        <v>483</v>
      </c>
      <c r="H124" s="49">
        <v>-350</v>
      </c>
      <c r="J124" s="49"/>
      <c r="W124" s="76" t="s">
        <v>384</v>
      </c>
      <c r="X124" s="224" t="s">
        <v>401</v>
      </c>
      <c r="Y124" s="111">
        <v>-20000</v>
      </c>
      <c r="AB124" t="s">
        <v>486</v>
      </c>
      <c r="AC124" s="209" t="s">
        <v>590</v>
      </c>
      <c r="AD124" s="49">
        <v>-6000</v>
      </c>
      <c r="AE124" s="49"/>
      <c r="AF124" t="s">
        <v>485</v>
      </c>
      <c r="AG124" s="209" t="s">
        <v>595</v>
      </c>
      <c r="AH124" s="49">
        <v>-300</v>
      </c>
      <c r="AJ124" t="s">
        <v>747</v>
      </c>
      <c r="AK124" s="77">
        <v>45366</v>
      </c>
      <c r="AL124" s="151">
        <v>-5050</v>
      </c>
      <c r="AN124" t="s">
        <v>888</v>
      </c>
      <c r="AO124" s="77">
        <v>45450</v>
      </c>
      <c r="AP124" s="151">
        <f>-4650-1500</f>
        <v>-6150</v>
      </c>
      <c r="AR124" t="s">
        <v>1075</v>
      </c>
      <c r="AS124" s="77">
        <v>45641</v>
      </c>
      <c r="AT124" s="151">
        <v>-1000</v>
      </c>
      <c r="AV124" t="s">
        <v>1236</v>
      </c>
      <c r="AW124" s="77">
        <v>45717</v>
      </c>
      <c r="AX124" s="151">
        <v>-3500</v>
      </c>
    </row>
    <row r="125" spans="6:50" x14ac:dyDescent="0.3">
      <c r="F125" s="104" t="s">
        <v>308</v>
      </c>
      <c r="H125" s="49">
        <v>-16000</v>
      </c>
      <c r="J125" s="49"/>
      <c r="AF125" t="s">
        <v>596</v>
      </c>
      <c r="AG125" s="209" t="s">
        <v>597</v>
      </c>
      <c r="AH125" s="49">
        <v>-4000</v>
      </c>
      <c r="AJ125" t="s">
        <v>748</v>
      </c>
      <c r="AK125" s="77">
        <v>45366</v>
      </c>
      <c r="AL125" s="151">
        <f>-18500-1000-4000</f>
        <v>-23500</v>
      </c>
      <c r="AN125" t="s">
        <v>889</v>
      </c>
      <c r="AO125" s="77">
        <v>45451</v>
      </c>
      <c r="AP125" s="151">
        <v>-34500</v>
      </c>
      <c r="AR125" t="s">
        <v>1145</v>
      </c>
      <c r="AS125" s="77">
        <v>45650</v>
      </c>
      <c r="AT125" s="151">
        <v>-20000</v>
      </c>
      <c r="AV125" t="s">
        <v>1230</v>
      </c>
      <c r="AW125" s="77">
        <v>45717</v>
      </c>
      <c r="AX125" s="151">
        <v>-1950</v>
      </c>
    </row>
    <row r="126" spans="6:50" x14ac:dyDescent="0.3">
      <c r="F126" s="104" t="s">
        <v>308</v>
      </c>
      <c r="H126" s="49">
        <v>-7000</v>
      </c>
      <c r="J126" s="49"/>
      <c r="W126" s="225" t="s">
        <v>399</v>
      </c>
      <c r="X126" s="226" t="s">
        <v>401</v>
      </c>
      <c r="Y126" s="227">
        <v>-3000</v>
      </c>
      <c r="AF126" t="s">
        <v>606</v>
      </c>
      <c r="AG126" s="209">
        <v>45119</v>
      </c>
      <c r="AH126" s="49">
        <v>-3460</v>
      </c>
      <c r="AJ126" t="s">
        <v>749</v>
      </c>
      <c r="AK126" s="77">
        <v>45368</v>
      </c>
      <c r="AL126" s="151">
        <v>-15900</v>
      </c>
      <c r="AN126" t="s">
        <v>890</v>
      </c>
      <c r="AO126" s="77">
        <v>45463</v>
      </c>
      <c r="AP126" s="151">
        <v>-8000</v>
      </c>
      <c r="AV126" t="s">
        <v>1231</v>
      </c>
      <c r="AW126" s="77">
        <v>45718</v>
      </c>
      <c r="AX126" s="151">
        <v>-16400</v>
      </c>
    </row>
    <row r="127" spans="6:50" x14ac:dyDescent="0.3">
      <c r="F127" s="104" t="s">
        <v>308</v>
      </c>
      <c r="H127" s="49">
        <v>-3500</v>
      </c>
      <c r="J127" s="49"/>
      <c r="W127" s="225" t="s">
        <v>392</v>
      </c>
      <c r="X127" s="228">
        <v>45205</v>
      </c>
      <c r="Y127" s="227">
        <v>-30000</v>
      </c>
      <c r="AJ127" t="s">
        <v>750</v>
      </c>
      <c r="AK127" s="77">
        <v>45374</v>
      </c>
      <c r="AL127" s="151">
        <v>-17000</v>
      </c>
      <c r="AN127" t="s">
        <v>891</v>
      </c>
      <c r="AO127" s="77">
        <v>45461</v>
      </c>
      <c r="AP127" s="151">
        <v>-12000</v>
      </c>
      <c r="AV127" t="s">
        <v>1235</v>
      </c>
      <c r="AW127" s="77">
        <v>45718</v>
      </c>
      <c r="AX127" s="151">
        <v>-511</v>
      </c>
    </row>
    <row r="128" spans="6:50" x14ac:dyDescent="0.3">
      <c r="F128" t="s">
        <v>486</v>
      </c>
      <c r="H128" s="49">
        <v>-6000</v>
      </c>
      <c r="J128" s="49"/>
      <c r="AJ128" t="s">
        <v>751</v>
      </c>
      <c r="AK128" s="77">
        <v>45381</v>
      </c>
      <c r="AL128" s="151">
        <v>-19200</v>
      </c>
      <c r="AN128" t="s">
        <v>951</v>
      </c>
      <c r="AO128" s="77">
        <v>45535</v>
      </c>
      <c r="AP128" s="151">
        <v>-300</v>
      </c>
      <c r="AS128" s="77"/>
      <c r="AT128" s="61"/>
      <c r="AV128" t="s">
        <v>1234</v>
      </c>
      <c r="AW128" s="77">
        <v>45741</v>
      </c>
      <c r="AX128" s="151">
        <v>-1600</v>
      </c>
    </row>
    <row r="129" spans="6:50" x14ac:dyDescent="0.3">
      <c r="F129" s="104" t="s">
        <v>308</v>
      </c>
      <c r="H129" s="49">
        <v>-30000</v>
      </c>
      <c r="J129" s="49"/>
      <c r="W129" s="229" t="s">
        <v>400</v>
      </c>
      <c r="X129" s="230" t="s">
        <v>402</v>
      </c>
      <c r="Y129" s="231">
        <v>-2600</v>
      </c>
      <c r="AJ129" t="s">
        <v>752</v>
      </c>
      <c r="AK129" s="77">
        <v>45382</v>
      </c>
      <c r="AL129" s="151">
        <v>-2000</v>
      </c>
      <c r="AN129" t="s">
        <v>976</v>
      </c>
      <c r="AO129" s="77">
        <v>45535</v>
      </c>
      <c r="AP129" s="151">
        <v>-32000</v>
      </c>
      <c r="AS129" s="77"/>
      <c r="AT129" s="61"/>
      <c r="AV129" t="s">
        <v>1268</v>
      </c>
      <c r="AW129" s="77">
        <v>45742</v>
      </c>
      <c r="AX129" s="151">
        <f>-15840+1240</f>
        <v>-14600</v>
      </c>
    </row>
    <row r="130" spans="6:50" x14ac:dyDescent="0.3">
      <c r="F130" s="180" t="s">
        <v>411</v>
      </c>
      <c r="G130" s="209" t="s">
        <v>513</v>
      </c>
      <c r="H130" s="49">
        <v>-27270</v>
      </c>
      <c r="J130" s="49"/>
      <c r="W130" s="229" t="s">
        <v>531</v>
      </c>
      <c r="X130" s="230" t="s">
        <v>397</v>
      </c>
      <c r="Y130" s="231">
        <v>-6500</v>
      </c>
      <c r="AJ130" t="s">
        <v>753</v>
      </c>
      <c r="AK130" t="s">
        <v>754</v>
      </c>
      <c r="AL130" s="151">
        <v>-2000</v>
      </c>
      <c r="AN130" t="s">
        <v>978</v>
      </c>
      <c r="AO130" s="77">
        <v>45535</v>
      </c>
      <c r="AP130" s="151">
        <v>-6600</v>
      </c>
      <c r="AS130" s="77"/>
      <c r="AT130" s="61"/>
      <c r="AV130" t="s">
        <v>1232</v>
      </c>
      <c r="AW130" s="77">
        <v>45744</v>
      </c>
      <c r="AX130" s="151">
        <v>-35000</v>
      </c>
    </row>
    <row r="131" spans="6:50" x14ac:dyDescent="0.3">
      <c r="F131" s="180" t="s">
        <v>411</v>
      </c>
      <c r="G131" s="209" t="s">
        <v>514</v>
      </c>
      <c r="H131" s="49">
        <v>-18100</v>
      </c>
      <c r="J131" s="49"/>
      <c r="AJ131" t="s">
        <v>755</v>
      </c>
      <c r="AK131" s="77">
        <v>45388</v>
      </c>
      <c r="AL131" s="151">
        <v>-30000</v>
      </c>
      <c r="AN131" t="s">
        <v>979</v>
      </c>
      <c r="AO131" s="77">
        <v>45535</v>
      </c>
      <c r="AP131" s="151">
        <v>-2600</v>
      </c>
      <c r="AS131" s="77"/>
      <c r="AT131" s="61"/>
      <c r="AV131" t="s">
        <v>1237</v>
      </c>
      <c r="AW131" s="77">
        <v>45745</v>
      </c>
      <c r="AX131" s="151">
        <v>-4650</v>
      </c>
    </row>
    <row r="132" spans="6:50" x14ac:dyDescent="0.3">
      <c r="F132" t="s">
        <v>307</v>
      </c>
      <c r="G132" s="209" t="s">
        <v>512</v>
      </c>
      <c r="H132" s="49">
        <v>50000</v>
      </c>
      <c r="J132" s="49"/>
      <c r="W132" s="232" t="s">
        <v>523</v>
      </c>
      <c r="X132" s="233" t="s">
        <v>404</v>
      </c>
      <c r="Y132" s="234">
        <v>-57000</v>
      </c>
      <c r="AJ132" t="s">
        <v>756</v>
      </c>
      <c r="AK132" s="77">
        <v>45388</v>
      </c>
      <c r="AL132" s="151">
        <f>-5000-13360</f>
        <v>-18360</v>
      </c>
      <c r="AN132" t="s">
        <v>980</v>
      </c>
      <c r="AO132" s="77">
        <v>45535</v>
      </c>
      <c r="AP132" s="151">
        <v>-8000</v>
      </c>
      <c r="AS132" s="77"/>
      <c r="AT132" s="61"/>
      <c r="AV132" t="s">
        <v>1240</v>
      </c>
      <c r="AW132" s="77" t="s">
        <v>1263</v>
      </c>
      <c r="AX132" s="151">
        <f>-(8610+5000+4900+9000)</f>
        <v>-27510</v>
      </c>
    </row>
    <row r="133" spans="6:50" x14ac:dyDescent="0.3">
      <c r="W133" s="232" t="s">
        <v>405</v>
      </c>
      <c r="X133" s="233" t="s">
        <v>404</v>
      </c>
      <c r="Y133" s="234">
        <v>-2000</v>
      </c>
      <c r="AJ133" t="s">
        <v>807</v>
      </c>
      <c r="AK133" s="77">
        <v>45388</v>
      </c>
      <c r="AL133" s="151">
        <v>-2000</v>
      </c>
      <c r="AS133" s="77"/>
      <c r="AT133" s="61"/>
      <c r="AV133" t="s">
        <v>1438</v>
      </c>
      <c r="AW133" s="77"/>
      <c r="AX133" s="61">
        <f>-430-430</f>
        <v>-860</v>
      </c>
    </row>
    <row r="134" spans="6:50" x14ac:dyDescent="0.3">
      <c r="H134" s="28"/>
      <c r="W134" s="232" t="s">
        <v>406</v>
      </c>
      <c r="X134" s="233" t="s">
        <v>407</v>
      </c>
      <c r="Y134" s="234">
        <v>-15000</v>
      </c>
      <c r="AJ134" t="s">
        <v>757</v>
      </c>
      <c r="AK134" s="77">
        <v>45388</v>
      </c>
      <c r="AL134" s="151">
        <v>-5100</v>
      </c>
      <c r="AO134" s="77"/>
      <c r="AP134" s="61"/>
      <c r="AS134" s="77"/>
      <c r="AT134" s="61"/>
      <c r="AW134" s="77"/>
      <c r="AX134" s="61"/>
    </row>
    <row r="135" spans="6:50" x14ac:dyDescent="0.3">
      <c r="W135" s="232"/>
      <c r="X135" s="233"/>
      <c r="Y135" s="234"/>
      <c r="AJ135" t="s">
        <v>758</v>
      </c>
      <c r="AK135" s="77">
        <v>45388</v>
      </c>
      <c r="AL135" s="151">
        <v>-8500</v>
      </c>
      <c r="AO135" s="77"/>
      <c r="AP135" s="49"/>
      <c r="AS135" s="77"/>
      <c r="AT135" s="49"/>
      <c r="AW135" s="77"/>
      <c r="AX135" s="61"/>
    </row>
    <row r="136" spans="6:50" x14ac:dyDescent="0.3">
      <c r="W136" s="232"/>
      <c r="X136" s="233"/>
      <c r="Y136" s="234"/>
      <c r="AL136" s="49"/>
      <c r="AW136" s="77"/>
      <c r="AX136" s="49"/>
    </row>
    <row r="137" spans="6:50" x14ac:dyDescent="0.3">
      <c r="W137" s="232"/>
      <c r="X137" s="233"/>
      <c r="Y137" s="234"/>
      <c r="AX137" s="49"/>
    </row>
    <row r="138" spans="6:50" ht="15" thickBot="1" x14ac:dyDescent="0.35">
      <c r="T138" s="147"/>
      <c r="W138" s="232"/>
      <c r="X138" s="233"/>
      <c r="Y138" s="147"/>
      <c r="AD138" s="147"/>
      <c r="AH138" s="147"/>
      <c r="AL138" s="147"/>
      <c r="AP138" s="147"/>
      <c r="AT138" s="147"/>
      <c r="AX138" s="147"/>
    </row>
    <row r="139" spans="6:50" x14ac:dyDescent="0.3">
      <c r="H139" s="49">
        <f>SUM(H111:H132)</f>
        <v>80100</v>
      </c>
      <c r="J139" s="49">
        <f>+H139</f>
        <v>80100</v>
      </c>
      <c r="R139" s="29" t="s">
        <v>520</v>
      </c>
      <c r="T139" s="195">
        <f>SUM(T122:T134)</f>
        <v>-15500</v>
      </c>
      <c r="W139" s="29" t="s">
        <v>520</v>
      </c>
      <c r="Y139" s="195">
        <f>SUM(Y122:Y134)</f>
        <v>-196100</v>
      </c>
      <c r="AB139" s="29" t="s">
        <v>520</v>
      </c>
      <c r="AD139" s="195">
        <f>SUM(AD122:AD134)</f>
        <v>-19250</v>
      </c>
      <c r="AE139" s="195"/>
      <c r="AF139" s="29" t="s">
        <v>520</v>
      </c>
      <c r="AH139" s="195">
        <f>SUM(AH122:AH133)</f>
        <v>-53800</v>
      </c>
      <c r="AJ139" s="29" t="s">
        <v>520</v>
      </c>
      <c r="AL139" s="195">
        <f>SUM(AL122:AL137)</f>
        <v>-199610</v>
      </c>
      <c r="AN139" s="29" t="s">
        <v>520</v>
      </c>
      <c r="AP139" s="195">
        <f>SUM(AP122:AP137)</f>
        <v>-138707</v>
      </c>
      <c r="AR139" s="29" t="s">
        <v>520</v>
      </c>
      <c r="AT139" s="195">
        <f>SUM(AT122:AT137)</f>
        <v>-53700</v>
      </c>
      <c r="AV139" s="29" t="s">
        <v>520</v>
      </c>
      <c r="AX139" s="195">
        <f>SUM(AX122:AX137)</f>
        <v>-132821</v>
      </c>
    </row>
    <row r="141" spans="6:50" ht="15" thickBot="1" x14ac:dyDescent="0.35">
      <c r="J141" s="156">
        <f>SUM(J3:J139)</f>
        <v>85208</v>
      </c>
      <c r="R141" s="200"/>
      <c r="S141" s="200"/>
      <c r="T141" s="201">
        <f>T89+T105+T116+T139</f>
        <v>-32310</v>
      </c>
      <c r="W141" s="200"/>
      <c r="X141" s="200"/>
      <c r="Y141" s="201">
        <f>Y89+Y105+Y116+Y139</f>
        <v>10960</v>
      </c>
      <c r="AB141" s="200"/>
      <c r="AC141" s="200"/>
      <c r="AD141" s="201">
        <f>AD89+AD105+AD116+AD139</f>
        <v>-49900</v>
      </c>
      <c r="AE141" s="195"/>
      <c r="AF141" s="200"/>
      <c r="AG141" s="200"/>
      <c r="AH141" s="201">
        <f>AH89+AH105+AH116+AH139</f>
        <v>-53800</v>
      </c>
      <c r="AJ141" s="200"/>
      <c r="AK141" s="200"/>
      <c r="AL141" s="201">
        <f>AL89+AL105+AL116+AL139</f>
        <v>-199610</v>
      </c>
      <c r="AN141" s="200"/>
      <c r="AO141" s="200"/>
      <c r="AP141" s="201">
        <f>AP89+AP105+AP116+AP139</f>
        <v>-138707</v>
      </c>
      <c r="AR141" s="200"/>
      <c r="AS141" s="200"/>
      <c r="AT141" s="201">
        <f>AT89+AT105+AT116+AT139</f>
        <v>-82240</v>
      </c>
      <c r="AV141" s="200"/>
      <c r="AW141" s="200"/>
      <c r="AX141" s="201">
        <f>AX89+AX105+AX116+AX139</f>
        <v>-132821</v>
      </c>
    </row>
    <row r="142" spans="6:50" ht="15" thickTop="1" x14ac:dyDescent="0.3"/>
    <row r="143" spans="6:50" x14ac:dyDescent="0.3">
      <c r="R143" s="104" t="s">
        <v>163</v>
      </c>
      <c r="S143" s="104" t="s">
        <v>303</v>
      </c>
      <c r="T143" s="151">
        <v>11000</v>
      </c>
      <c r="Y143" s="74"/>
      <c r="AB143" t="s">
        <v>544</v>
      </c>
      <c r="AC143" s="209" t="s">
        <v>545</v>
      </c>
      <c r="AD143" s="61">
        <v>22000</v>
      </c>
      <c r="AE143" s="61"/>
      <c r="AF143" t="s">
        <v>603</v>
      </c>
      <c r="AG143" s="209" t="s">
        <v>600</v>
      </c>
      <c r="AH143" s="61">
        <v>34000</v>
      </c>
      <c r="AJ143" t="s">
        <v>743</v>
      </c>
      <c r="AK143" s="77">
        <v>45382</v>
      </c>
      <c r="AL143" s="151">
        <f>5500*3</f>
        <v>16500</v>
      </c>
      <c r="AN143" t="s">
        <v>1008</v>
      </c>
      <c r="AO143" s="77">
        <v>45473</v>
      </c>
      <c r="AP143" s="151">
        <f>5500*3</f>
        <v>16500</v>
      </c>
      <c r="AR143" t="s">
        <v>1110</v>
      </c>
      <c r="AS143" s="77">
        <v>45656</v>
      </c>
      <c r="AT143" s="151">
        <f>5500*6</f>
        <v>33000</v>
      </c>
      <c r="AV143" t="s">
        <v>1165</v>
      </c>
      <c r="AW143" s="77">
        <v>45671</v>
      </c>
      <c r="AX143" s="151">
        <v>36000</v>
      </c>
    </row>
    <row r="144" spans="6:50" x14ac:dyDescent="0.3">
      <c r="R144" s="104" t="s">
        <v>165</v>
      </c>
      <c r="S144" s="104" t="s">
        <v>303</v>
      </c>
      <c r="T144" s="151">
        <v>5000</v>
      </c>
      <c r="AB144" t="s">
        <v>481</v>
      </c>
      <c r="AC144" s="208">
        <v>45022</v>
      </c>
      <c r="AD144" s="61">
        <v>11000</v>
      </c>
      <c r="AE144" s="61"/>
      <c r="AF144" t="s">
        <v>599</v>
      </c>
      <c r="AG144" s="209" t="s">
        <v>602</v>
      </c>
      <c r="AH144" s="61">
        <f>5500*3</f>
        <v>16500</v>
      </c>
      <c r="AJ144" t="s">
        <v>744</v>
      </c>
      <c r="AK144" s="77">
        <v>45309</v>
      </c>
      <c r="AL144" s="151">
        <v>28000</v>
      </c>
      <c r="AN144" t="s">
        <v>880</v>
      </c>
      <c r="AO144" s="77">
        <v>45411</v>
      </c>
      <c r="AP144" s="151">
        <v>63000</v>
      </c>
      <c r="AR144" t="s">
        <v>1076</v>
      </c>
      <c r="AS144" s="77">
        <v>45573</v>
      </c>
      <c r="AT144" s="151">
        <v>70000</v>
      </c>
      <c r="AV144" t="s">
        <v>1436</v>
      </c>
      <c r="AW144" s="77">
        <v>45869</v>
      </c>
      <c r="AX144" s="151">
        <f>5500*7</f>
        <v>38500</v>
      </c>
    </row>
    <row r="145" spans="15:52" x14ac:dyDescent="0.3">
      <c r="AB145" t="s">
        <v>475</v>
      </c>
      <c r="AC145" s="209">
        <v>45085</v>
      </c>
      <c r="AD145" s="61">
        <v>22000</v>
      </c>
      <c r="AE145" s="61"/>
      <c r="AF145" t="s">
        <v>598</v>
      </c>
      <c r="AG145" s="209" t="s">
        <v>602</v>
      </c>
      <c r="AH145" s="61">
        <f>2500*3</f>
        <v>7500</v>
      </c>
      <c r="AJ145" t="s">
        <v>745</v>
      </c>
      <c r="AK145" s="77">
        <v>45311</v>
      </c>
      <c r="AL145" s="151">
        <f>7500*14</f>
        <v>105000</v>
      </c>
      <c r="AN145" t="s">
        <v>1009</v>
      </c>
      <c r="AO145" s="77">
        <v>45473</v>
      </c>
      <c r="AP145" s="151">
        <f>2500*3</f>
        <v>7500</v>
      </c>
      <c r="AR145" t="s">
        <v>1109</v>
      </c>
      <c r="AS145" s="77">
        <v>45656</v>
      </c>
      <c r="AT145" s="151">
        <f>2500*6</f>
        <v>15000</v>
      </c>
      <c r="AV145" t="s">
        <v>1437</v>
      </c>
      <c r="AW145" s="77">
        <v>45747</v>
      </c>
      <c r="AX145" s="151">
        <v>40000</v>
      </c>
    </row>
    <row r="146" spans="15:52" x14ac:dyDescent="0.3">
      <c r="AB146" t="s">
        <v>476</v>
      </c>
      <c r="AC146" s="209">
        <v>45238</v>
      </c>
      <c r="AD146" s="61">
        <v>33000</v>
      </c>
      <c r="AE146" s="61"/>
      <c r="AF146" t="s">
        <v>604</v>
      </c>
      <c r="AG146" s="209" t="s">
        <v>601</v>
      </c>
      <c r="AH146" s="61">
        <v>30000</v>
      </c>
      <c r="AJ146" t="s">
        <v>806</v>
      </c>
      <c r="AK146" s="77">
        <v>45382</v>
      </c>
      <c r="AL146" s="151">
        <f>2500*3</f>
        <v>7500</v>
      </c>
      <c r="AN146" t="s">
        <v>977</v>
      </c>
      <c r="AO146" s="77">
        <v>45502</v>
      </c>
      <c r="AP146" s="151">
        <v>33000</v>
      </c>
      <c r="AR146" t="s">
        <v>1239</v>
      </c>
      <c r="AS146" s="77">
        <v>45656</v>
      </c>
      <c r="AT146" s="151">
        <v>30000</v>
      </c>
      <c r="AV146" t="s">
        <v>1238</v>
      </c>
      <c r="AW146" s="77">
        <v>45747</v>
      </c>
      <c r="AX146" s="151">
        <f>2500*3</f>
        <v>7500</v>
      </c>
    </row>
    <row r="147" spans="15:52" x14ac:dyDescent="0.3">
      <c r="AB147" t="s">
        <v>477</v>
      </c>
      <c r="AC147" s="209">
        <v>45177</v>
      </c>
      <c r="AD147" s="61">
        <v>32000</v>
      </c>
      <c r="AE147" s="61"/>
      <c r="AG147" s="209"/>
      <c r="AH147" s="61"/>
      <c r="AJ147" t="s">
        <v>759</v>
      </c>
      <c r="AK147" s="77">
        <v>45374</v>
      </c>
      <c r="AL147" s="151">
        <v>28000</v>
      </c>
      <c r="AN147" t="s">
        <v>1011</v>
      </c>
      <c r="AO147" s="77">
        <v>45563</v>
      </c>
      <c r="AP147" s="151">
        <v>30000</v>
      </c>
      <c r="AR147" t="s">
        <v>1124</v>
      </c>
      <c r="AS147" s="77">
        <v>45656</v>
      </c>
      <c r="AT147" s="151">
        <v>25000</v>
      </c>
      <c r="AV147" t="s">
        <v>1434</v>
      </c>
      <c r="AW147" s="77">
        <v>45869</v>
      </c>
      <c r="AX147" s="151">
        <v>10000</v>
      </c>
    </row>
    <row r="148" spans="15:52" ht="15" thickBot="1" x14ac:dyDescent="0.35">
      <c r="AB148" t="s">
        <v>543</v>
      </c>
      <c r="AC148" s="209" t="s">
        <v>545</v>
      </c>
      <c r="AD148" s="241">
        <v>10000</v>
      </c>
      <c r="AE148" s="255"/>
      <c r="AG148" s="209"/>
      <c r="AH148" s="241"/>
      <c r="AK148" s="209"/>
      <c r="AL148" s="241"/>
      <c r="AO148" s="209"/>
      <c r="AP148" s="241"/>
      <c r="AS148" s="209"/>
      <c r="AT148" s="241"/>
      <c r="AW148" s="209"/>
      <c r="AX148" s="241"/>
    </row>
    <row r="149" spans="15:52" x14ac:dyDescent="0.3">
      <c r="R149" s="29" t="s">
        <v>547</v>
      </c>
      <c r="T149" s="195">
        <f>SUM(T143:T148)</f>
        <v>16000</v>
      </c>
      <c r="W149" s="29" t="s">
        <v>547</v>
      </c>
      <c r="Y149" s="195">
        <f>SUM(Y143:Y148)</f>
        <v>0</v>
      </c>
      <c r="AB149" s="29" t="s">
        <v>547</v>
      </c>
      <c r="AD149" s="195">
        <f>SUM(AD143:AD148)</f>
        <v>130000</v>
      </c>
      <c r="AE149" s="195"/>
      <c r="AF149" s="29" t="s">
        <v>547</v>
      </c>
      <c r="AH149" s="195">
        <f>SUM(AH143:AH148)</f>
        <v>88000</v>
      </c>
      <c r="AJ149" s="29" t="s">
        <v>547</v>
      </c>
      <c r="AL149" s="195">
        <f>SUM(AL143:AL148)</f>
        <v>185000</v>
      </c>
      <c r="AN149" s="29" t="s">
        <v>547</v>
      </c>
      <c r="AP149" s="195">
        <f>SUM(AP143:AP148)</f>
        <v>150000</v>
      </c>
      <c r="AR149" s="29" t="s">
        <v>547</v>
      </c>
      <c r="AT149" s="195">
        <f>SUM(AT143:AT148)</f>
        <v>173000</v>
      </c>
      <c r="AV149" s="29" t="s">
        <v>547</v>
      </c>
      <c r="AX149" s="195">
        <f>SUM(AX143:AX148)</f>
        <v>132000</v>
      </c>
    </row>
    <row r="151" spans="15:52" ht="15" thickBot="1" x14ac:dyDescent="0.35">
      <c r="O151" t="s">
        <v>591</v>
      </c>
      <c r="P151" s="74">
        <f>SUM(J3:J39)</f>
        <v>10458</v>
      </c>
      <c r="R151" s="200" t="s">
        <v>548</v>
      </c>
      <c r="S151" s="200"/>
      <c r="T151" s="201">
        <f>T89+T105+T116+T139+T149</f>
        <v>-16310</v>
      </c>
      <c r="W151" s="200" t="s">
        <v>548</v>
      </c>
      <c r="X151" s="200"/>
      <c r="Y151" s="201">
        <f>Y89+Y105+Y116+Y139+Y149</f>
        <v>10960</v>
      </c>
      <c r="AB151" s="200" t="s">
        <v>548</v>
      </c>
      <c r="AC151" s="242"/>
      <c r="AD151" s="201">
        <f>AD89+AD105+AD116+AD139+AD149</f>
        <v>80100</v>
      </c>
      <c r="AE151" s="195"/>
      <c r="AF151" s="200" t="s">
        <v>548</v>
      </c>
      <c r="AG151" s="242"/>
      <c r="AH151" s="201">
        <f>AH89+AH105+AH116+AH139+AH149</f>
        <v>34200</v>
      </c>
      <c r="AJ151" s="200" t="s">
        <v>548</v>
      </c>
      <c r="AK151" s="242"/>
      <c r="AL151" s="201">
        <f>AL89+AL105+AL116+AL139+AL149</f>
        <v>-14610</v>
      </c>
      <c r="AN151" s="200" t="s">
        <v>548</v>
      </c>
      <c r="AO151" s="242"/>
      <c r="AP151" s="201">
        <f>AP89+AP105+AP116+AP139+AP149</f>
        <v>11293</v>
      </c>
      <c r="AR151" s="200" t="s">
        <v>548</v>
      </c>
      <c r="AS151" s="242"/>
      <c r="AT151" s="201">
        <f>AT89+AT105+AT116+AT139+AT149</f>
        <v>90760</v>
      </c>
      <c r="AV151" s="200" t="s">
        <v>548</v>
      </c>
      <c r="AW151" s="242"/>
      <c r="AX151" s="201">
        <f>AX89+AX105+AX116+AX139+AX149</f>
        <v>-821</v>
      </c>
      <c r="AZ151" s="115">
        <f>P151+T151+Y151+AD151+AH151+AL151+AP151+AT151+AX151</f>
        <v>206030</v>
      </c>
    </row>
    <row r="152" spans="15:52" ht="15" thickTop="1" x14ac:dyDescent="0.3"/>
    <row r="153" spans="15:52" x14ac:dyDescent="0.3">
      <c r="AZ153" s="49"/>
    </row>
    <row r="154" spans="15:52" x14ac:dyDescent="0.3">
      <c r="AZ154" s="49"/>
    </row>
    <row r="156" spans="15:52" x14ac:dyDescent="0.3">
      <c r="AZ156" s="74"/>
    </row>
    <row r="158" spans="15:52" x14ac:dyDescent="0.3">
      <c r="AZ158" s="74"/>
    </row>
    <row r="159" spans="15:52" x14ac:dyDescent="0.3">
      <c r="AZ159" s="199"/>
    </row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4E48-765A-4002-8AA4-69A26A2BA575}">
  <sheetPr>
    <pageSetUpPr fitToPage="1"/>
  </sheetPr>
  <dimension ref="B3:DB58"/>
  <sheetViews>
    <sheetView topLeftCell="C26" zoomScale="90" zoomScaleNormal="90" workbookViewId="0">
      <selection activeCell="CT59" sqref="CT59"/>
    </sheetView>
  </sheetViews>
  <sheetFormatPr defaultRowHeight="14.4" x14ac:dyDescent="0.3"/>
  <cols>
    <col min="2" max="2" width="9.109375" customWidth="1"/>
    <col min="3" max="3" width="47.33203125" customWidth="1"/>
    <col min="4" max="4" width="1.21875" customWidth="1"/>
    <col min="5" max="5" width="1.33203125" customWidth="1"/>
    <col min="6" max="6" width="11.21875" hidden="1" customWidth="1"/>
    <col min="7" max="7" width="1.33203125" hidden="1" customWidth="1"/>
    <col min="8" max="8" width="14" hidden="1" customWidth="1"/>
    <col min="9" max="9" width="1.6640625" hidden="1" customWidth="1"/>
    <col min="10" max="10" width="9.5546875" hidden="1" customWidth="1"/>
    <col min="11" max="11" width="1.109375" hidden="1" customWidth="1"/>
    <col min="12" max="12" width="14" hidden="1" customWidth="1"/>
    <col min="13" max="13" width="1.77734375" hidden="1" customWidth="1"/>
    <col min="14" max="14" width="9.5546875" hidden="1" customWidth="1"/>
    <col min="15" max="15" width="1.109375" hidden="1" customWidth="1"/>
    <col min="16" max="16" width="14" hidden="1" customWidth="1"/>
    <col min="17" max="17" width="1.44140625" hidden="1" customWidth="1"/>
    <col min="18" max="18" width="11.6640625" hidden="1" customWidth="1"/>
    <col min="19" max="19" width="1.44140625" hidden="1" customWidth="1"/>
    <col min="20" max="20" width="14" hidden="1" customWidth="1"/>
    <col min="21" max="21" width="1.6640625" hidden="1" customWidth="1"/>
    <col min="22" max="22" width="9.5546875" hidden="1" customWidth="1"/>
    <col min="23" max="23" width="1.33203125" hidden="1" customWidth="1"/>
    <col min="24" max="24" width="14.77734375" hidden="1" customWidth="1"/>
    <col min="25" max="25" width="1.21875" hidden="1" customWidth="1"/>
    <col min="26" max="26" width="9.5546875" hidden="1" customWidth="1"/>
    <col min="27" max="27" width="1.33203125" hidden="1" customWidth="1"/>
    <col min="28" max="28" width="14" hidden="1" customWidth="1"/>
    <col min="29" max="29" width="1.21875" hidden="1" customWidth="1"/>
    <col min="30" max="30" width="15.21875" hidden="1" customWidth="1"/>
    <col min="31" max="31" width="1.33203125" hidden="1" customWidth="1"/>
    <col min="32" max="32" width="14" hidden="1" customWidth="1"/>
    <col min="33" max="33" width="1.21875" hidden="1" customWidth="1"/>
    <col min="34" max="34" width="9.5546875" hidden="1" customWidth="1"/>
    <col min="35" max="35" width="1.21875" hidden="1" customWidth="1"/>
    <col min="36" max="36" width="14" hidden="1" customWidth="1"/>
    <col min="37" max="37" width="1.33203125" hidden="1" customWidth="1"/>
    <col min="38" max="38" width="9.5546875" hidden="1" customWidth="1"/>
    <col min="39" max="39" width="1.44140625" hidden="1" customWidth="1"/>
    <col min="40" max="40" width="14" hidden="1" customWidth="1"/>
    <col min="41" max="41" width="1.33203125" hidden="1" customWidth="1"/>
    <col min="42" max="42" width="11.21875" hidden="1" customWidth="1"/>
    <col min="43" max="43" width="1.33203125" hidden="1" customWidth="1"/>
    <col min="44" max="44" width="14" hidden="1" customWidth="1"/>
    <col min="45" max="45" width="1.44140625" hidden="1" customWidth="1"/>
    <col min="46" max="46" width="9.5546875" hidden="1" customWidth="1"/>
    <col min="47" max="47" width="1.44140625" hidden="1" customWidth="1"/>
    <col min="48" max="48" width="14" hidden="1" customWidth="1"/>
    <col min="49" max="49" width="1.33203125" hidden="1" customWidth="1"/>
    <col min="50" max="50" width="11.21875" hidden="1" customWidth="1"/>
    <col min="51" max="51" width="1.44140625" hidden="1" customWidth="1"/>
    <col min="52" max="52" width="14" hidden="1" customWidth="1"/>
    <col min="53" max="53" width="1.21875" hidden="1" customWidth="1"/>
    <col min="54" max="54" width="15.5546875" hidden="1" customWidth="1"/>
    <col min="55" max="55" width="1.44140625" hidden="1" customWidth="1"/>
    <col min="56" max="56" width="14" hidden="1" customWidth="1"/>
    <col min="57" max="57" width="1.44140625" hidden="1" customWidth="1"/>
    <col min="58" max="58" width="15.77734375" hidden="1" customWidth="1"/>
    <col min="59" max="59" width="1.6640625" hidden="1" customWidth="1"/>
    <col min="60" max="60" width="14" hidden="1" customWidth="1"/>
    <col min="61" max="61" width="1.21875" hidden="1" customWidth="1"/>
    <col min="62" max="62" width="14.21875" hidden="1" customWidth="1"/>
    <col min="63" max="63" width="1.6640625" hidden="1" customWidth="1"/>
    <col min="64" max="64" width="14" hidden="1" customWidth="1"/>
    <col min="65" max="65" width="1.21875" hidden="1" customWidth="1"/>
    <col min="66" max="66" width="13" hidden="1" customWidth="1"/>
    <col min="67" max="67" width="1.6640625" hidden="1" customWidth="1"/>
    <col min="68" max="68" width="14" hidden="1" customWidth="1"/>
    <col min="69" max="69" width="1.33203125" hidden="1" customWidth="1"/>
    <col min="70" max="70" width="11.5546875" hidden="1" customWidth="1"/>
    <col min="71" max="71" width="1.21875" hidden="1" customWidth="1"/>
    <col min="72" max="72" width="14" hidden="1" customWidth="1"/>
    <col min="73" max="73" width="1.21875" hidden="1" customWidth="1"/>
    <col min="74" max="74" width="13.77734375" hidden="1" customWidth="1"/>
    <col min="75" max="75" width="1.6640625" hidden="1" customWidth="1"/>
    <col min="76" max="76" width="13.77734375" hidden="1" customWidth="1"/>
    <col min="77" max="77" width="1.21875" hidden="1" customWidth="1"/>
    <col min="78" max="78" width="11.5546875" bestFit="1" customWidth="1"/>
    <col min="79" max="79" width="1.44140625" customWidth="1"/>
    <col min="80" max="80" width="13.5546875" bestFit="1" customWidth="1"/>
    <col min="81" max="81" width="1.109375" customWidth="1"/>
    <col min="82" max="82" width="11.5546875" bestFit="1" customWidth="1"/>
    <col min="83" max="83" width="1.6640625" customWidth="1"/>
    <col min="84" max="84" width="13.5546875" bestFit="1" customWidth="1"/>
    <col min="85" max="85" width="0.88671875" customWidth="1"/>
    <col min="86" max="86" width="11.5546875" bestFit="1" customWidth="1"/>
    <col min="87" max="87" width="1.33203125" customWidth="1"/>
    <col min="88" max="88" width="13.5546875" bestFit="1" customWidth="1"/>
    <col min="89" max="89" width="1.109375" customWidth="1"/>
    <col min="90" max="90" width="11.5546875" bestFit="1" customWidth="1"/>
    <col min="91" max="91" width="1.5546875" customWidth="1"/>
    <col min="92" max="92" width="13.5546875" bestFit="1" customWidth="1"/>
    <col min="93" max="93" width="1.109375" customWidth="1"/>
    <col min="94" max="94" width="11.5546875" bestFit="1" customWidth="1"/>
    <col min="95" max="95" width="1.6640625" customWidth="1"/>
    <col min="96" max="96" width="13.5546875" bestFit="1" customWidth="1"/>
    <col min="97" max="97" width="1.44140625" customWidth="1"/>
    <col min="98" max="98" width="9.88671875" bestFit="1" customWidth="1"/>
    <col min="99" max="99" width="1.44140625" customWidth="1"/>
    <col min="100" max="100" width="13.5546875" bestFit="1" customWidth="1"/>
    <col min="101" max="101" width="1.21875" customWidth="1"/>
    <col min="102" max="102" width="11.5546875" hidden="1" customWidth="1"/>
    <col min="103" max="103" width="0" hidden="1" customWidth="1"/>
    <col min="104" max="104" width="1.44140625" hidden="1" customWidth="1"/>
    <col min="105" max="105" width="0" hidden="1" customWidth="1"/>
    <col min="106" max="106" width="0.109375" customWidth="1"/>
  </cols>
  <sheetData>
    <row r="3" spans="2:104" ht="23.4" x14ac:dyDescent="0.45">
      <c r="B3" s="57" t="s">
        <v>0</v>
      </c>
      <c r="C3" s="58"/>
    </row>
    <row r="4" spans="2:104" ht="23.4" x14ac:dyDescent="0.45">
      <c r="B4" s="57" t="s">
        <v>1446</v>
      </c>
      <c r="C4" s="58"/>
    </row>
    <row r="5" spans="2:104" ht="11.4" customHeight="1" x14ac:dyDescent="0.45">
      <c r="B5" s="57"/>
      <c r="C5" s="58"/>
    </row>
    <row r="6" spans="2:104" ht="23.4" x14ac:dyDescent="0.45">
      <c r="B6" s="57"/>
      <c r="C6" s="58"/>
      <c r="D6" s="90"/>
      <c r="E6" s="76"/>
      <c r="F6" s="571">
        <v>45292</v>
      </c>
      <c r="G6" s="571"/>
      <c r="H6" s="571"/>
      <c r="I6" s="72"/>
      <c r="J6" s="571">
        <v>45323</v>
      </c>
      <c r="K6" s="571"/>
      <c r="L6" s="571"/>
      <c r="M6" s="72"/>
      <c r="N6" s="571">
        <v>45352</v>
      </c>
      <c r="O6" s="571"/>
      <c r="P6" s="571"/>
      <c r="Q6" s="72"/>
      <c r="R6" s="571">
        <v>45383</v>
      </c>
      <c r="S6" s="571"/>
      <c r="T6" s="571"/>
      <c r="U6" s="72"/>
      <c r="V6" s="571">
        <v>45413</v>
      </c>
      <c r="W6" s="571"/>
      <c r="X6" s="571"/>
      <c r="Y6" s="72"/>
      <c r="Z6" s="571">
        <v>45444</v>
      </c>
      <c r="AA6" s="571"/>
      <c r="AB6" s="571"/>
      <c r="AC6" s="72"/>
      <c r="AD6" s="571">
        <v>45474</v>
      </c>
      <c r="AE6" s="571"/>
      <c r="AF6" s="571"/>
      <c r="AG6" s="72"/>
      <c r="AH6" s="571">
        <v>45505</v>
      </c>
      <c r="AI6" s="571"/>
      <c r="AJ6" s="571"/>
      <c r="AK6" s="72"/>
      <c r="AL6" s="571">
        <v>45536</v>
      </c>
      <c r="AM6" s="571"/>
      <c r="AN6" s="571"/>
      <c r="AO6" s="72"/>
      <c r="AP6" s="571">
        <v>45566</v>
      </c>
      <c r="AQ6" s="571"/>
      <c r="AR6" s="571"/>
      <c r="AS6" s="72"/>
      <c r="AT6" s="571">
        <v>45597</v>
      </c>
      <c r="AU6" s="571"/>
      <c r="AV6" s="571"/>
      <c r="AW6" s="72"/>
      <c r="AX6" s="571">
        <v>45627</v>
      </c>
      <c r="AY6" s="571"/>
      <c r="AZ6" s="571"/>
      <c r="BA6" s="72"/>
      <c r="BB6" s="571">
        <v>45658</v>
      </c>
      <c r="BC6" s="571"/>
      <c r="BD6" s="571"/>
      <c r="BE6" s="72"/>
      <c r="BF6" s="571">
        <v>45689</v>
      </c>
      <c r="BG6" s="571"/>
      <c r="BH6" s="571"/>
      <c r="BI6" s="72"/>
      <c r="BJ6" s="571">
        <v>45717</v>
      </c>
      <c r="BK6" s="571"/>
      <c r="BL6" s="571"/>
      <c r="BM6" s="72"/>
      <c r="BN6" s="571">
        <v>45748</v>
      </c>
      <c r="BO6" s="571"/>
      <c r="BP6" s="571"/>
      <c r="BQ6" s="72"/>
      <c r="BR6" s="571">
        <v>45778</v>
      </c>
      <c r="BS6" s="571"/>
      <c r="BT6" s="571"/>
      <c r="BU6" s="72"/>
      <c r="BV6" s="571">
        <v>45809</v>
      </c>
      <c r="BW6" s="571"/>
      <c r="BX6" s="571"/>
      <c r="BY6" s="72"/>
      <c r="BZ6" s="571">
        <v>45839</v>
      </c>
      <c r="CA6" s="571"/>
      <c r="CB6" s="571"/>
      <c r="CC6" s="72"/>
      <c r="CD6" s="571">
        <v>45870</v>
      </c>
      <c r="CE6" s="571"/>
      <c r="CF6" s="571"/>
      <c r="CG6" s="72"/>
      <c r="CH6" s="571">
        <v>45901</v>
      </c>
      <c r="CI6" s="571"/>
      <c r="CJ6" s="571"/>
      <c r="CK6" s="72"/>
      <c r="CL6" s="571">
        <v>45931</v>
      </c>
      <c r="CM6" s="571"/>
      <c r="CN6" s="571"/>
      <c r="CO6" s="72"/>
      <c r="CP6" s="571">
        <v>45962</v>
      </c>
      <c r="CQ6" s="571"/>
      <c r="CR6" s="571"/>
      <c r="CS6" s="72"/>
      <c r="CT6" s="571">
        <v>45992</v>
      </c>
      <c r="CU6" s="571"/>
      <c r="CV6" s="571"/>
      <c r="CW6" s="72"/>
      <c r="CX6" s="571" t="s">
        <v>8</v>
      </c>
      <c r="CY6" s="571"/>
      <c r="CZ6" s="72"/>
    </row>
    <row r="7" spans="2:104" ht="23.4" x14ac:dyDescent="0.45">
      <c r="B7" s="57"/>
      <c r="D7" s="72"/>
      <c r="E7" s="76"/>
      <c r="I7" s="72"/>
      <c r="M7" s="72"/>
      <c r="Q7" s="72"/>
      <c r="U7" s="72"/>
      <c r="Y7" s="72"/>
      <c r="AC7" s="72"/>
      <c r="AG7" s="72"/>
      <c r="AK7" s="72"/>
      <c r="AO7" s="72"/>
      <c r="AS7" s="72"/>
      <c r="AW7" s="72"/>
      <c r="BA7" s="72"/>
      <c r="BE7" s="72"/>
      <c r="BI7" s="72"/>
      <c r="BM7" s="72"/>
      <c r="BQ7" s="72"/>
      <c r="BU7" s="72"/>
      <c r="BY7" s="72"/>
      <c r="CC7" s="72"/>
      <c r="CG7" s="72"/>
      <c r="CK7" s="72"/>
      <c r="CO7" s="72"/>
      <c r="CS7" s="72"/>
      <c r="CW7" s="72"/>
      <c r="CY7" s="76"/>
      <c r="CZ7" s="72"/>
    </row>
    <row r="8" spans="2:104" ht="18.600000000000001" thickBot="1" x14ac:dyDescent="0.4">
      <c r="B8" s="35" t="s">
        <v>28</v>
      </c>
      <c r="C8" s="35"/>
      <c r="D8" s="72"/>
      <c r="E8" s="76"/>
      <c r="F8" s="55"/>
      <c r="G8" s="172"/>
      <c r="H8" s="56">
        <v>4082138</v>
      </c>
      <c r="I8" s="72"/>
      <c r="J8" s="55"/>
      <c r="K8" s="172"/>
      <c r="L8" s="56">
        <f>+H52</f>
        <v>5868083</v>
      </c>
      <c r="M8" s="72"/>
      <c r="N8" s="55"/>
      <c r="O8" s="172"/>
      <c r="P8" s="56">
        <f>+L52</f>
        <v>5402512</v>
      </c>
      <c r="Q8" s="72"/>
      <c r="R8" s="55"/>
      <c r="S8" s="172"/>
      <c r="T8" s="56">
        <f>+P52</f>
        <v>4906871</v>
      </c>
      <c r="U8" s="72"/>
      <c r="V8" s="55"/>
      <c r="W8" s="172"/>
      <c r="X8" s="56">
        <f>+T52</f>
        <v>6708131.5</v>
      </c>
      <c r="Y8" s="72"/>
      <c r="Z8" s="55"/>
      <c r="AA8" s="172"/>
      <c r="AB8" s="56">
        <f>+X52</f>
        <v>6335031.5</v>
      </c>
      <c r="AC8" s="72"/>
      <c r="AD8" s="55"/>
      <c r="AE8" s="172"/>
      <c r="AF8" s="56">
        <f>+AB52</f>
        <v>5916397.5</v>
      </c>
      <c r="AG8" s="72"/>
      <c r="AH8" s="55"/>
      <c r="AI8" s="172"/>
      <c r="AJ8" s="56">
        <f>+AF52</f>
        <v>7296569.5</v>
      </c>
      <c r="AK8" s="72"/>
      <c r="AL8" s="55"/>
      <c r="AM8" s="172"/>
      <c r="AN8" s="56">
        <f>+AJ52</f>
        <v>6644905.5</v>
      </c>
      <c r="AO8" s="72"/>
      <c r="AP8" s="55"/>
      <c r="AQ8" s="172"/>
      <c r="AR8" s="56">
        <f>+AN52</f>
        <v>6393275.5</v>
      </c>
      <c r="AS8" s="72"/>
      <c r="AT8" s="55"/>
      <c r="AU8" s="172"/>
      <c r="AV8" s="56">
        <f>+AR52</f>
        <v>8088340.5</v>
      </c>
      <c r="AW8" s="72"/>
      <c r="AX8" s="55"/>
      <c r="AY8" s="172"/>
      <c r="AZ8" s="56">
        <f>+AV52</f>
        <v>7578686.5</v>
      </c>
      <c r="BA8" s="72"/>
      <c r="BB8" s="55"/>
      <c r="BC8" s="172"/>
      <c r="BD8" s="56">
        <f>+AZ52</f>
        <v>7140404.5</v>
      </c>
      <c r="BE8" s="72"/>
      <c r="BF8" s="55"/>
      <c r="BG8" s="172"/>
      <c r="BH8" s="56">
        <f>+BD52</f>
        <v>8934190.5</v>
      </c>
      <c r="BI8" s="72"/>
      <c r="BJ8" s="55"/>
      <c r="BK8" s="172"/>
      <c r="BL8" s="56">
        <f>+BH52</f>
        <v>8376862.5</v>
      </c>
      <c r="BM8" s="72"/>
      <c r="BN8" s="55"/>
      <c r="BO8" s="172"/>
      <c r="BP8" s="56">
        <f>+BL52</f>
        <v>7269104.5</v>
      </c>
      <c r="BQ8" s="72"/>
      <c r="BR8" s="55"/>
      <c r="BS8" s="172"/>
      <c r="BT8" s="56">
        <f>+BP52</f>
        <v>6903791.5</v>
      </c>
      <c r="BU8" s="72"/>
      <c r="BV8" s="55"/>
      <c r="BW8" s="172"/>
      <c r="BX8" s="56">
        <f>+BT52</f>
        <v>8155264.125</v>
      </c>
      <c r="BY8" s="72"/>
      <c r="BZ8" s="55"/>
      <c r="CA8" s="172"/>
      <c r="CB8" s="56">
        <f>+BX52</f>
        <v>7555206.125</v>
      </c>
      <c r="CC8" s="72"/>
      <c r="CD8" s="55"/>
      <c r="CE8" s="172"/>
      <c r="CF8" s="56">
        <f>+CB52</f>
        <v>3819671.125</v>
      </c>
      <c r="CG8" s="72"/>
      <c r="CH8" s="55"/>
      <c r="CI8" s="172"/>
      <c r="CJ8" s="56">
        <f>+CF52</f>
        <v>6119099.125</v>
      </c>
      <c r="CK8" s="72"/>
      <c r="CL8" s="55"/>
      <c r="CM8" s="172"/>
      <c r="CN8" s="56">
        <f>+CJ52</f>
        <v>6605867.125</v>
      </c>
      <c r="CO8" s="72"/>
      <c r="CP8" s="55"/>
      <c r="CQ8" s="172"/>
      <c r="CR8" s="56">
        <f>+CN52</f>
        <v>6121029.125</v>
      </c>
      <c r="CS8" s="72"/>
      <c r="CT8" s="55"/>
      <c r="CU8" s="172"/>
      <c r="CV8" s="56">
        <f>+CR52</f>
        <v>6154187.125</v>
      </c>
      <c r="CW8" s="72"/>
      <c r="CX8" s="55"/>
      <c r="CY8" s="172"/>
      <c r="CZ8" s="72"/>
    </row>
    <row r="9" spans="2:104" x14ac:dyDescent="0.3">
      <c r="D9" s="72"/>
      <c r="E9" s="76"/>
      <c r="F9" s="49"/>
      <c r="G9" s="111"/>
      <c r="H9" s="49"/>
      <c r="I9" s="72"/>
      <c r="J9" s="49"/>
      <c r="K9" s="111"/>
      <c r="L9" s="49"/>
      <c r="M9" s="72"/>
      <c r="N9" s="49"/>
      <c r="O9" s="111"/>
      <c r="P9" s="49"/>
      <c r="Q9" s="72"/>
      <c r="R9" s="49"/>
      <c r="S9" s="111"/>
      <c r="T9" s="49"/>
      <c r="U9" s="72"/>
      <c r="V9" s="49"/>
      <c r="W9" s="111"/>
      <c r="X9" s="49"/>
      <c r="Y9" s="72"/>
      <c r="Z9" s="49"/>
      <c r="AA9" s="111"/>
      <c r="AB9" s="49"/>
      <c r="AC9" s="72"/>
      <c r="AD9" s="49"/>
      <c r="AE9" s="111"/>
      <c r="AF9" s="49"/>
      <c r="AG9" s="72"/>
      <c r="AH9" s="49"/>
      <c r="AI9" s="111"/>
      <c r="AJ9" s="49"/>
      <c r="AK9" s="72"/>
      <c r="AL9" s="49"/>
      <c r="AM9" s="111"/>
      <c r="AN9" s="49"/>
      <c r="AO9" s="72"/>
      <c r="AP9" s="49"/>
      <c r="AQ9" s="111"/>
      <c r="AR9" s="49"/>
      <c r="AS9" s="72"/>
      <c r="AT9" s="49"/>
      <c r="AU9" s="111"/>
      <c r="AV9" s="49"/>
      <c r="AW9" s="72"/>
      <c r="AX9" s="49"/>
      <c r="AY9" s="111"/>
      <c r="AZ9" s="49"/>
      <c r="BA9" s="72"/>
      <c r="BB9" s="49"/>
      <c r="BC9" s="111"/>
      <c r="BD9" s="49"/>
      <c r="BE9" s="72"/>
      <c r="BF9" s="49"/>
      <c r="BG9" s="111"/>
      <c r="BH9" s="49"/>
      <c r="BI9" s="72"/>
      <c r="BJ9" s="49"/>
      <c r="BK9" s="111"/>
      <c r="BL9" s="49"/>
      <c r="BM9" s="72"/>
      <c r="BN9" s="49"/>
      <c r="BO9" s="111"/>
      <c r="BP9" s="49"/>
      <c r="BQ9" s="72"/>
      <c r="BR9" s="49"/>
      <c r="BS9" s="111"/>
      <c r="BT9" s="49"/>
      <c r="BU9" s="72"/>
      <c r="BV9" s="49"/>
      <c r="BW9" s="111"/>
      <c r="BX9" s="49"/>
      <c r="BY9" s="72"/>
      <c r="BZ9" s="49"/>
      <c r="CA9" s="111"/>
      <c r="CB9" s="49"/>
      <c r="CC9" s="72"/>
      <c r="CD9" s="49"/>
      <c r="CE9" s="111"/>
      <c r="CF9" s="49"/>
      <c r="CG9" s="72"/>
      <c r="CH9" s="49"/>
      <c r="CI9" s="111"/>
      <c r="CJ9" s="49"/>
      <c r="CK9" s="72"/>
      <c r="CL9" s="49"/>
      <c r="CM9" s="111"/>
      <c r="CN9" s="49"/>
      <c r="CO9" s="72"/>
      <c r="CP9" s="49"/>
      <c r="CQ9" s="111"/>
      <c r="CR9" s="49"/>
      <c r="CS9" s="72"/>
      <c r="CT9" s="49"/>
      <c r="CU9" s="111"/>
      <c r="CV9" s="49"/>
      <c r="CW9" s="72"/>
      <c r="CX9" s="49"/>
      <c r="CY9" s="111"/>
      <c r="CZ9" s="72"/>
    </row>
    <row r="10" spans="2:104" ht="15.6" x14ac:dyDescent="0.3">
      <c r="B10" s="36" t="s">
        <v>23</v>
      </c>
      <c r="D10" s="72"/>
      <c r="E10" s="76"/>
      <c r="F10" s="49"/>
      <c r="G10" s="111"/>
      <c r="H10" s="49"/>
      <c r="I10" s="72"/>
      <c r="J10" s="49"/>
      <c r="K10" s="111"/>
      <c r="L10" s="49"/>
      <c r="M10" s="72"/>
      <c r="N10" s="49"/>
      <c r="O10" s="111"/>
      <c r="P10" s="49"/>
      <c r="Q10" s="72"/>
      <c r="R10" s="49"/>
      <c r="S10" s="111"/>
      <c r="T10" s="49"/>
      <c r="U10" s="72"/>
      <c r="V10" s="49"/>
      <c r="W10" s="111"/>
      <c r="X10" s="49"/>
      <c r="Y10" s="72"/>
      <c r="Z10" s="49"/>
      <c r="AA10" s="111"/>
      <c r="AB10" s="49"/>
      <c r="AC10" s="72"/>
      <c r="AD10" s="49"/>
      <c r="AE10" s="111"/>
      <c r="AF10" s="49"/>
      <c r="AG10" s="72"/>
      <c r="AH10" s="49"/>
      <c r="AI10" s="111"/>
      <c r="AJ10" s="49"/>
      <c r="AK10" s="72"/>
      <c r="AL10" s="49"/>
      <c r="AM10" s="111"/>
      <c r="AN10" s="49"/>
      <c r="AO10" s="72"/>
      <c r="AP10" s="49"/>
      <c r="AQ10" s="111"/>
      <c r="AR10" s="49"/>
      <c r="AS10" s="72"/>
      <c r="AT10" s="49"/>
      <c r="AU10" s="111"/>
      <c r="AV10" s="49"/>
      <c r="AW10" s="72"/>
      <c r="AX10" s="49"/>
      <c r="AY10" s="111"/>
      <c r="AZ10" s="49"/>
      <c r="BA10" s="72"/>
      <c r="BB10" s="49"/>
      <c r="BC10" s="111"/>
      <c r="BD10" s="49"/>
      <c r="BE10" s="72"/>
      <c r="BF10" s="49"/>
      <c r="BG10" s="111"/>
      <c r="BH10" s="49"/>
      <c r="BI10" s="72"/>
      <c r="BJ10" s="49"/>
      <c r="BK10" s="111"/>
      <c r="BL10" s="49"/>
      <c r="BM10" s="72"/>
      <c r="BN10" s="49"/>
      <c r="BO10" s="111"/>
      <c r="BP10" s="49"/>
      <c r="BQ10" s="72"/>
      <c r="BR10" s="49"/>
      <c r="BS10" s="111"/>
      <c r="BT10" s="49"/>
      <c r="BU10" s="72"/>
      <c r="BV10" s="49"/>
      <c r="BW10" s="111"/>
      <c r="BX10" s="49"/>
      <c r="BY10" s="72"/>
      <c r="BZ10" s="49"/>
      <c r="CA10" s="111"/>
      <c r="CB10" s="49"/>
      <c r="CC10" s="72"/>
      <c r="CD10" s="49"/>
      <c r="CE10" s="111"/>
      <c r="CF10" s="49"/>
      <c r="CG10" s="72"/>
      <c r="CH10" s="49"/>
      <c r="CI10" s="111"/>
      <c r="CJ10" s="49"/>
      <c r="CK10" s="72"/>
      <c r="CL10" s="49"/>
      <c r="CM10" s="111"/>
      <c r="CN10" s="49"/>
      <c r="CO10" s="72"/>
      <c r="CP10" s="49"/>
      <c r="CQ10" s="111"/>
      <c r="CR10" s="49"/>
      <c r="CS10" s="72"/>
      <c r="CT10" s="49"/>
      <c r="CU10" s="111"/>
      <c r="CV10" s="49"/>
      <c r="CW10" s="72"/>
      <c r="CX10" s="49"/>
      <c r="CY10" s="111"/>
      <c r="CZ10" s="72"/>
    </row>
    <row r="11" spans="2:104" x14ac:dyDescent="0.3">
      <c r="C11" t="s">
        <v>24</v>
      </c>
      <c r="D11" s="72"/>
      <c r="E11" s="76"/>
      <c r="F11" s="52">
        <f>+'Recpt 2025'!AP58</f>
        <v>477000</v>
      </c>
      <c r="G11" s="111"/>
      <c r="H11" s="49"/>
      <c r="I11" s="72"/>
      <c r="J11" s="52">
        <f>+'Recpt 2025'!AS58</f>
        <v>185500</v>
      </c>
      <c r="K11" s="111"/>
      <c r="L11" s="49"/>
      <c r="M11" s="72"/>
      <c r="N11" s="52">
        <f>+'Recpt 2025'!AV58</f>
        <v>213000</v>
      </c>
      <c r="O11" s="111"/>
      <c r="P11" s="49"/>
      <c r="Q11" s="72"/>
      <c r="R11" s="52">
        <f>+'Recpt 2025'!AY58</f>
        <v>376500</v>
      </c>
      <c r="S11" s="111"/>
      <c r="T11" s="49"/>
      <c r="U11" s="72"/>
      <c r="V11" s="52">
        <f>+'Recpt 2025'!BB58</f>
        <v>161000</v>
      </c>
      <c r="W11" s="111"/>
      <c r="X11" s="49"/>
      <c r="Y11" s="72"/>
      <c r="Z11" s="52">
        <f>+'Recpt 2025'!BE58</f>
        <v>249500</v>
      </c>
      <c r="AA11" s="111"/>
      <c r="AB11" s="49"/>
      <c r="AC11" s="72"/>
      <c r="AD11" s="52">
        <f>+'Recpt 2025'!BH58</f>
        <v>173500</v>
      </c>
      <c r="AE11" s="111"/>
      <c r="AF11" s="49"/>
      <c r="AG11" s="72"/>
      <c r="AH11" s="52">
        <f>+'Recpt 2025'!BK58</f>
        <v>179000</v>
      </c>
      <c r="AI11" s="111"/>
      <c r="AJ11" s="49"/>
      <c r="AK11" s="72"/>
      <c r="AL11" s="52">
        <f>+'Recpt 2025'!BN58</f>
        <v>290500</v>
      </c>
      <c r="AM11" s="111"/>
      <c r="AN11" s="49"/>
      <c r="AO11" s="72"/>
      <c r="AP11" s="52">
        <f>+'Recpt 2025'!BQ58</f>
        <v>254500</v>
      </c>
      <c r="AQ11" s="111"/>
      <c r="AR11" s="49"/>
      <c r="AS11" s="72"/>
      <c r="AT11" s="52">
        <f>+'Recpt 2025'!BT58</f>
        <v>206500</v>
      </c>
      <c r="AU11" s="111"/>
      <c r="AV11" s="49"/>
      <c r="AW11" s="72"/>
      <c r="AX11" s="52">
        <f>+'Recpt 2025'!BW58</f>
        <v>406000</v>
      </c>
      <c r="AY11" s="111"/>
      <c r="AZ11" s="49"/>
      <c r="BA11" s="72"/>
      <c r="BB11" s="52">
        <f>+'Recpt 2025'!CA58</f>
        <v>264500</v>
      </c>
      <c r="BC11" s="111"/>
      <c r="BD11" s="49"/>
      <c r="BE11" s="72"/>
      <c r="BF11" s="52">
        <f>+'Recpt 2025'!CD58</f>
        <v>161000</v>
      </c>
      <c r="BG11" s="111"/>
      <c r="BH11" s="49"/>
      <c r="BI11" s="72"/>
      <c r="BJ11" s="52">
        <f>+'Recpt 2025'!CG58</f>
        <v>257000</v>
      </c>
      <c r="BK11" s="111"/>
      <c r="BL11" s="49"/>
      <c r="BM11" s="72"/>
      <c r="BN11" s="52">
        <f>+'Recpt 2025'!CJ58</f>
        <v>120500</v>
      </c>
      <c r="BO11" s="111"/>
      <c r="BP11" s="49"/>
      <c r="BQ11" s="72"/>
      <c r="BR11" s="52">
        <f>+'Recpt 2025'!CM58</f>
        <v>157500</v>
      </c>
      <c r="BS11" s="111"/>
      <c r="BT11" s="49"/>
      <c r="BU11" s="72"/>
      <c r="BV11" s="52">
        <f>+'Recpt 2025'!CP58</f>
        <v>215500</v>
      </c>
      <c r="BW11" s="111"/>
      <c r="BX11" s="49"/>
      <c r="BY11" s="72"/>
      <c r="BZ11" s="52">
        <f>+'Recpt 2025'!CS58</f>
        <v>370500</v>
      </c>
      <c r="CA11" s="111"/>
      <c r="CB11" s="49"/>
      <c r="CC11" s="72"/>
      <c r="CD11" s="52">
        <f>+'Recpt 2025'!CV58</f>
        <v>912000</v>
      </c>
      <c r="CE11" s="111"/>
      <c r="CF11" s="49"/>
      <c r="CG11" s="72"/>
      <c r="CH11" s="52">
        <f>+'Recpt 2025'!CY58</f>
        <v>300500</v>
      </c>
      <c r="CI11" s="111"/>
      <c r="CJ11" s="49"/>
      <c r="CK11" s="72"/>
      <c r="CL11" s="52">
        <f>+'Recpt 2025'!DB58</f>
        <v>232500</v>
      </c>
      <c r="CM11" s="111"/>
      <c r="CN11" s="49"/>
      <c r="CO11" s="72"/>
      <c r="CP11" s="52">
        <f>+'Recpt 2025'!DE58</f>
        <v>200000</v>
      </c>
      <c r="CQ11" s="111"/>
      <c r="CR11" s="49"/>
      <c r="CS11" s="72"/>
      <c r="CT11" s="52">
        <f>+'Recpt 2025'!DH58</f>
        <v>163001</v>
      </c>
      <c r="CU11" s="111"/>
      <c r="CV11" s="49"/>
      <c r="CW11" s="72"/>
      <c r="CX11" s="52">
        <f>+BB11+BF11+BJ11+BN11+BR11+BV11+BZ11+CD11</f>
        <v>2458500</v>
      </c>
      <c r="CY11" s="111"/>
      <c r="CZ11" s="72"/>
    </row>
    <row r="12" spans="2:104" x14ac:dyDescent="0.3">
      <c r="C12" t="s">
        <v>146</v>
      </c>
      <c r="D12" s="72"/>
      <c r="E12" s="76"/>
      <c r="F12" s="52">
        <f>+'Recpt 2025'!AP61</f>
        <v>15000</v>
      </c>
      <c r="G12" s="111"/>
      <c r="H12" s="49"/>
      <c r="I12" s="72"/>
      <c r="J12" s="52">
        <f>+'Recpt 2025'!AS61</f>
        <v>15000</v>
      </c>
      <c r="K12" s="111"/>
      <c r="L12" s="49"/>
      <c r="M12" s="72"/>
      <c r="N12" s="52">
        <v>0</v>
      </c>
      <c r="O12" s="111"/>
      <c r="P12" s="49"/>
      <c r="Q12" s="72"/>
      <c r="R12" s="52">
        <f>+'Recpt 2025'!AY61</f>
        <v>0</v>
      </c>
      <c r="S12" s="111"/>
      <c r="T12" s="49"/>
      <c r="U12" s="72"/>
      <c r="V12" s="52">
        <v>0</v>
      </c>
      <c r="W12" s="111"/>
      <c r="X12" s="49"/>
      <c r="Y12" s="72"/>
      <c r="Z12" s="52">
        <f>+'Recpt 2025'!BE61</f>
        <v>30000</v>
      </c>
      <c r="AA12" s="111"/>
      <c r="AB12" s="49"/>
      <c r="AC12" s="72"/>
      <c r="AD12" s="52">
        <f>+'Recpt 2025'!BH61</f>
        <v>0</v>
      </c>
      <c r="AE12" s="111"/>
      <c r="AF12" s="49"/>
      <c r="AG12" s="72"/>
      <c r="AH12" s="52">
        <f>+'Recpt 2025'!BL61</f>
        <v>0</v>
      </c>
      <c r="AI12" s="111"/>
      <c r="AJ12" s="49"/>
      <c r="AK12" s="72"/>
      <c r="AL12" s="52">
        <f>+'Recpt 2025'!BN61</f>
        <v>0</v>
      </c>
      <c r="AM12" s="111"/>
      <c r="AN12" s="49"/>
      <c r="AO12" s="72"/>
      <c r="AP12" s="52">
        <f>+'Recpt 2025'!BQ61</f>
        <v>0</v>
      </c>
      <c r="AQ12" s="111"/>
      <c r="AR12" s="49"/>
      <c r="AS12" s="72"/>
      <c r="AT12" s="52">
        <f>+'Recpt 2025'!BT61</f>
        <v>15000</v>
      </c>
      <c r="AU12" s="111"/>
      <c r="AV12" s="49"/>
      <c r="AW12" s="72"/>
      <c r="AX12" s="52">
        <f>+'Recpt 2025'!BW61</f>
        <v>0</v>
      </c>
      <c r="AY12" s="111"/>
      <c r="AZ12" s="49"/>
      <c r="BA12" s="72"/>
      <c r="BB12" s="52">
        <f>+'Recpt 2025'!CA61</f>
        <v>0</v>
      </c>
      <c r="BC12" s="111"/>
      <c r="BD12" s="49"/>
      <c r="BE12" s="72"/>
      <c r="BF12" s="52">
        <f>+'Recpt 2025'!CD61</f>
        <v>0</v>
      </c>
      <c r="BG12" s="111"/>
      <c r="BH12" s="49"/>
      <c r="BI12" s="72"/>
      <c r="BJ12" s="52">
        <f>+'Recpt 2025'!CG61</f>
        <v>0</v>
      </c>
      <c r="BK12" s="111"/>
      <c r="BL12" s="49"/>
      <c r="BM12" s="72"/>
      <c r="BN12" s="52">
        <f>+'Recpt 2025'!CJ61</f>
        <v>0</v>
      </c>
      <c r="BO12" s="111"/>
      <c r="BP12" s="49"/>
      <c r="BQ12" s="72"/>
      <c r="BR12" s="52">
        <f>+'Recpt 2025'!CM61</f>
        <v>0</v>
      </c>
      <c r="BS12" s="111"/>
      <c r="BT12" s="49"/>
      <c r="BU12" s="72"/>
      <c r="BV12" s="52">
        <f>+'Recpt 2025'!CP61</f>
        <v>0</v>
      </c>
      <c r="BW12" s="111"/>
      <c r="BX12" s="49"/>
      <c r="BY12" s="72"/>
      <c r="BZ12" s="52">
        <f>+'Recpt 2025'!CS61</f>
        <v>0</v>
      </c>
      <c r="CA12" s="111"/>
      <c r="CB12" s="49"/>
      <c r="CC12" s="72"/>
      <c r="CD12" s="52">
        <f>+'Recpt 2025'!CV61</f>
        <v>90000</v>
      </c>
      <c r="CE12" s="111"/>
      <c r="CF12" s="49"/>
      <c r="CG12" s="72"/>
      <c r="CH12" s="52">
        <f>+'Recpt 2025'!CY61</f>
        <v>0</v>
      </c>
      <c r="CI12" s="111"/>
      <c r="CJ12" s="49"/>
      <c r="CK12" s="72"/>
      <c r="CL12" s="52">
        <f>+'Recpt 2025'!DB61</f>
        <v>0</v>
      </c>
      <c r="CM12" s="111"/>
      <c r="CN12" s="49"/>
      <c r="CO12" s="72"/>
      <c r="CP12" s="52">
        <f>+'Recpt 2025'!DE61</f>
        <v>7500</v>
      </c>
      <c r="CQ12" s="111"/>
      <c r="CR12" s="49"/>
      <c r="CS12" s="72"/>
      <c r="CT12" s="52">
        <f>+'Recpt 2025'!DH61</f>
        <v>0</v>
      </c>
      <c r="CU12" s="111"/>
      <c r="CV12" s="49"/>
      <c r="CW12" s="72"/>
      <c r="CX12" s="52">
        <f>+BB12+BF12+BJ12+BN12+BR12+BV12+BZ12+CD12</f>
        <v>90000</v>
      </c>
      <c r="CY12" s="111"/>
      <c r="CZ12" s="72"/>
    </row>
    <row r="13" spans="2:104" x14ac:dyDescent="0.3">
      <c r="C13" t="s">
        <v>25</v>
      </c>
      <c r="D13" s="72"/>
      <c r="E13" s="76"/>
      <c r="F13" s="52">
        <f>+'Recpt 2025'!AP62</f>
        <v>0</v>
      </c>
      <c r="G13" s="111"/>
      <c r="H13" s="49"/>
      <c r="I13" s="72"/>
      <c r="J13" s="52">
        <f>+'Recpt 2025'!AS62</f>
        <v>0</v>
      </c>
      <c r="K13" s="111"/>
      <c r="L13" s="49"/>
      <c r="M13" s="72"/>
      <c r="N13" s="52">
        <v>0</v>
      </c>
      <c r="O13" s="111"/>
      <c r="P13" s="49"/>
      <c r="Q13" s="72"/>
      <c r="R13" s="52">
        <f>+'Recpt 2025'!AY62</f>
        <v>0</v>
      </c>
      <c r="S13" s="111"/>
      <c r="T13" s="49"/>
      <c r="U13" s="72"/>
      <c r="V13" s="52">
        <v>0</v>
      </c>
      <c r="W13" s="111"/>
      <c r="X13" s="49"/>
      <c r="Y13" s="72"/>
      <c r="Z13" s="52">
        <v>0</v>
      </c>
      <c r="AA13" s="111"/>
      <c r="AB13" s="49"/>
      <c r="AC13" s="72"/>
      <c r="AD13" s="52">
        <f>+'Recpt 2025'!BH62</f>
        <v>0</v>
      </c>
      <c r="AE13" s="111"/>
      <c r="AF13" s="49"/>
      <c r="AG13" s="72"/>
      <c r="AH13" s="52">
        <f>+'Recpt 2025'!BL62</f>
        <v>0</v>
      </c>
      <c r="AI13" s="111"/>
      <c r="AJ13" s="49"/>
      <c r="AK13" s="72"/>
      <c r="AL13" s="52">
        <f>+'Recpt 2025'!BN62</f>
        <v>0</v>
      </c>
      <c r="AM13" s="111"/>
      <c r="AN13" s="49"/>
      <c r="AO13" s="72"/>
      <c r="AP13" s="52">
        <f>+'Recpt 2025'!BQ62</f>
        <v>0</v>
      </c>
      <c r="AQ13" s="111"/>
      <c r="AR13" s="49"/>
      <c r="AS13" s="72"/>
      <c r="AT13" s="52">
        <f>+'Recpt 2025'!BT62</f>
        <v>0</v>
      </c>
      <c r="AU13" s="111"/>
      <c r="AV13" s="49"/>
      <c r="AW13" s="72"/>
      <c r="AX13" s="52">
        <f>+'Recpt 2025'!BW62</f>
        <v>8000</v>
      </c>
      <c r="AY13" s="111"/>
      <c r="AZ13" s="49"/>
      <c r="BA13" s="72"/>
      <c r="BB13" s="52">
        <f>+'Recpt 2025'!CA62</f>
        <v>0</v>
      </c>
      <c r="BC13" s="111"/>
      <c r="BD13" s="49"/>
      <c r="BE13" s="72"/>
      <c r="BF13" s="52">
        <f>+'Recpt 2025'!CD62</f>
        <v>0</v>
      </c>
      <c r="BG13" s="111"/>
      <c r="BH13" s="49"/>
      <c r="BI13" s="72"/>
      <c r="BJ13" s="52">
        <f>+'Recpt 2025'!CG62</f>
        <v>0</v>
      </c>
      <c r="BK13" s="111"/>
      <c r="BL13" s="49"/>
      <c r="BM13" s="72"/>
      <c r="BN13" s="52">
        <f>+'Recpt 2025'!CJ62</f>
        <v>0</v>
      </c>
      <c r="BO13" s="111"/>
      <c r="BP13" s="49"/>
      <c r="BQ13" s="72"/>
      <c r="BR13" s="52">
        <f>+'Recpt 2025'!CM62</f>
        <v>8000</v>
      </c>
      <c r="BS13" s="111"/>
      <c r="BT13" s="49"/>
      <c r="BU13" s="72"/>
      <c r="BV13" s="52">
        <f>+'Recpt 2025'!CP62</f>
        <v>4000</v>
      </c>
      <c r="BW13" s="111"/>
      <c r="BX13" s="49"/>
      <c r="BY13" s="72"/>
      <c r="BZ13" s="52">
        <f>+'Recpt 2025'!CS62</f>
        <v>8000</v>
      </c>
      <c r="CA13" s="111"/>
      <c r="CB13" s="49"/>
      <c r="CC13" s="72"/>
      <c r="CD13" s="52">
        <v>0</v>
      </c>
      <c r="CE13" s="111"/>
      <c r="CF13" s="49"/>
      <c r="CG13" s="72"/>
      <c r="CH13" s="52">
        <f>+'Recpt 2025'!CY62</f>
        <v>0</v>
      </c>
      <c r="CI13" s="111"/>
      <c r="CJ13" s="49"/>
      <c r="CK13" s="72"/>
      <c r="CL13" s="52">
        <f>+'Recpt 2025'!DB62</f>
        <v>4000</v>
      </c>
      <c r="CM13" s="111"/>
      <c r="CN13" s="49"/>
      <c r="CO13" s="72"/>
      <c r="CP13" s="52">
        <f>+'Recpt 2025'!DE62</f>
        <v>0</v>
      </c>
      <c r="CQ13" s="111"/>
      <c r="CR13" s="49"/>
      <c r="CS13" s="72"/>
      <c r="CT13" s="52">
        <f>+'Recpt 2025'!DH62</f>
        <v>8000</v>
      </c>
      <c r="CU13" s="111"/>
      <c r="CV13" s="49"/>
      <c r="CW13" s="72"/>
      <c r="CX13" s="52">
        <f>+BB13+BF13+BJ13+BN13+BR13+BV13+BZ13+CD13</f>
        <v>20000</v>
      </c>
      <c r="CY13" s="111"/>
      <c r="CZ13" s="72"/>
    </row>
    <row r="14" spans="2:104" x14ac:dyDescent="0.3">
      <c r="C14" t="s">
        <v>26</v>
      </c>
      <c r="D14" s="72"/>
      <c r="E14" s="76"/>
      <c r="F14" s="54">
        <f>+'Recpt 2025'!AP63+'Recpt 2025'!AP64+'Recpt 2025'!AP65</f>
        <v>2006250</v>
      </c>
      <c r="G14" s="111"/>
      <c r="H14" s="49"/>
      <c r="I14" s="72"/>
      <c r="J14" s="54">
        <f>+'Recpt 2025'!AS63+'Recpt 2025'!AS64+'Recpt 2025'!AS65</f>
        <v>0</v>
      </c>
      <c r="K14" s="111"/>
      <c r="L14" s="49"/>
      <c r="M14" s="72"/>
      <c r="N14" s="54">
        <v>0</v>
      </c>
      <c r="O14" s="111"/>
      <c r="P14" s="49"/>
      <c r="Q14" s="72"/>
      <c r="R14" s="54">
        <f>+'Recpt 2025'!AY63+'Recpt 2025'!AY64+'Recpt 2025'!AY65</f>
        <v>2091562.5</v>
      </c>
      <c r="S14" s="111"/>
      <c r="T14" s="49"/>
      <c r="U14" s="72"/>
      <c r="V14" s="54">
        <v>0</v>
      </c>
      <c r="W14" s="111"/>
      <c r="X14" s="49"/>
      <c r="Y14" s="72"/>
      <c r="Z14" s="54">
        <v>0</v>
      </c>
      <c r="AA14" s="111"/>
      <c r="AB14" s="49"/>
      <c r="AC14" s="72"/>
      <c r="AD14" s="54">
        <f>+'Recpt 2025'!BH63+'Recpt 2025'!AY65</f>
        <v>2091563</v>
      </c>
      <c r="AE14" s="111"/>
      <c r="AF14" s="49"/>
      <c r="AG14" s="72"/>
      <c r="AH14" s="54">
        <f>+'Recpt 2025'!BL63+'Recpt 2025'!BC65</f>
        <v>0</v>
      </c>
      <c r="AI14" s="111"/>
      <c r="AJ14" s="49"/>
      <c r="AK14" s="72"/>
      <c r="AL14" s="54">
        <f>+'Recpt 2025'!BN63+'Recpt 2025'!BN64+'Recpt 2025'!BN65</f>
        <v>0</v>
      </c>
      <c r="AM14" s="111"/>
      <c r="AN14" s="49"/>
      <c r="AO14" s="72"/>
      <c r="AP14" s="54">
        <f>+'Recpt 2025'!BQ63+'Recpt 2025'!BQ64+'Recpt 2025'!BQ65</f>
        <v>2091563</v>
      </c>
      <c r="AQ14" s="111"/>
      <c r="AR14" s="49"/>
      <c r="AS14" s="72"/>
      <c r="AT14" s="54">
        <f>+'Recpt 2025'!BT63+'Recpt 2025'!BT64+'Recpt 2025'!BT65</f>
        <v>0</v>
      </c>
      <c r="AU14" s="111"/>
      <c r="AV14" s="49"/>
      <c r="AW14" s="72"/>
      <c r="AX14" s="54">
        <f>+'Recpt 2025'!BW63+'Recpt 2025'!BW64+'Recpt 2025'!BW65</f>
        <v>0</v>
      </c>
      <c r="AY14" s="111"/>
      <c r="AZ14" s="49"/>
      <c r="BA14" s="72"/>
      <c r="BB14" s="54">
        <f>+'Recpt 2025'!CA63+'Recpt 2025'!CA64+'Recpt 2025'!CA65</f>
        <v>2091563</v>
      </c>
      <c r="BC14" s="111"/>
      <c r="BD14" s="49"/>
      <c r="BE14" s="72"/>
      <c r="BF14" s="54">
        <f>+'Recpt 2025'!CD63+'Recpt 2025'!CD64+'Recpt 2025'!CD65</f>
        <v>0</v>
      </c>
      <c r="BG14" s="111"/>
      <c r="BH14" s="49"/>
      <c r="BI14" s="72"/>
      <c r="BJ14" s="54">
        <f>+'Recpt 2025'!CG63+'Recpt 2025'!CG64+'Recpt 2025'!CG65</f>
        <v>100000</v>
      </c>
      <c r="BK14" s="111"/>
      <c r="BL14" s="49"/>
      <c r="BM14" s="72"/>
      <c r="BN14" s="54">
        <f>+'Recpt 2025'!CJ63+'Recpt 2025'!CJ64+'Recpt 2025'!CJ65</f>
        <v>300000</v>
      </c>
      <c r="BO14" s="111"/>
      <c r="BP14" s="49"/>
      <c r="BQ14" s="72"/>
      <c r="BR14" s="54">
        <f>+'Recpt 2025'!CM63+'Recpt 2025'!CM64+'Recpt 2025'!CM65</f>
        <v>1791562.625</v>
      </c>
      <c r="BS14" s="111"/>
      <c r="BT14" s="49"/>
      <c r="BU14" s="72"/>
      <c r="BV14" s="54">
        <f>+'Recpt 2025'!CP63+'Recpt 2025'!CP64+'Recpt 2025'!CP65</f>
        <v>0</v>
      </c>
      <c r="BW14" s="111"/>
      <c r="BX14" s="49"/>
      <c r="BY14" s="72"/>
      <c r="BZ14" s="54">
        <f>+'Recpt 2025'!CS63+'Recpt 2025'!CS64+'Recpt 2025'!CS65</f>
        <v>0</v>
      </c>
      <c r="CA14" s="111"/>
      <c r="CB14" s="49"/>
      <c r="CC14" s="72"/>
      <c r="CD14" s="54">
        <f>+'Recpt 2025'!CV63+'Recpt 2025'!CV65</f>
        <v>2081000</v>
      </c>
      <c r="CE14" s="111"/>
      <c r="CF14" s="49"/>
      <c r="CG14" s="72"/>
      <c r="CH14" s="54">
        <f>+'Recpt 2025'!CY63+'Recpt 2025'!CY64+'Recpt 2025'!CY65</f>
        <v>1000000</v>
      </c>
      <c r="CI14" s="111"/>
      <c r="CJ14" s="49"/>
      <c r="CK14" s="72"/>
      <c r="CL14" s="54">
        <f>+'Recpt 2025'!DB63</f>
        <v>500000</v>
      </c>
      <c r="CM14" s="111"/>
      <c r="CN14" s="49"/>
      <c r="CO14" s="72"/>
      <c r="CP14" s="54">
        <f>+'Recpt 2025'!DE63+'Recpt 2025'!DE64+'Recpt 2025'!DE65</f>
        <v>1020000</v>
      </c>
      <c r="CQ14" s="111"/>
      <c r="CR14" s="49"/>
      <c r="CS14" s="72"/>
      <c r="CT14" s="54">
        <f>+'Recpt 2025'!DH63+'Recpt 2025'!DH65</f>
        <v>650000</v>
      </c>
      <c r="CU14" s="111"/>
      <c r="CV14" s="49"/>
      <c r="CW14" s="72"/>
      <c r="CX14" s="52">
        <f>+BB14+BF14+BJ14+BN14+BR14+BV14+BZ14+CD14</f>
        <v>6364125.625</v>
      </c>
      <c r="CY14" s="111"/>
      <c r="CZ14" s="72"/>
    </row>
    <row r="15" spans="2:104" x14ac:dyDescent="0.3">
      <c r="C15" t="s">
        <v>142</v>
      </c>
      <c r="D15" s="72"/>
      <c r="E15" s="76"/>
      <c r="F15" s="53">
        <v>0</v>
      </c>
      <c r="G15" s="111"/>
      <c r="H15" s="49"/>
      <c r="I15" s="72"/>
      <c r="J15" s="53">
        <v>0</v>
      </c>
      <c r="K15" s="111"/>
      <c r="L15" s="49"/>
      <c r="M15" s="72"/>
      <c r="N15" s="53">
        <v>0</v>
      </c>
      <c r="O15" s="111"/>
      <c r="P15" s="49"/>
      <c r="Q15" s="72"/>
      <c r="R15" s="53">
        <v>0</v>
      </c>
      <c r="S15" s="111"/>
      <c r="T15" s="49"/>
      <c r="U15" s="72"/>
      <c r="V15" s="53">
        <v>0</v>
      </c>
      <c r="W15" s="111"/>
      <c r="X15" s="49"/>
      <c r="Y15" s="72"/>
      <c r="Z15" s="53">
        <v>0</v>
      </c>
      <c r="AA15" s="111"/>
      <c r="AB15" s="49"/>
      <c r="AC15" s="72"/>
      <c r="AD15" s="53">
        <v>0</v>
      </c>
      <c r="AE15" s="111"/>
      <c r="AF15" s="49"/>
      <c r="AG15" s="72"/>
      <c r="AH15" s="53">
        <v>0</v>
      </c>
      <c r="AI15" s="111"/>
      <c r="AJ15" s="49"/>
      <c r="AK15" s="72"/>
      <c r="AL15" s="53">
        <v>0</v>
      </c>
      <c r="AM15" s="111"/>
      <c r="AN15" s="49"/>
      <c r="AO15" s="72"/>
      <c r="AP15" s="53">
        <v>0</v>
      </c>
      <c r="AQ15" s="111"/>
      <c r="AR15" s="49"/>
      <c r="AS15" s="72"/>
      <c r="AT15" s="53">
        <v>0</v>
      </c>
      <c r="AU15" s="111"/>
      <c r="AV15" s="49"/>
      <c r="AW15" s="72"/>
      <c r="AX15" s="53">
        <v>0</v>
      </c>
      <c r="AY15" s="111"/>
      <c r="AZ15" s="49"/>
      <c r="BA15" s="72"/>
      <c r="BB15" s="53">
        <f>+'Recpt 2025'!CA66</f>
        <v>10000</v>
      </c>
      <c r="BC15" s="111"/>
      <c r="BD15" s="49"/>
      <c r="BE15" s="72"/>
      <c r="BF15" s="53">
        <f>+'Recpt 2025'!CD66</f>
        <v>60000</v>
      </c>
      <c r="BG15" s="111"/>
      <c r="BH15" s="49"/>
      <c r="BI15" s="72"/>
      <c r="BJ15" s="53">
        <f>+'Recpt 2025'!CG66</f>
        <v>0</v>
      </c>
      <c r="BK15" s="111"/>
      <c r="BL15" s="49"/>
      <c r="BM15" s="72"/>
      <c r="BN15" s="53">
        <f>+'Recpt 2025'!CJ66</f>
        <v>0</v>
      </c>
      <c r="BO15" s="111"/>
      <c r="BP15" s="49"/>
      <c r="BQ15" s="72"/>
      <c r="BR15" s="53">
        <v>0</v>
      </c>
      <c r="BS15" s="111"/>
      <c r="BT15" s="49"/>
      <c r="BU15" s="72"/>
      <c r="BV15" s="53">
        <f>+'Recpt 2025'!CP66</f>
        <v>0</v>
      </c>
      <c r="BW15" s="111"/>
      <c r="BX15" s="49"/>
      <c r="BY15" s="72"/>
      <c r="BZ15" s="53">
        <f>+'Recpt 2025'!CS66</f>
        <v>0</v>
      </c>
      <c r="CA15" s="111"/>
      <c r="CB15" s="49"/>
      <c r="CC15" s="72"/>
      <c r="CD15" s="53">
        <f>+'Recpt 2025'!CV66</f>
        <v>0</v>
      </c>
      <c r="CE15" s="111"/>
      <c r="CF15" s="49"/>
      <c r="CG15" s="72"/>
      <c r="CH15" s="53">
        <f>+'Recpt 2025'!DB66</f>
        <v>0</v>
      </c>
      <c r="CI15" s="111"/>
      <c r="CJ15" s="49"/>
      <c r="CK15" s="72"/>
      <c r="CL15" s="53"/>
      <c r="CM15" s="111"/>
      <c r="CN15" s="49"/>
      <c r="CO15" s="72"/>
      <c r="CP15" s="53"/>
      <c r="CQ15" s="111"/>
      <c r="CR15" s="49"/>
      <c r="CS15" s="72"/>
      <c r="CT15" s="53">
        <f>+'Recpt 2025'!DH66</f>
        <v>50000</v>
      </c>
      <c r="CU15" s="111"/>
      <c r="CV15" s="49"/>
      <c r="CW15" s="72"/>
      <c r="CX15" s="52">
        <f>+BB15+BF15+BJ15+BN15+BR15+BV15+BZ15+CD15</f>
        <v>70000</v>
      </c>
      <c r="CY15" s="111"/>
      <c r="CZ15" s="72"/>
    </row>
    <row r="16" spans="2:104" ht="15.6" x14ac:dyDescent="0.3">
      <c r="D16" s="72"/>
      <c r="E16" s="76"/>
      <c r="F16" s="60">
        <f>SUM(F11:F15)</f>
        <v>2498250</v>
      </c>
      <c r="G16" s="173"/>
      <c r="H16" s="49"/>
      <c r="I16" s="72"/>
      <c r="J16" s="60">
        <f>SUM(J11:J15)</f>
        <v>200500</v>
      </c>
      <c r="K16" s="173"/>
      <c r="L16" s="49"/>
      <c r="M16" s="72"/>
      <c r="N16" s="60">
        <f>SUM(N11:N15)</f>
        <v>213000</v>
      </c>
      <c r="O16" s="173"/>
      <c r="P16" s="49"/>
      <c r="Q16" s="72"/>
      <c r="R16" s="60">
        <f>SUM(R11:R15)</f>
        <v>2468062.5</v>
      </c>
      <c r="S16" s="173"/>
      <c r="T16" s="49"/>
      <c r="U16" s="72"/>
      <c r="V16" s="60">
        <f>SUM(V11:V15)</f>
        <v>161000</v>
      </c>
      <c r="W16" s="173"/>
      <c r="X16" s="49"/>
      <c r="Y16" s="72"/>
      <c r="Z16" s="60">
        <f>SUM(Z11:Z15)</f>
        <v>279500</v>
      </c>
      <c r="AA16" s="173"/>
      <c r="AB16" s="49"/>
      <c r="AC16" s="72"/>
      <c r="AD16" s="60">
        <f>SUM(AD11:AD15)</f>
        <v>2265063</v>
      </c>
      <c r="AE16" s="173"/>
      <c r="AF16" s="49"/>
      <c r="AG16" s="72"/>
      <c r="AH16" s="60">
        <f>SUM(AH11:AH15)</f>
        <v>179000</v>
      </c>
      <c r="AI16" s="173"/>
      <c r="AJ16" s="49"/>
      <c r="AK16" s="72"/>
      <c r="AL16" s="60">
        <f>SUM(AL11:AL15)</f>
        <v>290500</v>
      </c>
      <c r="AM16" s="173"/>
      <c r="AN16" s="49"/>
      <c r="AO16" s="72"/>
      <c r="AP16" s="60">
        <f>SUM(AP11:AP15)</f>
        <v>2346063</v>
      </c>
      <c r="AQ16" s="173"/>
      <c r="AR16" s="49"/>
      <c r="AS16" s="72"/>
      <c r="AT16" s="60">
        <f>SUM(AT11:AT15)</f>
        <v>221500</v>
      </c>
      <c r="AU16" s="173"/>
      <c r="AV16" s="49"/>
      <c r="AW16" s="72"/>
      <c r="AX16" s="60">
        <f>SUM(AX11:AX15)</f>
        <v>414000</v>
      </c>
      <c r="AY16" s="173"/>
      <c r="AZ16" s="49"/>
      <c r="BA16" s="72"/>
      <c r="BB16" s="60">
        <f>SUM(BB11:BB15)</f>
        <v>2366063</v>
      </c>
      <c r="BC16" s="173"/>
      <c r="BD16" s="49"/>
      <c r="BE16" s="72"/>
      <c r="BF16" s="60">
        <f>SUM(BF11:BF15)</f>
        <v>221000</v>
      </c>
      <c r="BG16" s="173"/>
      <c r="BH16" s="49"/>
      <c r="BI16" s="72"/>
      <c r="BJ16" s="60">
        <f>SUM(BJ11:BJ15)</f>
        <v>357000</v>
      </c>
      <c r="BK16" s="173"/>
      <c r="BL16" s="49"/>
      <c r="BM16" s="72"/>
      <c r="BN16" s="60">
        <f>SUM(BN11:BN15)</f>
        <v>420500</v>
      </c>
      <c r="BO16" s="173"/>
      <c r="BP16" s="49"/>
      <c r="BQ16" s="72"/>
      <c r="BR16" s="60">
        <f>SUM(BR11:BR15)</f>
        <v>1957062.625</v>
      </c>
      <c r="BS16" s="173"/>
      <c r="BT16" s="49"/>
      <c r="BU16" s="72"/>
      <c r="BV16" s="60">
        <f>SUM(BV11:BV15)</f>
        <v>219500</v>
      </c>
      <c r="BW16" s="173"/>
      <c r="BX16" s="49"/>
      <c r="BY16" s="72"/>
      <c r="BZ16" s="60">
        <f>SUM(BZ11:BZ15)</f>
        <v>378500</v>
      </c>
      <c r="CA16" s="173"/>
      <c r="CB16" s="49"/>
      <c r="CC16" s="72"/>
      <c r="CD16" s="60">
        <f>SUM(CD11:CD15)</f>
        <v>3083000</v>
      </c>
      <c r="CE16" s="173"/>
      <c r="CF16" s="49"/>
      <c r="CG16" s="72"/>
      <c r="CH16" s="60">
        <f>SUM(CH11:CH15)</f>
        <v>1300500</v>
      </c>
      <c r="CI16" s="173"/>
      <c r="CJ16" s="49"/>
      <c r="CK16" s="72"/>
      <c r="CL16" s="60">
        <f>SUM(CL11:CL15)</f>
        <v>736500</v>
      </c>
      <c r="CM16" s="173"/>
      <c r="CN16" s="49"/>
      <c r="CO16" s="72"/>
      <c r="CP16" s="60">
        <f>SUM(CP11:CP15)</f>
        <v>1227500</v>
      </c>
      <c r="CQ16" s="173"/>
      <c r="CR16" s="49"/>
      <c r="CS16" s="72"/>
      <c r="CT16" s="60">
        <f>SUM(CT11:CT15)</f>
        <v>871001</v>
      </c>
      <c r="CU16" s="173"/>
      <c r="CV16" s="49"/>
      <c r="CW16" s="72"/>
      <c r="CX16" s="60">
        <f>SUM(CX11:CX15)</f>
        <v>9002625.625</v>
      </c>
      <c r="CY16" s="173"/>
      <c r="CZ16" s="72"/>
    </row>
    <row r="17" spans="2:104" x14ac:dyDescent="0.3">
      <c r="D17" s="72"/>
      <c r="E17" s="76"/>
      <c r="F17" s="49"/>
      <c r="G17" s="111"/>
      <c r="H17" s="49"/>
      <c r="I17" s="72"/>
      <c r="J17" s="49"/>
      <c r="K17" s="111"/>
      <c r="L17" s="49"/>
      <c r="M17" s="72"/>
      <c r="N17" s="49"/>
      <c r="O17" s="111"/>
      <c r="P17" s="49"/>
      <c r="Q17" s="72"/>
      <c r="R17" s="49"/>
      <c r="S17" s="111"/>
      <c r="T17" s="49"/>
      <c r="U17" s="72"/>
      <c r="V17" s="49"/>
      <c r="W17" s="111"/>
      <c r="X17" s="49"/>
      <c r="Y17" s="72"/>
      <c r="Z17" s="49"/>
      <c r="AA17" s="111"/>
      <c r="AB17" s="49"/>
      <c r="AC17" s="72"/>
      <c r="AD17" s="49"/>
      <c r="AE17" s="111"/>
      <c r="AF17" s="49"/>
      <c r="AG17" s="72"/>
      <c r="AH17" s="49"/>
      <c r="AI17" s="111"/>
      <c r="AJ17" s="49"/>
      <c r="AK17" s="72"/>
      <c r="AL17" s="49"/>
      <c r="AM17" s="111"/>
      <c r="AN17" s="49"/>
      <c r="AO17" s="72"/>
      <c r="AP17" s="49"/>
      <c r="AQ17" s="111"/>
      <c r="AR17" s="49"/>
      <c r="AS17" s="72"/>
      <c r="AT17" s="49"/>
      <c r="AU17" s="111"/>
      <c r="AV17" s="49"/>
      <c r="AW17" s="72"/>
      <c r="AX17" s="49"/>
      <c r="AY17" s="111"/>
      <c r="AZ17" s="49"/>
      <c r="BA17" s="72"/>
      <c r="BB17" s="49"/>
      <c r="BC17" s="111"/>
      <c r="BD17" s="49"/>
      <c r="BE17" s="72"/>
      <c r="BF17" s="49"/>
      <c r="BG17" s="111"/>
      <c r="BH17" s="49"/>
      <c r="BI17" s="72"/>
      <c r="BJ17" s="49"/>
      <c r="BK17" s="111"/>
      <c r="BL17" s="49"/>
      <c r="BM17" s="72"/>
      <c r="BN17" s="49"/>
      <c r="BO17" s="111"/>
      <c r="BP17" s="49"/>
      <c r="BQ17" s="72"/>
      <c r="BR17" s="49"/>
      <c r="BS17" s="111"/>
      <c r="BT17" s="49"/>
      <c r="BU17" s="72"/>
      <c r="BV17" s="49"/>
      <c r="BW17" s="111"/>
      <c r="BX17" s="49"/>
      <c r="BY17" s="72"/>
      <c r="BZ17" s="49"/>
      <c r="CA17" s="111"/>
      <c r="CB17" s="49"/>
      <c r="CC17" s="72"/>
      <c r="CD17" s="49"/>
      <c r="CE17" s="111"/>
      <c r="CF17" s="49"/>
      <c r="CG17" s="72"/>
      <c r="CH17" s="49"/>
      <c r="CI17" s="111"/>
      <c r="CJ17" s="49"/>
      <c r="CK17" s="72"/>
      <c r="CL17" s="49"/>
      <c r="CM17" s="111"/>
      <c r="CN17" s="49"/>
      <c r="CO17" s="72"/>
      <c r="CP17" s="49"/>
      <c r="CQ17" s="111"/>
      <c r="CR17" s="49"/>
      <c r="CS17" s="72"/>
      <c r="CT17" s="49"/>
      <c r="CU17" s="111"/>
      <c r="CV17" s="49"/>
      <c r="CW17" s="72"/>
      <c r="CX17" s="49"/>
      <c r="CY17" s="111"/>
      <c r="CZ17" s="72"/>
    </row>
    <row r="18" spans="2:104" ht="15.6" x14ac:dyDescent="0.3">
      <c r="B18" s="36" t="s">
        <v>27</v>
      </c>
      <c r="D18" s="72"/>
      <c r="E18" s="76"/>
      <c r="F18" s="49"/>
      <c r="G18" s="111"/>
      <c r="H18" s="49"/>
      <c r="I18" s="72"/>
      <c r="J18" s="49"/>
      <c r="K18" s="111"/>
      <c r="L18" s="49"/>
      <c r="M18" s="72"/>
      <c r="N18" s="49"/>
      <c r="O18" s="111"/>
      <c r="P18" s="49"/>
      <c r="Q18" s="72"/>
      <c r="R18" s="49"/>
      <c r="S18" s="111"/>
      <c r="T18" s="49"/>
      <c r="U18" s="72"/>
      <c r="V18" s="49"/>
      <c r="W18" s="111"/>
      <c r="X18" s="49"/>
      <c r="Y18" s="72"/>
      <c r="Z18" s="49"/>
      <c r="AA18" s="111"/>
      <c r="AB18" s="49"/>
      <c r="AC18" s="72"/>
      <c r="AD18" s="49"/>
      <c r="AE18" s="111"/>
      <c r="AF18" s="49"/>
      <c r="AG18" s="72"/>
      <c r="AH18" s="49"/>
      <c r="AI18" s="111"/>
      <c r="AJ18" s="49"/>
      <c r="AK18" s="72"/>
      <c r="AL18" s="49"/>
      <c r="AM18" s="111"/>
      <c r="AN18" s="49"/>
      <c r="AO18" s="72"/>
      <c r="AP18" s="49"/>
      <c r="AQ18" s="111"/>
      <c r="AR18" s="49"/>
      <c r="AS18" s="72"/>
      <c r="AT18" s="49"/>
      <c r="AU18" s="111"/>
      <c r="AV18" s="49"/>
      <c r="AW18" s="72"/>
      <c r="AX18" s="49"/>
      <c r="AY18" s="111"/>
      <c r="AZ18" s="49"/>
      <c r="BA18" s="72"/>
      <c r="BB18" s="49"/>
      <c r="BC18" s="111"/>
      <c r="BD18" s="49"/>
      <c r="BE18" s="72"/>
      <c r="BF18" s="49"/>
      <c r="BG18" s="111"/>
      <c r="BH18" s="49"/>
      <c r="BI18" s="72"/>
      <c r="BJ18" s="49"/>
      <c r="BK18" s="111"/>
      <c r="BL18" s="49"/>
      <c r="BM18" s="72"/>
      <c r="BN18" s="49"/>
      <c r="BO18" s="111"/>
      <c r="BP18" s="49"/>
      <c r="BQ18" s="72"/>
      <c r="BR18" s="49"/>
      <c r="BS18" s="111"/>
      <c r="BT18" s="49"/>
      <c r="BU18" s="72"/>
      <c r="BV18" s="49"/>
      <c r="BW18" s="111"/>
      <c r="BX18" s="49"/>
      <c r="BY18" s="72"/>
      <c r="BZ18" s="49"/>
      <c r="CA18" s="111"/>
      <c r="CB18" s="49"/>
      <c r="CC18" s="72"/>
      <c r="CD18" s="49"/>
      <c r="CE18" s="111"/>
      <c r="CF18" s="49"/>
      <c r="CG18" s="72"/>
      <c r="CH18" s="49"/>
      <c r="CI18" s="111"/>
      <c r="CJ18" s="49"/>
      <c r="CK18" s="72"/>
      <c r="CL18" s="49"/>
      <c r="CM18" s="111"/>
      <c r="CN18" s="49"/>
      <c r="CO18" s="72"/>
      <c r="CP18" s="49"/>
      <c r="CQ18" s="111"/>
      <c r="CR18" s="49"/>
      <c r="CS18" s="72"/>
      <c r="CT18" s="49"/>
      <c r="CU18" s="111"/>
      <c r="CV18" s="49"/>
      <c r="CW18" s="72"/>
      <c r="CX18" s="49"/>
      <c r="CY18" s="111"/>
      <c r="CZ18" s="72"/>
    </row>
    <row r="19" spans="2:104" x14ac:dyDescent="0.3">
      <c r="C19" t="s">
        <v>15</v>
      </c>
      <c r="D19" s="72"/>
      <c r="E19" s="76"/>
      <c r="F19" s="52">
        <f>+Exp!AB14</f>
        <v>220000</v>
      </c>
      <c r="G19" s="111"/>
      <c r="H19" s="49"/>
      <c r="I19" s="72"/>
      <c r="J19" s="52">
        <f>+Exp!AD14</f>
        <v>210000</v>
      </c>
      <c r="K19" s="111"/>
      <c r="L19" s="49"/>
      <c r="M19" s="72"/>
      <c r="N19" s="52">
        <f>+Exp!AF14</f>
        <v>110000</v>
      </c>
      <c r="O19" s="111"/>
      <c r="P19" s="49"/>
      <c r="Q19" s="72"/>
      <c r="R19" s="52">
        <f>+'Exp 2024'!J14</f>
        <v>11500</v>
      </c>
      <c r="S19" s="111"/>
      <c r="T19" s="49"/>
      <c r="U19" s="72"/>
      <c r="V19" s="52">
        <f>+'Exp 2024'!L14</f>
        <v>0</v>
      </c>
      <c r="W19" s="111"/>
      <c r="X19" s="49"/>
      <c r="Y19" s="72"/>
      <c r="Z19" s="52">
        <f>+'Exp 2024'!P14</f>
        <v>0</v>
      </c>
      <c r="AA19" s="111"/>
      <c r="AB19" s="49"/>
      <c r="AC19" s="72"/>
      <c r="AD19" s="52">
        <f>+'Exp 2024'!P14</f>
        <v>0</v>
      </c>
      <c r="AE19" s="111"/>
      <c r="AF19" s="49"/>
      <c r="AG19" s="72"/>
      <c r="AH19" s="52">
        <f>+'Exp 2024'!R14</f>
        <v>0</v>
      </c>
      <c r="AI19" s="111"/>
      <c r="AJ19" s="49"/>
      <c r="AK19" s="72"/>
      <c r="AL19" s="52">
        <f>+'Exp 2024'!T14</f>
        <v>0</v>
      </c>
      <c r="AM19" s="111"/>
      <c r="AN19" s="49"/>
      <c r="AO19" s="72"/>
      <c r="AP19" s="52">
        <f>+'Exp 2024'!V14</f>
        <v>0</v>
      </c>
      <c r="AQ19" s="111"/>
      <c r="AR19" s="49"/>
      <c r="AS19" s="72"/>
      <c r="AT19" s="52">
        <f>+'Exp 2024'!X14</f>
        <v>26000</v>
      </c>
      <c r="AU19" s="111"/>
      <c r="AV19" s="49"/>
      <c r="AW19" s="72"/>
      <c r="AX19" s="52">
        <f>+'Exp 2024'!Z14</f>
        <v>52000</v>
      </c>
      <c r="AY19" s="111"/>
      <c r="AZ19" s="49"/>
      <c r="BA19" s="72"/>
      <c r="BB19" s="52">
        <f>+'Exp 2025'!AC14</f>
        <v>0</v>
      </c>
      <c r="BC19" s="111"/>
      <c r="BD19" s="49"/>
      <c r="BE19" s="72"/>
      <c r="BF19" s="52">
        <f>+'Exp 2025'!AE14</f>
        <v>13000</v>
      </c>
      <c r="BG19" s="111"/>
      <c r="BH19" s="49"/>
      <c r="BI19" s="72"/>
      <c r="BJ19" s="52">
        <f>+'Exp 2025'!AG14</f>
        <v>13000</v>
      </c>
      <c r="BK19" s="111"/>
      <c r="BL19" s="49"/>
      <c r="BM19" s="72"/>
      <c r="BN19" s="52">
        <f>+'Exp 2025'!AI14</f>
        <v>0</v>
      </c>
      <c r="BO19" s="111"/>
      <c r="BP19" s="49"/>
      <c r="BQ19" s="72"/>
      <c r="BR19" s="52">
        <f>+'Exp 2025'!AK7</f>
        <v>18000</v>
      </c>
      <c r="BS19" s="111"/>
      <c r="BT19" s="49"/>
      <c r="BU19" s="72"/>
      <c r="BV19" s="52">
        <f>+'Exp 2025'!AM14</f>
        <v>18000</v>
      </c>
      <c r="BW19" s="111"/>
      <c r="BX19" s="49"/>
      <c r="BY19" s="72"/>
      <c r="BZ19" s="52">
        <f>+'Exp 2025'!AO14</f>
        <v>30000</v>
      </c>
      <c r="CA19" s="111"/>
      <c r="CB19" s="49"/>
      <c r="CC19" s="72"/>
      <c r="CD19" s="52">
        <f>+'Exp 2025'!AQ14</f>
        <v>0</v>
      </c>
      <c r="CE19" s="111"/>
      <c r="CF19" s="49"/>
      <c r="CG19" s="72"/>
      <c r="CH19" s="52">
        <f>+'Exp 2025'!AS14</f>
        <v>60000</v>
      </c>
      <c r="CI19" s="111"/>
      <c r="CJ19" s="49"/>
      <c r="CK19" s="72"/>
      <c r="CL19" s="52">
        <f>+'Exp 2025'!AU14</f>
        <v>132000</v>
      </c>
      <c r="CM19" s="111"/>
      <c r="CN19" s="49"/>
      <c r="CO19" s="72"/>
      <c r="CP19" s="52">
        <f>+'Exp 2025'!AW14</f>
        <v>129000</v>
      </c>
      <c r="CQ19" s="111"/>
      <c r="CR19" s="49"/>
      <c r="CS19" s="72"/>
      <c r="CT19" s="52">
        <f>+'Exp 2025'!AY14</f>
        <v>15000</v>
      </c>
      <c r="CU19" s="111"/>
      <c r="CV19" s="49"/>
      <c r="CW19" s="72"/>
      <c r="CX19" s="52">
        <f t="shared" ref="CX19:CX40" si="0">+BB19+BF19+BJ19+BN19+BR19+BV19+BZ19</f>
        <v>92000</v>
      </c>
      <c r="CY19" s="111"/>
      <c r="CZ19" s="72"/>
    </row>
    <row r="20" spans="2:104" x14ac:dyDescent="0.3">
      <c r="C20" t="s">
        <v>33</v>
      </c>
      <c r="D20" s="72"/>
      <c r="E20" s="76"/>
      <c r="F20" s="52">
        <f>+Exp!AB40</f>
        <v>199495</v>
      </c>
      <c r="G20" s="111"/>
      <c r="H20" s="49"/>
      <c r="I20" s="72"/>
      <c r="J20" s="52">
        <f>+Exp!AD40</f>
        <v>182471</v>
      </c>
      <c r="K20" s="111"/>
      <c r="L20" s="49"/>
      <c r="M20" s="72"/>
      <c r="N20" s="52">
        <f>+Exp!AF40</f>
        <v>182901</v>
      </c>
      <c r="O20" s="111"/>
      <c r="P20" s="49"/>
      <c r="Q20" s="72"/>
      <c r="R20" s="52">
        <f>+'Exp 2024'!J39</f>
        <v>253462</v>
      </c>
      <c r="S20" s="111"/>
      <c r="T20" s="49"/>
      <c r="U20" s="72"/>
      <c r="V20" s="52">
        <f>+'Exp 2024'!L39</f>
        <v>271300</v>
      </c>
      <c r="W20" s="111"/>
      <c r="X20" s="49"/>
      <c r="Y20" s="72"/>
      <c r="Z20" s="52">
        <f>+'Exp 2024'!N39</f>
        <v>245427</v>
      </c>
      <c r="AA20" s="111"/>
      <c r="AB20" s="49"/>
      <c r="AC20" s="72"/>
      <c r="AD20" s="52">
        <f>+'Exp 2024'!P39</f>
        <v>283531</v>
      </c>
      <c r="AE20" s="111"/>
      <c r="AF20" s="49"/>
      <c r="AG20" s="72"/>
      <c r="AH20" s="52">
        <f>+'Exp 2024'!R39</f>
        <v>281334</v>
      </c>
      <c r="AI20" s="111"/>
      <c r="AJ20" s="49"/>
      <c r="AK20" s="72"/>
      <c r="AL20" s="52">
        <f>+'Exp 2024'!T39</f>
        <v>236550</v>
      </c>
      <c r="AM20" s="111"/>
      <c r="AN20" s="49"/>
      <c r="AO20" s="72"/>
      <c r="AP20" s="52">
        <f>+'Exp 2024'!V39</f>
        <v>260098</v>
      </c>
      <c r="AQ20" s="111"/>
      <c r="AR20" s="49"/>
      <c r="AS20" s="72"/>
      <c r="AT20" s="52">
        <f>+'Exp 2024'!X39</f>
        <v>267330</v>
      </c>
      <c r="AU20" s="111"/>
      <c r="AV20" s="49"/>
      <c r="AW20" s="72"/>
      <c r="AX20" s="52">
        <f>+'Exp 2024'!Z39</f>
        <v>255800</v>
      </c>
      <c r="AY20" s="111"/>
      <c r="AZ20" s="49"/>
      <c r="BA20" s="72"/>
      <c r="BB20" s="52">
        <f>+'Exp 2025'!AC40</f>
        <v>204057</v>
      </c>
      <c r="BC20" s="111"/>
      <c r="BD20" s="49"/>
      <c r="BE20" s="72"/>
      <c r="BF20" s="52">
        <f>+'Exp 2025'!AE40</f>
        <v>192348</v>
      </c>
      <c r="BG20" s="111"/>
      <c r="BH20" s="49"/>
      <c r="BI20" s="72"/>
      <c r="BJ20" s="52">
        <f>+'Exp 2025'!AG40</f>
        <v>216757</v>
      </c>
      <c r="BK20" s="111"/>
      <c r="BL20" s="49"/>
      <c r="BM20" s="72"/>
      <c r="BN20" s="52">
        <f>+'Exp 2025'!AI40</f>
        <v>245053</v>
      </c>
      <c r="BO20" s="111"/>
      <c r="BP20" s="49"/>
      <c r="BQ20" s="72"/>
      <c r="BR20" s="52">
        <f>+'Exp 2025'!AK40</f>
        <v>245240</v>
      </c>
      <c r="BS20" s="111"/>
      <c r="BT20" s="49"/>
      <c r="BU20" s="72"/>
      <c r="BV20" s="52">
        <f>+'Exp 2025'!AM40</f>
        <v>249608</v>
      </c>
      <c r="BW20" s="111"/>
      <c r="BX20" s="49"/>
      <c r="BY20" s="72"/>
      <c r="BZ20" s="52">
        <f>+'Exp 2025'!AO40</f>
        <v>235050</v>
      </c>
      <c r="CA20" s="111"/>
      <c r="CB20" s="49"/>
      <c r="CC20" s="72"/>
      <c r="CD20" s="52">
        <f>+'Exp 2025'!AQ40</f>
        <v>261172</v>
      </c>
      <c r="CE20" s="111"/>
      <c r="CF20" s="49"/>
      <c r="CG20" s="72"/>
      <c r="CH20" s="52">
        <f>+'Exp 2025'!AS40</f>
        <v>237312</v>
      </c>
      <c r="CI20" s="111"/>
      <c r="CJ20" s="49"/>
      <c r="CK20" s="72"/>
      <c r="CL20" s="52">
        <f>+'Exp 2025'!AU40</f>
        <v>249928</v>
      </c>
      <c r="CM20" s="111"/>
      <c r="CN20" s="49"/>
      <c r="CO20" s="72"/>
      <c r="CP20" s="52">
        <f>+'Exp 2025'!AW40</f>
        <v>240498</v>
      </c>
      <c r="CQ20" s="111"/>
      <c r="CR20" s="49"/>
      <c r="CS20" s="72"/>
      <c r="CT20" s="52">
        <f>+'Exp 2025'!AY40</f>
        <v>219111</v>
      </c>
      <c r="CU20" s="111"/>
      <c r="CV20" s="49"/>
      <c r="CW20" s="72"/>
      <c r="CX20" s="52">
        <f t="shared" si="0"/>
        <v>1588113</v>
      </c>
      <c r="CY20" s="111"/>
      <c r="CZ20" s="72"/>
    </row>
    <row r="21" spans="2:104" x14ac:dyDescent="0.3">
      <c r="C21" t="s">
        <v>16</v>
      </c>
      <c r="D21" s="72"/>
      <c r="E21" s="76"/>
      <c r="F21" s="52">
        <f>+Exp!AB23</f>
        <v>148500</v>
      </c>
      <c r="G21" s="111"/>
      <c r="H21" s="49"/>
      <c r="I21" s="72"/>
      <c r="J21" s="52">
        <f>+Exp!AD23</f>
        <v>150000</v>
      </c>
      <c r="K21" s="111"/>
      <c r="L21" s="49"/>
      <c r="M21" s="72"/>
      <c r="N21" s="52">
        <f>+Exp!AF23</f>
        <v>159000</v>
      </c>
      <c r="O21" s="111"/>
      <c r="P21" s="49"/>
      <c r="Q21" s="72"/>
      <c r="R21" s="52">
        <f>+'Exp 2024'!J22</f>
        <v>161000</v>
      </c>
      <c r="S21" s="111"/>
      <c r="T21" s="49"/>
      <c r="U21" s="72"/>
      <c r="V21" s="52">
        <f>+'Exp 2024'!L22</f>
        <v>160000</v>
      </c>
      <c r="W21" s="111"/>
      <c r="X21" s="49"/>
      <c r="Y21" s="72"/>
      <c r="Z21" s="52">
        <f>+'Exp 2024'!N22</f>
        <v>181000</v>
      </c>
      <c r="AA21" s="111"/>
      <c r="AB21" s="49"/>
      <c r="AC21" s="72"/>
      <c r="AD21" s="52">
        <f>+'Exp 2024'!P22</f>
        <v>161000</v>
      </c>
      <c r="AE21" s="111"/>
      <c r="AF21" s="49"/>
      <c r="AG21" s="72"/>
      <c r="AH21" s="52">
        <f>+'Exp 2024'!R22</f>
        <v>165000</v>
      </c>
      <c r="AI21" s="111"/>
      <c r="AJ21" s="49"/>
      <c r="AK21" s="72"/>
      <c r="AL21" s="52">
        <f>+'Exp 2024'!T22</f>
        <v>168000</v>
      </c>
      <c r="AM21" s="111"/>
      <c r="AN21" s="49"/>
      <c r="AO21" s="72"/>
      <c r="AP21" s="52">
        <f>+'Exp 2024'!V22</f>
        <v>168000</v>
      </c>
      <c r="AQ21" s="111"/>
      <c r="AR21" s="49"/>
      <c r="AS21" s="72"/>
      <c r="AT21" s="52">
        <f>+'Exp 2024'!X22</f>
        <v>152854</v>
      </c>
      <c r="AU21" s="111"/>
      <c r="AV21" s="49"/>
      <c r="AW21" s="72"/>
      <c r="AX21" s="52">
        <f>+'Exp 2024'!Z22</f>
        <v>152532</v>
      </c>
      <c r="AY21" s="111"/>
      <c r="AZ21" s="49"/>
      <c r="BA21" s="72"/>
      <c r="BB21" s="52">
        <f>+'Exp 2025'!AC23</f>
        <v>166000</v>
      </c>
      <c r="BC21" s="111"/>
      <c r="BD21" s="49"/>
      <c r="BE21" s="72"/>
      <c r="BF21" s="52">
        <f>+'Exp 2025'!AE23</f>
        <v>166000</v>
      </c>
      <c r="BG21" s="111"/>
      <c r="BH21" s="49"/>
      <c r="BI21" s="72"/>
      <c r="BJ21" s="52">
        <f>+'Exp 2025'!AG23</f>
        <v>171600</v>
      </c>
      <c r="BK21" s="111"/>
      <c r="BL21" s="49"/>
      <c r="BM21" s="72"/>
      <c r="BN21" s="52">
        <f>+'Exp 2025'!AI23</f>
        <v>165000</v>
      </c>
      <c r="BO21" s="111"/>
      <c r="BP21" s="49"/>
      <c r="BQ21" s="72"/>
      <c r="BR21" s="52">
        <f>+'Exp 2025'!AK23</f>
        <v>164000</v>
      </c>
      <c r="BS21" s="111"/>
      <c r="BT21" s="49"/>
      <c r="BU21" s="72"/>
      <c r="BV21" s="52">
        <f>+'Exp 2025'!AM23</f>
        <v>170100</v>
      </c>
      <c r="BW21" s="111"/>
      <c r="BX21" s="49"/>
      <c r="BY21" s="72"/>
      <c r="BZ21" s="52">
        <f>+'Exp 2025'!AO23</f>
        <v>160000</v>
      </c>
      <c r="CA21" s="111"/>
      <c r="CB21" s="49"/>
      <c r="CC21" s="72"/>
      <c r="CD21" s="52">
        <f>+'Exp 2025'!AQ23</f>
        <v>180000</v>
      </c>
      <c r="CE21" s="111"/>
      <c r="CF21" s="49"/>
      <c r="CG21" s="72"/>
      <c r="CH21" s="52">
        <f>+'Exp 2025'!AS23</f>
        <v>171500</v>
      </c>
      <c r="CI21" s="111"/>
      <c r="CJ21" s="49"/>
      <c r="CK21" s="72"/>
      <c r="CL21" s="52">
        <f>+'Exp 2025'!AU23</f>
        <v>154000</v>
      </c>
      <c r="CM21" s="111"/>
      <c r="CN21" s="49"/>
      <c r="CO21" s="72"/>
      <c r="CP21" s="52">
        <f>+'Exp 2025'!AW23</f>
        <v>169200</v>
      </c>
      <c r="CQ21" s="111"/>
      <c r="CR21" s="49"/>
      <c r="CS21" s="72"/>
      <c r="CT21" s="52">
        <f>+'Exp 2025'!AY23</f>
        <v>189600</v>
      </c>
      <c r="CU21" s="111"/>
      <c r="CV21" s="49"/>
      <c r="CW21" s="72"/>
      <c r="CX21" s="52">
        <f t="shared" si="0"/>
        <v>1162700</v>
      </c>
      <c r="CY21" s="111"/>
      <c r="CZ21" s="72"/>
    </row>
    <row r="22" spans="2:104" x14ac:dyDescent="0.3">
      <c r="C22" t="s">
        <v>17</v>
      </c>
      <c r="D22" s="72"/>
      <c r="E22" s="76"/>
      <c r="F22" s="52">
        <f>+Exp!AB26</f>
        <v>50000</v>
      </c>
      <c r="G22" s="111"/>
      <c r="H22" s="49"/>
      <c r="I22" s="72"/>
      <c r="J22" s="52">
        <f>+Exp!AD26</f>
        <v>50000</v>
      </c>
      <c r="K22" s="111"/>
      <c r="L22" s="49"/>
      <c r="M22" s="72"/>
      <c r="N22" s="52">
        <f>+Exp!AF26</f>
        <v>50000</v>
      </c>
      <c r="O22" s="111"/>
      <c r="P22" s="49"/>
      <c r="Q22" s="72"/>
      <c r="R22" s="52">
        <f>+'Exp 2024'!J25</f>
        <v>50000</v>
      </c>
      <c r="S22" s="111"/>
      <c r="T22" s="49"/>
      <c r="U22" s="72"/>
      <c r="V22" s="52">
        <f>+'Exp 2024'!L25</f>
        <v>50000</v>
      </c>
      <c r="W22" s="111"/>
      <c r="X22" s="49"/>
      <c r="Y22" s="72"/>
      <c r="Z22" s="52">
        <f>+'Exp 2024'!N25</f>
        <v>50000</v>
      </c>
      <c r="AA22" s="111"/>
      <c r="AB22" s="49"/>
      <c r="AC22" s="72"/>
      <c r="AD22" s="52">
        <f>+'Exp 2024'!P25</f>
        <v>50000</v>
      </c>
      <c r="AE22" s="111"/>
      <c r="AF22" s="49"/>
      <c r="AG22" s="72"/>
      <c r="AH22" s="52">
        <f>+'Exp 2024'!R25</f>
        <v>50000</v>
      </c>
      <c r="AI22" s="111"/>
      <c r="AJ22" s="49"/>
      <c r="AK22" s="72"/>
      <c r="AL22" s="52">
        <f>+'Exp 2024'!V25</f>
        <v>50000</v>
      </c>
      <c r="AM22" s="111"/>
      <c r="AN22" s="49"/>
      <c r="AO22" s="72"/>
      <c r="AP22" s="52">
        <f>+'Exp 2024'!V25</f>
        <v>50000</v>
      </c>
      <c r="AQ22" s="111"/>
      <c r="AR22" s="49"/>
      <c r="AS22" s="72"/>
      <c r="AT22" s="52">
        <f>+'Exp 2024'!X25</f>
        <v>50000</v>
      </c>
      <c r="AU22" s="111"/>
      <c r="AV22" s="49"/>
      <c r="AW22" s="72"/>
      <c r="AX22" s="52">
        <f>+'Exp 2024'!Z25</f>
        <v>50000</v>
      </c>
      <c r="AY22" s="111"/>
      <c r="AZ22" s="49"/>
      <c r="BA22" s="72"/>
      <c r="BB22" s="52">
        <f>+'Exp 2025'!AC26</f>
        <v>50000</v>
      </c>
      <c r="BC22" s="111"/>
      <c r="BD22" s="49"/>
      <c r="BE22" s="72"/>
      <c r="BF22" s="52">
        <f>+'Exp 2025'!AE26</f>
        <v>50000</v>
      </c>
      <c r="BG22" s="111"/>
      <c r="BH22" s="49"/>
      <c r="BI22" s="72"/>
      <c r="BJ22" s="52">
        <f>+'Exp 2025'!AG26</f>
        <v>50000</v>
      </c>
      <c r="BK22" s="111"/>
      <c r="BL22" s="49"/>
      <c r="BM22" s="72"/>
      <c r="BN22" s="52">
        <f>+'Exp 2025'!AI26</f>
        <v>50000</v>
      </c>
      <c r="BO22" s="111"/>
      <c r="BP22" s="49"/>
      <c r="BQ22" s="72"/>
      <c r="BR22" s="52">
        <f>+'Exp 2025'!AK26</f>
        <v>50000</v>
      </c>
      <c r="BS22" s="111"/>
      <c r="BT22" s="49"/>
      <c r="BU22" s="72"/>
      <c r="BV22" s="52">
        <f>+'Exp 2025'!AM26</f>
        <v>65000</v>
      </c>
      <c r="BW22" s="111"/>
      <c r="BX22" s="49"/>
      <c r="BY22" s="72"/>
      <c r="BZ22" s="52">
        <f>+'Exp 2025'!AO26</f>
        <v>65000</v>
      </c>
      <c r="CA22" s="111"/>
      <c r="CB22" s="49"/>
      <c r="CC22" s="72"/>
      <c r="CD22" s="52">
        <f>+'Exp 2025'!AQ26</f>
        <v>65000</v>
      </c>
      <c r="CE22" s="111"/>
      <c r="CF22" s="49"/>
      <c r="CG22" s="72"/>
      <c r="CH22" s="52">
        <f>+'Exp 2025'!AS26</f>
        <v>65000</v>
      </c>
      <c r="CI22" s="111"/>
      <c r="CJ22" s="49"/>
      <c r="CK22" s="72"/>
      <c r="CL22" s="52">
        <f>+'Exp 2025'!AU26</f>
        <v>65000</v>
      </c>
      <c r="CM22" s="111"/>
      <c r="CN22" s="49"/>
      <c r="CO22" s="72"/>
      <c r="CP22" s="52">
        <f>+'Exp 2025'!AW26</f>
        <v>65000</v>
      </c>
      <c r="CQ22" s="111"/>
      <c r="CR22" s="49"/>
      <c r="CS22" s="72"/>
      <c r="CT22" s="52">
        <f>+'Exp 2025'!AY26</f>
        <v>65000</v>
      </c>
      <c r="CU22" s="111"/>
      <c r="CV22" s="49"/>
      <c r="CW22" s="72"/>
      <c r="CX22" s="52">
        <f t="shared" si="0"/>
        <v>380000</v>
      </c>
      <c r="CY22" s="111"/>
      <c r="CZ22" s="72"/>
    </row>
    <row r="23" spans="2:104" x14ac:dyDescent="0.3">
      <c r="C23" t="s">
        <v>62</v>
      </c>
      <c r="D23" s="72"/>
      <c r="E23" s="76"/>
      <c r="F23" s="52">
        <f>+Exp!AB34</f>
        <v>24500</v>
      </c>
      <c r="G23" s="111"/>
      <c r="H23" s="49"/>
      <c r="I23" s="72"/>
      <c r="J23" s="52">
        <f>+Exp!AD34</f>
        <v>9500</v>
      </c>
      <c r="K23" s="111"/>
      <c r="L23" s="49"/>
      <c r="M23" s="72"/>
      <c r="N23" s="52">
        <f>+Exp!AF34</f>
        <v>9500</v>
      </c>
      <c r="O23" s="111"/>
      <c r="P23" s="49"/>
      <c r="Q23" s="72"/>
      <c r="R23" s="52">
        <f>+'Exp 2024'!J33</f>
        <v>16000</v>
      </c>
      <c r="S23" s="111"/>
      <c r="T23" s="49"/>
      <c r="U23" s="72"/>
      <c r="V23" s="52">
        <f>+'Exp 2024'!L33</f>
        <v>25100</v>
      </c>
      <c r="W23" s="111"/>
      <c r="X23" s="49"/>
      <c r="Y23" s="72"/>
      <c r="Z23" s="52">
        <f>+'Exp 2024'!N33</f>
        <v>5300</v>
      </c>
      <c r="AA23" s="111"/>
      <c r="AB23" s="49"/>
      <c r="AC23" s="72"/>
      <c r="AD23" s="52">
        <f>+'Exp 2024'!P33</f>
        <v>14300</v>
      </c>
      <c r="AE23" s="111"/>
      <c r="AF23" s="49"/>
      <c r="AG23" s="72"/>
      <c r="AH23" s="52">
        <f>+'Exp 2024'!R33</f>
        <v>12000</v>
      </c>
      <c r="AI23" s="111"/>
      <c r="AJ23" s="49"/>
      <c r="AK23" s="72"/>
      <c r="AL23" s="52">
        <f>+'Exp 2024'!T33</f>
        <v>27550</v>
      </c>
      <c r="AM23" s="111"/>
      <c r="AN23" s="49"/>
      <c r="AO23" s="72"/>
      <c r="AP23" s="52">
        <f>+'Exp 2024'!V33</f>
        <v>17200</v>
      </c>
      <c r="AQ23" s="111"/>
      <c r="AR23" s="49"/>
      <c r="AS23" s="72"/>
      <c r="AT23" s="52">
        <f>+'Exp 2024'!X33</f>
        <v>9500</v>
      </c>
      <c r="AU23" s="111"/>
      <c r="AV23" s="49"/>
      <c r="AW23" s="72"/>
      <c r="AX23" s="52">
        <f>+'Exp 2024'!Z33</f>
        <v>112300</v>
      </c>
      <c r="AY23" s="111"/>
      <c r="AZ23" s="49"/>
      <c r="BA23" s="72"/>
      <c r="BB23" s="52">
        <f>+'Exp 2025'!AC34</f>
        <v>22000</v>
      </c>
      <c r="BC23" s="111"/>
      <c r="BD23" s="49"/>
      <c r="BE23" s="72"/>
      <c r="BF23" s="52">
        <f>+'Exp 2025'!AE34</f>
        <v>13200</v>
      </c>
      <c r="BG23" s="111"/>
      <c r="BH23" s="49"/>
      <c r="BI23" s="72"/>
      <c r="BJ23" s="52">
        <f>+'Exp 2025'!AG34</f>
        <v>10900</v>
      </c>
      <c r="BK23" s="111"/>
      <c r="BL23" s="49"/>
      <c r="BM23" s="72"/>
      <c r="BN23" s="52">
        <f>+'Exp 2025'!AI34</f>
        <v>98400</v>
      </c>
      <c r="BO23" s="111"/>
      <c r="BP23" s="49"/>
      <c r="BQ23" s="72"/>
      <c r="BR23" s="52">
        <f>+'Exp 2025'!AK34</f>
        <v>11100</v>
      </c>
      <c r="BS23" s="111"/>
      <c r="BT23" s="49"/>
      <c r="BU23" s="72"/>
      <c r="BV23" s="52">
        <f>+'Exp 2025'!AM34</f>
        <v>12500</v>
      </c>
      <c r="BW23" s="111"/>
      <c r="BX23" s="49"/>
      <c r="BY23" s="72"/>
      <c r="BZ23" s="52">
        <f>+'Exp 2025'!AO34</f>
        <v>13900</v>
      </c>
      <c r="CA23" s="111"/>
      <c r="CB23" s="49"/>
      <c r="CC23" s="72"/>
      <c r="CD23" s="52">
        <f>+'Exp 2025'!AQ34</f>
        <v>19100</v>
      </c>
      <c r="CE23" s="111"/>
      <c r="CF23" s="49"/>
      <c r="CG23" s="72"/>
      <c r="CH23" s="52">
        <f>+'Exp 2025'!AS34</f>
        <v>18200</v>
      </c>
      <c r="CI23" s="111"/>
      <c r="CJ23" s="49"/>
      <c r="CK23" s="72"/>
      <c r="CL23" s="52">
        <f>+'Exp 2025'!AU34</f>
        <v>16300</v>
      </c>
      <c r="CM23" s="111"/>
      <c r="CN23" s="49"/>
      <c r="CO23" s="72"/>
      <c r="CP23" s="52">
        <f>+'Exp 2025'!AW34</f>
        <v>10500</v>
      </c>
      <c r="CQ23" s="111"/>
      <c r="CR23" s="49"/>
      <c r="CS23" s="72"/>
      <c r="CT23" s="52">
        <f>+'Exp 2025'!AY34</f>
        <v>9500</v>
      </c>
      <c r="CU23" s="111"/>
      <c r="CV23" s="49"/>
      <c r="CW23" s="72"/>
      <c r="CX23" s="52">
        <f t="shared" si="0"/>
        <v>182000</v>
      </c>
      <c r="CY23" s="111"/>
      <c r="CZ23" s="72"/>
    </row>
    <row r="24" spans="2:104" x14ac:dyDescent="0.3">
      <c r="C24" t="s">
        <v>21</v>
      </c>
      <c r="D24" s="72"/>
      <c r="E24" s="76"/>
      <c r="F24" s="54">
        <f>+Exp!AB37</f>
        <v>14850</v>
      </c>
      <c r="G24" s="174"/>
      <c r="H24" s="49"/>
      <c r="I24" s="72"/>
      <c r="J24" s="54">
        <f>+Exp!AD37</f>
        <v>15100</v>
      </c>
      <c r="K24" s="174"/>
      <c r="L24" s="49"/>
      <c r="M24" s="72"/>
      <c r="N24" s="54">
        <f>+Exp!AF37</f>
        <v>17500</v>
      </c>
      <c r="O24" s="174"/>
      <c r="P24" s="49"/>
      <c r="Q24" s="72"/>
      <c r="R24" s="54">
        <f>+'Exp 2024'!J36</f>
        <v>19300</v>
      </c>
      <c r="S24" s="174"/>
      <c r="T24" s="49"/>
      <c r="U24" s="72"/>
      <c r="V24" s="54">
        <f>+'Exp 2024'!L36</f>
        <v>10200</v>
      </c>
      <c r="W24" s="174"/>
      <c r="X24" s="49"/>
      <c r="Y24" s="72"/>
      <c r="Z24" s="54">
        <f>+'Exp 2024'!N36</f>
        <v>19257</v>
      </c>
      <c r="AA24" s="174"/>
      <c r="AB24" s="49"/>
      <c r="AC24" s="72"/>
      <c r="AD24" s="54">
        <f>+'Exp 2024'!P36</f>
        <v>24890</v>
      </c>
      <c r="AE24" s="174"/>
      <c r="AF24" s="49"/>
      <c r="AG24" s="72"/>
      <c r="AH24" s="54">
        <f>+'Exp 2024'!R36</f>
        <v>41230</v>
      </c>
      <c r="AI24" s="174"/>
      <c r="AJ24" s="49"/>
      <c r="AK24" s="72"/>
      <c r="AL24" s="54">
        <f>+'Exp 2024'!T36</f>
        <v>24530</v>
      </c>
      <c r="AM24" s="174"/>
      <c r="AN24" s="49"/>
      <c r="AO24" s="72"/>
      <c r="AP24" s="54">
        <f>+'Exp 2024'!V36</f>
        <v>21500</v>
      </c>
      <c r="AQ24" s="174"/>
      <c r="AR24" s="49"/>
      <c r="AS24" s="72"/>
      <c r="AT24" s="54">
        <f>+'Exp 2024'!X36</f>
        <v>15600</v>
      </c>
      <c r="AU24" s="174"/>
      <c r="AV24" s="49"/>
      <c r="AW24" s="72"/>
      <c r="AX24" s="54">
        <f>+'Exp 2024'!Z36</f>
        <v>20610</v>
      </c>
      <c r="AY24" s="174"/>
      <c r="AZ24" s="49"/>
      <c r="BA24" s="72"/>
      <c r="BB24" s="54">
        <f>+'Exp 2025'!AC37</f>
        <v>29300</v>
      </c>
      <c r="BC24" s="174"/>
      <c r="BD24" s="49"/>
      <c r="BE24" s="72"/>
      <c r="BF24" s="54">
        <f>+'Exp 2025'!AE37</f>
        <v>35300</v>
      </c>
      <c r="BG24" s="174"/>
      <c r="BH24" s="49"/>
      <c r="BI24" s="72"/>
      <c r="BJ24" s="54">
        <f>+'Exp 2025'!AG37</f>
        <v>24690</v>
      </c>
      <c r="BK24" s="174"/>
      <c r="BL24" s="49"/>
      <c r="BM24" s="72"/>
      <c r="BN24" s="54">
        <f>+'Exp 2025'!AI37</f>
        <v>24000</v>
      </c>
      <c r="BO24" s="174"/>
      <c r="BP24" s="49"/>
      <c r="BQ24" s="72"/>
      <c r="BR24" s="54">
        <f>+'Exp 2025'!AK37</f>
        <v>12750</v>
      </c>
      <c r="BS24" s="174"/>
      <c r="BT24" s="49"/>
      <c r="BU24" s="72"/>
      <c r="BV24" s="54">
        <f>+'Exp 2025'!AM37</f>
        <v>25100</v>
      </c>
      <c r="BW24" s="174"/>
      <c r="BX24" s="49"/>
      <c r="BY24" s="72"/>
      <c r="BZ24" s="54">
        <f>+'Exp 2025'!AO37</f>
        <v>30000</v>
      </c>
      <c r="CA24" s="174"/>
      <c r="CB24" s="49"/>
      <c r="CC24" s="72"/>
      <c r="CD24" s="54">
        <f>+'Exp 2025'!AQ37</f>
        <v>31500</v>
      </c>
      <c r="CE24" s="174"/>
      <c r="CF24" s="49"/>
      <c r="CG24" s="72"/>
      <c r="CH24" s="54">
        <f>+'Exp 2025'!AS37</f>
        <v>50840</v>
      </c>
      <c r="CI24" s="174"/>
      <c r="CJ24" s="49"/>
      <c r="CK24" s="72"/>
      <c r="CL24" s="54">
        <f>+'Exp 2025'!AU37</f>
        <v>29800</v>
      </c>
      <c r="CM24" s="174"/>
      <c r="CN24" s="49"/>
      <c r="CO24" s="72"/>
      <c r="CP24" s="54">
        <f>+'Exp 2025'!AW37</f>
        <v>21150</v>
      </c>
      <c r="CQ24" s="174"/>
      <c r="CR24" s="49"/>
      <c r="CS24" s="72"/>
      <c r="CT24" s="54">
        <f>+'Exp 2025'!AY37</f>
        <v>29910</v>
      </c>
      <c r="CU24" s="174"/>
      <c r="CV24" s="49"/>
      <c r="CW24" s="72"/>
      <c r="CX24" s="52">
        <f t="shared" si="0"/>
        <v>181140</v>
      </c>
      <c r="CY24" s="174"/>
      <c r="CZ24" s="72"/>
    </row>
    <row r="25" spans="2:104" x14ac:dyDescent="0.3">
      <c r="C25" t="s">
        <v>83</v>
      </c>
      <c r="D25" s="72"/>
      <c r="E25" s="76"/>
      <c r="F25" s="54">
        <f>+Exp!AB57</f>
        <v>25000</v>
      </c>
      <c r="G25" s="174"/>
      <c r="H25" s="49"/>
      <c r="I25" s="72"/>
      <c r="J25" s="54">
        <f>+Exp!AD57</f>
        <v>5000</v>
      </c>
      <c r="K25" s="174"/>
      <c r="L25" s="49"/>
      <c r="M25" s="72"/>
      <c r="N25" s="54">
        <f>+Exp!AF57</f>
        <v>10000</v>
      </c>
      <c r="O25" s="174"/>
      <c r="P25" s="49"/>
      <c r="Q25" s="72"/>
      <c r="R25" s="54">
        <f>+'Exp 2024'!J56</f>
        <v>0</v>
      </c>
      <c r="S25" s="174"/>
      <c r="T25" s="49"/>
      <c r="U25" s="72"/>
      <c r="V25" s="54">
        <f>+'Exp 2024'!L56</f>
        <v>10000</v>
      </c>
      <c r="W25" s="174"/>
      <c r="X25" s="49"/>
      <c r="Y25" s="72"/>
      <c r="Z25" s="54">
        <f>+'Exp 2024'!N56</f>
        <v>45000</v>
      </c>
      <c r="AA25" s="174"/>
      <c r="AB25" s="49"/>
      <c r="AC25" s="72"/>
      <c r="AD25" s="54">
        <f>+'Exp 2024'!P56</f>
        <v>20000</v>
      </c>
      <c r="AE25" s="174"/>
      <c r="AF25" s="49"/>
      <c r="AG25" s="72"/>
      <c r="AH25" s="54">
        <f>+'Exp 2024'!R56</f>
        <v>30000</v>
      </c>
      <c r="AI25" s="174"/>
      <c r="AJ25" s="49"/>
      <c r="AK25" s="72"/>
      <c r="AL25" s="54">
        <f>+'Exp 2024'!T56</f>
        <v>19500</v>
      </c>
      <c r="AM25" s="174"/>
      <c r="AN25" s="49"/>
      <c r="AO25" s="72"/>
      <c r="AP25" s="54">
        <f>+'Exp 2024'!V56</f>
        <v>25000</v>
      </c>
      <c r="AQ25" s="174"/>
      <c r="AR25" s="49"/>
      <c r="AS25" s="72"/>
      <c r="AT25" s="54">
        <f>+'Exp 2024'!X56</f>
        <v>5000</v>
      </c>
      <c r="AU25" s="174"/>
      <c r="AV25" s="49"/>
      <c r="AW25" s="72"/>
      <c r="AX25" s="54">
        <f>+'Exp 2024'!Z56</f>
        <v>0</v>
      </c>
      <c r="AY25" s="174"/>
      <c r="AZ25" s="49"/>
      <c r="BA25" s="72"/>
      <c r="BB25" s="54">
        <f>+'Exp 2025'!AC57</f>
        <v>58900</v>
      </c>
      <c r="BC25" s="174"/>
      <c r="BD25" s="49"/>
      <c r="BE25" s="72"/>
      <c r="BF25" s="54">
        <f>+'Exp 2025'!AE57</f>
        <v>5000</v>
      </c>
      <c r="BG25" s="174"/>
      <c r="BH25" s="49"/>
      <c r="BI25" s="72"/>
      <c r="BJ25" s="54">
        <f>+'Exp 2025'!AG57</f>
        <v>0</v>
      </c>
      <c r="BK25" s="174"/>
      <c r="BL25" s="49"/>
      <c r="BM25" s="72"/>
      <c r="BN25" s="54">
        <f>+'Exp 2025'!AI57</f>
        <v>5000</v>
      </c>
      <c r="BO25" s="174"/>
      <c r="BP25" s="49"/>
      <c r="BQ25" s="72"/>
      <c r="BR25" s="54">
        <f>+'Exp 2025'!AK57</f>
        <v>15000</v>
      </c>
      <c r="BS25" s="174"/>
      <c r="BT25" s="49"/>
      <c r="BU25" s="72"/>
      <c r="BV25" s="54">
        <f>+'Exp 2025'!AM57</f>
        <v>10000</v>
      </c>
      <c r="BW25" s="174"/>
      <c r="BX25" s="49"/>
      <c r="BY25" s="72"/>
      <c r="BZ25" s="54">
        <f>+'Exp 2025'!AO57</f>
        <v>35000</v>
      </c>
      <c r="CA25" s="174"/>
      <c r="CB25" s="49"/>
      <c r="CC25" s="72"/>
      <c r="CD25" s="54">
        <f>+'Exp 2025'!AQ57</f>
        <v>60000</v>
      </c>
      <c r="CE25" s="174"/>
      <c r="CF25" s="49"/>
      <c r="CG25" s="72"/>
      <c r="CH25" s="54">
        <f>+'Exp 2025'!AS57</f>
        <v>30000</v>
      </c>
      <c r="CI25" s="174"/>
      <c r="CJ25" s="49"/>
      <c r="CK25" s="72"/>
      <c r="CL25" s="54">
        <f>+'Exp 2025'!AU57</f>
        <v>25000</v>
      </c>
      <c r="CM25" s="174"/>
      <c r="CN25" s="49"/>
      <c r="CO25" s="72"/>
      <c r="CP25" s="54">
        <f>+'Exp 2025'!AW57</f>
        <v>20624</v>
      </c>
      <c r="CQ25" s="174"/>
      <c r="CR25" s="49"/>
      <c r="CS25" s="72"/>
      <c r="CT25" s="54">
        <f>+'Exp 2025'!AY57</f>
        <v>5000</v>
      </c>
      <c r="CU25" s="174"/>
      <c r="CV25" s="49"/>
      <c r="CW25" s="72"/>
      <c r="CX25" s="52">
        <f t="shared" si="0"/>
        <v>128900</v>
      </c>
      <c r="CY25" s="174"/>
      <c r="CZ25" s="72"/>
    </row>
    <row r="26" spans="2:104" x14ac:dyDescent="0.3">
      <c r="C26" t="s">
        <v>78</v>
      </c>
      <c r="D26" s="72"/>
      <c r="E26" s="76"/>
      <c r="F26" s="54">
        <f>+Exp!AB73</f>
        <v>0</v>
      </c>
      <c r="G26" s="174"/>
      <c r="H26" s="75"/>
      <c r="I26" s="72"/>
      <c r="J26" s="54">
        <f>+Exp!AD73</f>
        <v>0</v>
      </c>
      <c r="K26" s="174"/>
      <c r="L26" s="75"/>
      <c r="M26" s="72"/>
      <c r="N26" s="54">
        <f>+Exp!AF73</f>
        <v>17000</v>
      </c>
      <c r="O26" s="174"/>
      <c r="P26" s="75"/>
      <c r="Q26" s="72"/>
      <c r="R26" s="54">
        <f>+'Exp 2024'!J74</f>
        <v>0</v>
      </c>
      <c r="S26" s="174"/>
      <c r="T26" s="75"/>
      <c r="U26" s="72"/>
      <c r="V26" s="54">
        <v>0</v>
      </c>
      <c r="W26" s="174"/>
      <c r="X26" s="75"/>
      <c r="Y26" s="72"/>
      <c r="Z26" s="54">
        <v>0</v>
      </c>
      <c r="AA26" s="174"/>
      <c r="AB26" s="75"/>
      <c r="AC26" s="72"/>
      <c r="AD26" s="54">
        <f>+'Exp 2024'!P74</f>
        <v>250000</v>
      </c>
      <c r="AE26" s="174"/>
      <c r="AF26" s="75"/>
      <c r="AG26" s="72"/>
      <c r="AH26" s="54">
        <f>+'Exp 2024'!R74</f>
        <v>0</v>
      </c>
      <c r="AI26" s="174"/>
      <c r="AJ26" s="75"/>
      <c r="AK26" s="72"/>
      <c r="AL26" s="54">
        <f>+'Exp 2024'!T74</f>
        <v>0</v>
      </c>
      <c r="AM26" s="174"/>
      <c r="AN26" s="75"/>
      <c r="AO26" s="72"/>
      <c r="AP26" s="54">
        <f>+'Exp 2024'!V74</f>
        <v>0</v>
      </c>
      <c r="AQ26" s="174"/>
      <c r="AR26" s="75"/>
      <c r="AS26" s="72"/>
      <c r="AT26" s="54">
        <f>+'Exp 2024'!X74</f>
        <v>123000</v>
      </c>
      <c r="AU26" s="174"/>
      <c r="AV26" s="75"/>
      <c r="AW26" s="72"/>
      <c r="AX26" s="54">
        <v>0</v>
      </c>
      <c r="AY26" s="174"/>
      <c r="AZ26" s="75"/>
      <c r="BA26" s="72"/>
      <c r="BB26" s="54">
        <f>+'Exp 2025'!AC75</f>
        <v>0</v>
      </c>
      <c r="BC26" s="174"/>
      <c r="BD26" s="75"/>
      <c r="BE26" s="72"/>
      <c r="BF26" s="54">
        <f>+'Exp 2025'!AE75</f>
        <v>0</v>
      </c>
      <c r="BG26" s="174"/>
      <c r="BH26" s="75"/>
      <c r="BI26" s="72"/>
      <c r="BJ26" s="54">
        <f>+'Exp 2025'!AG75</f>
        <v>0</v>
      </c>
      <c r="BK26" s="174"/>
      <c r="BL26" s="75"/>
      <c r="BM26" s="72"/>
      <c r="BN26" s="54">
        <f>+'Exp 2025'!AI75</f>
        <v>0</v>
      </c>
      <c r="BO26" s="174"/>
      <c r="BP26" s="75"/>
      <c r="BQ26" s="72"/>
      <c r="BR26" s="54">
        <f>+'Exp 2025'!AK75</f>
        <v>0</v>
      </c>
      <c r="BS26" s="174"/>
      <c r="BT26" s="75"/>
      <c r="BU26" s="72"/>
      <c r="BV26" s="54">
        <f>+'Exp 2025'!AM75</f>
        <v>250000</v>
      </c>
      <c r="BW26" s="174"/>
      <c r="BX26" s="75"/>
      <c r="BY26" s="72"/>
      <c r="BZ26" s="54">
        <v>0</v>
      </c>
      <c r="CA26" s="174"/>
      <c r="CB26" s="75"/>
      <c r="CC26" s="72"/>
      <c r="CD26" s="54">
        <f>+'Exp 2025'!AQ75</f>
        <v>1800</v>
      </c>
      <c r="CE26" s="174"/>
      <c r="CF26" s="75"/>
      <c r="CG26" s="72"/>
      <c r="CH26" s="54">
        <f>+'Exp 2025'!AS75</f>
        <v>0</v>
      </c>
      <c r="CI26" s="174"/>
      <c r="CJ26" s="75"/>
      <c r="CK26" s="72"/>
      <c r="CL26" s="54">
        <f>+'Exp 2025'!AU75</f>
        <v>0</v>
      </c>
      <c r="CM26" s="174"/>
      <c r="CN26" s="75"/>
      <c r="CO26" s="72"/>
      <c r="CP26" s="54">
        <v>0</v>
      </c>
      <c r="CQ26" s="174"/>
      <c r="CR26" s="75"/>
      <c r="CS26" s="72"/>
      <c r="CT26" s="54">
        <v>0</v>
      </c>
      <c r="CU26" s="174"/>
      <c r="CV26" s="75"/>
      <c r="CW26" s="72"/>
      <c r="CX26" s="52">
        <f t="shared" si="0"/>
        <v>250000</v>
      </c>
      <c r="CY26" s="174"/>
      <c r="CZ26" s="72"/>
    </row>
    <row r="27" spans="2:104" x14ac:dyDescent="0.3">
      <c r="C27" t="s">
        <v>1140</v>
      </c>
      <c r="D27" s="72"/>
      <c r="E27" s="76"/>
      <c r="F27" s="54">
        <f>+Exp!AB62</f>
        <v>0</v>
      </c>
      <c r="G27" s="174"/>
      <c r="H27" s="49"/>
      <c r="I27" s="72"/>
      <c r="J27" s="54">
        <f>+Exp!AD62</f>
        <v>0</v>
      </c>
      <c r="K27" s="174"/>
      <c r="L27" s="49"/>
      <c r="M27" s="72"/>
      <c r="N27" s="54">
        <f>+Exp!AF62</f>
        <v>0</v>
      </c>
      <c r="O27" s="174"/>
      <c r="P27" s="49"/>
      <c r="Q27" s="72"/>
      <c r="R27" s="54">
        <f>+'Exp 2024'!J61</f>
        <v>0</v>
      </c>
      <c r="S27" s="174"/>
      <c r="T27" s="49"/>
      <c r="U27" s="72"/>
      <c r="V27" s="54">
        <v>0</v>
      </c>
      <c r="W27" s="174"/>
      <c r="X27" s="49"/>
      <c r="Y27" s="72"/>
      <c r="Z27" s="54">
        <v>0</v>
      </c>
      <c r="AA27" s="174"/>
      <c r="AB27" s="49"/>
      <c r="AC27" s="72"/>
      <c r="AD27" s="54">
        <v>0</v>
      </c>
      <c r="AE27" s="174"/>
      <c r="AF27" s="49"/>
      <c r="AG27" s="72"/>
      <c r="AH27" s="54">
        <f>+'Exp 2024'!R60</f>
        <v>71000</v>
      </c>
      <c r="AI27" s="174"/>
      <c r="AJ27" s="49"/>
      <c r="AK27" s="72"/>
      <c r="AL27" s="54">
        <f>+'Exp 2024'!T60</f>
        <v>6500</v>
      </c>
      <c r="AM27" s="174"/>
      <c r="AN27" s="49"/>
      <c r="AO27" s="72"/>
      <c r="AP27" s="54">
        <v>0</v>
      </c>
      <c r="AQ27" s="174"/>
      <c r="AR27" s="49"/>
      <c r="AS27" s="72"/>
      <c r="AT27" s="54">
        <f>+'Exp 2024'!X60</f>
        <v>0</v>
      </c>
      <c r="AU27" s="174"/>
      <c r="AV27" s="49"/>
      <c r="AW27" s="72"/>
      <c r="AX27" s="54">
        <f>+'Exp 2024'!Z57+'Exp 2024'!Z58</f>
        <v>128540</v>
      </c>
      <c r="AY27" s="174"/>
      <c r="AZ27" s="49"/>
      <c r="BA27" s="72"/>
      <c r="BB27" s="54">
        <v>0</v>
      </c>
      <c r="BC27" s="174"/>
      <c r="BD27" s="49"/>
      <c r="BE27" s="72"/>
      <c r="BF27" s="54">
        <v>0</v>
      </c>
      <c r="BG27" s="174"/>
      <c r="BH27" s="49"/>
      <c r="BI27" s="72"/>
      <c r="BJ27" s="54">
        <v>0</v>
      </c>
      <c r="BK27" s="174"/>
      <c r="BL27" s="49"/>
      <c r="BM27" s="72"/>
      <c r="BN27" s="54">
        <f>+'Exp 2025'!AI58</f>
        <v>27510</v>
      </c>
      <c r="BO27" s="174"/>
      <c r="BP27" s="49"/>
      <c r="BQ27" s="72"/>
      <c r="BR27" s="54">
        <v>0</v>
      </c>
      <c r="BS27" s="174"/>
      <c r="BT27" s="49"/>
      <c r="BU27" s="72"/>
      <c r="BV27" s="54">
        <v>0</v>
      </c>
      <c r="BW27" s="174"/>
      <c r="BX27" s="49"/>
      <c r="BY27" s="72"/>
      <c r="BZ27" s="54">
        <v>0</v>
      </c>
      <c r="CA27" s="174"/>
      <c r="CB27" s="49"/>
      <c r="CC27" s="72"/>
      <c r="CD27" s="54">
        <v>0</v>
      </c>
      <c r="CE27" s="174"/>
      <c r="CF27" s="49"/>
      <c r="CG27" s="72"/>
      <c r="CH27" s="54">
        <v>0</v>
      </c>
      <c r="CI27" s="174"/>
      <c r="CJ27" s="49"/>
      <c r="CK27" s="72"/>
      <c r="CL27" s="54">
        <f>+'Exp 2025'!AU62</f>
        <v>261190</v>
      </c>
      <c r="CM27" s="174"/>
      <c r="CN27" s="49"/>
      <c r="CO27" s="72"/>
      <c r="CP27" s="54">
        <f>+'Exp 2025'!AW62</f>
        <v>348160</v>
      </c>
      <c r="CQ27" s="174"/>
      <c r="CR27" s="49"/>
      <c r="CS27" s="72"/>
      <c r="CT27" s="54">
        <v>0</v>
      </c>
      <c r="CU27" s="174"/>
      <c r="CV27" s="49"/>
      <c r="CW27" s="72"/>
      <c r="CX27" s="52">
        <f t="shared" si="0"/>
        <v>27510</v>
      </c>
      <c r="CY27" s="174"/>
      <c r="CZ27" s="72"/>
    </row>
    <row r="28" spans="2:104" x14ac:dyDescent="0.3">
      <c r="C28" t="s">
        <v>1688</v>
      </c>
      <c r="D28" s="72"/>
      <c r="E28" s="76"/>
      <c r="F28" s="54">
        <f>+Exp!AB65</f>
        <v>0</v>
      </c>
      <c r="G28" s="174"/>
      <c r="H28" s="49"/>
      <c r="I28" s="72"/>
      <c r="J28" s="54">
        <f>+Exp!AD65</f>
        <v>44000</v>
      </c>
      <c r="K28" s="174"/>
      <c r="L28" s="49"/>
      <c r="M28" s="72"/>
      <c r="N28" s="54">
        <f>+Exp!AF63</f>
        <v>0</v>
      </c>
      <c r="O28" s="174"/>
      <c r="P28" s="49"/>
      <c r="Q28" s="72"/>
      <c r="R28" s="54">
        <f>+'Exp 2024'!J62</f>
        <v>0</v>
      </c>
      <c r="S28" s="174"/>
      <c r="T28" s="49"/>
      <c r="U28" s="72"/>
      <c r="V28" s="54">
        <v>0</v>
      </c>
      <c r="W28" s="174"/>
      <c r="X28" s="49"/>
      <c r="Y28" s="72"/>
      <c r="Z28" s="54">
        <v>0</v>
      </c>
      <c r="AA28" s="174"/>
      <c r="AB28" s="49"/>
      <c r="AC28" s="72"/>
      <c r="AD28" s="54">
        <v>0</v>
      </c>
      <c r="AE28" s="174"/>
      <c r="AF28" s="49"/>
      <c r="AG28" s="72"/>
      <c r="AH28" s="54">
        <f>+'Exp 2024'!R62</f>
        <v>0</v>
      </c>
      <c r="AI28" s="174"/>
      <c r="AJ28" s="49"/>
      <c r="AK28" s="72"/>
      <c r="AL28" s="54">
        <f>+'Exp 2024'!T57</f>
        <v>0</v>
      </c>
      <c r="AM28" s="174"/>
      <c r="AN28" s="49"/>
      <c r="AO28" s="72"/>
      <c r="AP28" s="54">
        <f>+'Exp 2024'!V62</f>
        <v>5300</v>
      </c>
      <c r="AQ28" s="174"/>
      <c r="AR28" s="49"/>
      <c r="AS28" s="72"/>
      <c r="AT28" s="54">
        <f>+'Exp 2024'!X62</f>
        <v>5600</v>
      </c>
      <c r="AU28" s="174"/>
      <c r="AV28" s="49"/>
      <c r="AW28" s="72"/>
      <c r="AX28" s="54">
        <f>+'Exp 2024'!Z62</f>
        <v>46000</v>
      </c>
      <c r="AY28" s="174"/>
      <c r="AZ28" s="49"/>
      <c r="BA28" s="72"/>
      <c r="BB28" s="54">
        <v>0</v>
      </c>
      <c r="BC28" s="174"/>
      <c r="BD28" s="49"/>
      <c r="BE28" s="72"/>
      <c r="BF28" s="54">
        <f>+'Exp 2025'!AE106</f>
        <v>25000</v>
      </c>
      <c r="BG28" s="174"/>
      <c r="BH28" s="49"/>
      <c r="BI28" s="72"/>
      <c r="BJ28" s="54">
        <v>0</v>
      </c>
      <c r="BK28" s="174"/>
      <c r="BL28" s="49"/>
      <c r="BM28" s="72"/>
      <c r="BN28" s="54">
        <v>0</v>
      </c>
      <c r="BO28" s="174"/>
      <c r="BP28" s="49"/>
      <c r="BQ28" s="72"/>
      <c r="BR28" s="54">
        <v>0</v>
      </c>
      <c r="BS28" s="174"/>
      <c r="BT28" s="49"/>
      <c r="BU28" s="72"/>
      <c r="BV28" s="54">
        <v>0</v>
      </c>
      <c r="BW28" s="174"/>
      <c r="BX28" s="49"/>
      <c r="BY28" s="72"/>
      <c r="BZ28" s="54">
        <f>+'Exp 2025'!AO105</f>
        <v>2627500</v>
      </c>
      <c r="CA28" s="174"/>
      <c r="CB28" s="49"/>
      <c r="CC28" s="72"/>
      <c r="CD28" s="54">
        <v>0</v>
      </c>
      <c r="CE28" s="174"/>
      <c r="CF28" s="49"/>
      <c r="CG28" s="72"/>
      <c r="CH28" s="54">
        <f>+'Exp 2025'!AS67</f>
        <v>60000</v>
      </c>
      <c r="CI28" s="174"/>
      <c r="CJ28" s="49"/>
      <c r="CK28" s="72"/>
      <c r="CL28" s="54">
        <v>0</v>
      </c>
      <c r="CM28" s="174"/>
      <c r="CN28" s="49"/>
      <c r="CO28" s="72"/>
      <c r="CP28" s="54">
        <v>0</v>
      </c>
      <c r="CQ28" s="174"/>
      <c r="CR28" s="49"/>
      <c r="CS28" s="72"/>
      <c r="CT28" s="54">
        <v>0</v>
      </c>
      <c r="CU28" s="174"/>
      <c r="CV28" s="49"/>
      <c r="CW28" s="72"/>
      <c r="CX28" s="52">
        <f t="shared" si="0"/>
        <v>2652500</v>
      </c>
      <c r="CY28" s="174"/>
      <c r="CZ28" s="72"/>
    </row>
    <row r="29" spans="2:104" x14ac:dyDescent="0.3">
      <c r="C29" t="s">
        <v>1443</v>
      </c>
      <c r="D29" s="72"/>
      <c r="E29" s="76"/>
      <c r="F29" s="54"/>
      <c r="G29" s="174"/>
      <c r="H29" s="49"/>
      <c r="I29" s="72"/>
      <c r="J29" s="54"/>
      <c r="K29" s="174"/>
      <c r="L29" s="49"/>
      <c r="M29" s="72"/>
      <c r="N29" s="54">
        <f>+Exp!AF64</f>
        <v>15900</v>
      </c>
      <c r="O29" s="174"/>
      <c r="P29" s="49"/>
      <c r="Q29" s="72"/>
      <c r="R29" s="54">
        <f>+'Exp 2024'!J63</f>
        <v>0</v>
      </c>
      <c r="S29" s="174"/>
      <c r="T29" s="49"/>
      <c r="U29" s="72"/>
      <c r="V29" s="54">
        <v>0</v>
      </c>
      <c r="W29" s="174"/>
      <c r="X29" s="49"/>
      <c r="Y29" s="72"/>
      <c r="Z29" s="54">
        <v>0</v>
      </c>
      <c r="AA29" s="174"/>
      <c r="AB29" s="49"/>
      <c r="AC29" s="72"/>
      <c r="AD29" s="54">
        <v>0</v>
      </c>
      <c r="AE29" s="174"/>
      <c r="AF29" s="49"/>
      <c r="AG29" s="72"/>
      <c r="AH29" s="54">
        <v>0</v>
      </c>
      <c r="AI29" s="174"/>
      <c r="AJ29" s="49"/>
      <c r="AK29" s="72"/>
      <c r="AL29" s="54">
        <v>0</v>
      </c>
      <c r="AM29" s="174"/>
      <c r="AN29" s="49"/>
      <c r="AO29" s="72"/>
      <c r="AP29" s="54">
        <v>0</v>
      </c>
      <c r="AQ29" s="174"/>
      <c r="AR29" s="49"/>
      <c r="AS29" s="72"/>
      <c r="AT29" s="54">
        <v>0</v>
      </c>
      <c r="AU29" s="174"/>
      <c r="AV29" s="49"/>
      <c r="AW29" s="72"/>
      <c r="AX29" s="54">
        <v>0</v>
      </c>
      <c r="AY29" s="174"/>
      <c r="AZ29" s="49"/>
      <c r="BA29" s="72"/>
      <c r="BB29" s="54">
        <v>0</v>
      </c>
      <c r="BC29" s="174"/>
      <c r="BD29" s="49"/>
      <c r="BE29" s="72"/>
      <c r="BF29" s="54">
        <v>0</v>
      </c>
      <c r="BG29" s="174"/>
      <c r="BH29" s="49"/>
      <c r="BI29" s="72"/>
      <c r="BJ29" s="54">
        <v>0</v>
      </c>
      <c r="BK29" s="174"/>
      <c r="BL29" s="49"/>
      <c r="BM29" s="72"/>
      <c r="BN29" s="54">
        <v>0</v>
      </c>
      <c r="BO29" s="174"/>
      <c r="BP29" s="49"/>
      <c r="BQ29" s="72"/>
      <c r="BR29" s="54">
        <v>0</v>
      </c>
      <c r="BS29" s="174"/>
      <c r="BT29" s="49"/>
      <c r="BU29" s="72"/>
      <c r="BV29" s="54">
        <v>0</v>
      </c>
      <c r="BW29" s="174"/>
      <c r="BX29" s="49"/>
      <c r="BY29" s="72"/>
      <c r="BZ29" s="54">
        <f>+'Exp 2025'!AO107</f>
        <v>238000</v>
      </c>
      <c r="CA29" s="174"/>
      <c r="CB29" s="49"/>
      <c r="CC29" s="72"/>
      <c r="CD29" s="54">
        <v>0</v>
      </c>
      <c r="CE29" s="174"/>
      <c r="CF29" s="49"/>
      <c r="CG29" s="72"/>
      <c r="CH29" s="54">
        <v>0</v>
      </c>
      <c r="CI29" s="174"/>
      <c r="CJ29" s="49"/>
      <c r="CK29" s="72"/>
      <c r="CL29" s="54">
        <v>0</v>
      </c>
      <c r="CM29" s="174"/>
      <c r="CN29" s="49"/>
      <c r="CO29" s="72"/>
      <c r="CP29" s="54">
        <v>0</v>
      </c>
      <c r="CQ29" s="174"/>
      <c r="CR29" s="49"/>
      <c r="CS29" s="72"/>
      <c r="CT29" s="54">
        <v>0</v>
      </c>
      <c r="CU29" s="174"/>
      <c r="CV29" s="49"/>
      <c r="CW29" s="72"/>
      <c r="CX29" s="52">
        <f t="shared" si="0"/>
        <v>238000</v>
      </c>
      <c r="CY29" s="174"/>
      <c r="CZ29" s="72"/>
    </row>
    <row r="30" spans="2:104" x14ac:dyDescent="0.3">
      <c r="C30" t="s">
        <v>1695</v>
      </c>
      <c r="D30" s="72"/>
      <c r="E30" s="76"/>
      <c r="F30" s="54"/>
      <c r="G30" s="174"/>
      <c r="H30" s="49"/>
      <c r="I30" s="72"/>
      <c r="J30" s="54"/>
      <c r="K30" s="174"/>
      <c r="L30" s="49"/>
      <c r="M30" s="72"/>
      <c r="N30" s="54"/>
      <c r="O30" s="174"/>
      <c r="P30" s="49"/>
      <c r="Q30" s="72"/>
      <c r="R30" s="54"/>
      <c r="S30" s="174"/>
      <c r="T30" s="49"/>
      <c r="U30" s="72"/>
      <c r="V30" s="54"/>
      <c r="W30" s="174"/>
      <c r="X30" s="49"/>
      <c r="Y30" s="72"/>
      <c r="Z30" s="54">
        <f>+'Exp 2024'!N65</f>
        <v>34500</v>
      </c>
      <c r="AA30" s="174"/>
      <c r="AB30" s="49"/>
      <c r="AC30" s="72"/>
      <c r="AD30" s="54">
        <v>0</v>
      </c>
      <c r="AE30" s="174"/>
      <c r="AF30" s="49"/>
      <c r="AG30" s="72"/>
      <c r="AH30" s="54">
        <v>0</v>
      </c>
      <c r="AI30" s="174"/>
      <c r="AJ30" s="49"/>
      <c r="AK30" s="72"/>
      <c r="AL30" s="54">
        <v>0</v>
      </c>
      <c r="AM30" s="174"/>
      <c r="AN30" s="49"/>
      <c r="AO30" s="72"/>
      <c r="AP30" s="54">
        <v>0</v>
      </c>
      <c r="AQ30" s="174"/>
      <c r="AR30" s="49"/>
      <c r="AS30" s="72"/>
      <c r="AT30" s="54">
        <v>0</v>
      </c>
      <c r="AU30" s="174"/>
      <c r="AV30" s="49"/>
      <c r="AW30" s="72"/>
      <c r="AX30" s="54">
        <v>0</v>
      </c>
      <c r="AY30" s="174"/>
      <c r="AZ30" s="49"/>
      <c r="BA30" s="72"/>
      <c r="BB30" s="54">
        <v>0</v>
      </c>
      <c r="BC30" s="174"/>
      <c r="BD30" s="49"/>
      <c r="BE30" s="72"/>
      <c r="BF30" s="54">
        <v>0</v>
      </c>
      <c r="BG30" s="174"/>
      <c r="BH30" s="49"/>
      <c r="BI30" s="72"/>
      <c r="BJ30" s="54">
        <v>0</v>
      </c>
      <c r="BK30" s="174"/>
      <c r="BL30" s="49"/>
      <c r="BM30" s="72"/>
      <c r="BN30" s="54">
        <v>0</v>
      </c>
      <c r="BO30" s="174"/>
      <c r="BP30" s="49"/>
      <c r="BQ30" s="72"/>
      <c r="BR30" s="54">
        <v>0</v>
      </c>
      <c r="BS30" s="174"/>
      <c r="BT30" s="49"/>
      <c r="BU30" s="72"/>
      <c r="BV30" s="54">
        <v>0</v>
      </c>
      <c r="BW30" s="174"/>
      <c r="BX30" s="49"/>
      <c r="BY30" s="72"/>
      <c r="BZ30" s="54">
        <f>+'Exp 2025'!AO108</f>
        <v>15000</v>
      </c>
      <c r="CA30" s="174"/>
      <c r="CB30" s="49"/>
      <c r="CC30" s="72"/>
      <c r="CD30" s="54">
        <v>0</v>
      </c>
      <c r="CE30" s="174"/>
      <c r="CF30" s="49"/>
      <c r="CG30" s="72"/>
      <c r="CH30" s="54">
        <v>0</v>
      </c>
      <c r="CI30" s="174"/>
      <c r="CJ30" s="49"/>
      <c r="CK30" s="72"/>
      <c r="CL30" s="54">
        <f>+'Exp 2025'!AU113</f>
        <v>38300</v>
      </c>
      <c r="CM30" s="174"/>
      <c r="CN30" s="49"/>
      <c r="CO30" s="72"/>
      <c r="CP30" s="54">
        <v>0</v>
      </c>
      <c r="CQ30" s="174"/>
      <c r="CR30" s="49"/>
      <c r="CS30" s="72"/>
      <c r="CT30" s="54">
        <v>0</v>
      </c>
      <c r="CU30" s="174"/>
      <c r="CV30" s="49"/>
      <c r="CW30" s="72"/>
      <c r="CX30" s="52">
        <f t="shared" si="0"/>
        <v>15000</v>
      </c>
      <c r="CY30" s="174"/>
      <c r="CZ30" s="72"/>
    </row>
    <row r="31" spans="2:104" x14ac:dyDescent="0.3">
      <c r="C31" t="s">
        <v>1444</v>
      </c>
      <c r="D31" s="72"/>
      <c r="E31" s="76"/>
      <c r="F31" s="54"/>
      <c r="G31" s="174"/>
      <c r="H31" s="49"/>
      <c r="I31" s="72"/>
      <c r="J31" s="54"/>
      <c r="K31" s="174"/>
      <c r="L31" s="49"/>
      <c r="M31" s="72"/>
      <c r="N31" s="54"/>
      <c r="O31" s="174"/>
      <c r="P31" s="49"/>
      <c r="Q31" s="72"/>
      <c r="R31" s="54"/>
      <c r="S31" s="174"/>
      <c r="T31" s="49"/>
      <c r="U31" s="72"/>
      <c r="V31" s="54"/>
      <c r="W31" s="174"/>
      <c r="X31" s="49"/>
      <c r="Y31" s="72"/>
      <c r="Z31" s="54"/>
      <c r="AA31" s="174"/>
      <c r="AB31" s="49"/>
      <c r="AC31" s="72"/>
      <c r="AD31" s="54"/>
      <c r="AE31" s="174"/>
      <c r="AF31" s="49"/>
      <c r="AG31" s="72"/>
      <c r="AH31" s="54">
        <f>+'Exp 2024'!R64</f>
        <v>32000</v>
      </c>
      <c r="AI31" s="174"/>
      <c r="AJ31" s="49"/>
      <c r="AK31" s="72"/>
      <c r="AL31" s="54">
        <v>0</v>
      </c>
      <c r="AM31" s="174"/>
      <c r="AN31" s="49"/>
      <c r="AO31" s="72"/>
      <c r="AP31" s="54">
        <v>0</v>
      </c>
      <c r="AQ31" s="174"/>
      <c r="AR31" s="49"/>
      <c r="AS31" s="72"/>
      <c r="AT31" s="54">
        <v>0</v>
      </c>
      <c r="AU31" s="174"/>
      <c r="AV31" s="49"/>
      <c r="AW31" s="72"/>
      <c r="AX31" s="54">
        <v>0</v>
      </c>
      <c r="AY31" s="174"/>
      <c r="AZ31" s="49"/>
      <c r="BA31" s="72"/>
      <c r="BB31" s="54">
        <v>0</v>
      </c>
      <c r="BC31" s="174"/>
      <c r="BD31" s="49"/>
      <c r="BE31" s="72"/>
      <c r="BF31" s="54">
        <v>0</v>
      </c>
      <c r="BG31" s="174"/>
      <c r="BH31" s="49"/>
      <c r="BI31" s="72"/>
      <c r="BJ31" s="54">
        <v>0</v>
      </c>
      <c r="BK31" s="174"/>
      <c r="BL31" s="49"/>
      <c r="BM31" s="72"/>
      <c r="BN31" s="54">
        <v>0</v>
      </c>
      <c r="BO31" s="174"/>
      <c r="BP31" s="49"/>
      <c r="BQ31" s="72"/>
      <c r="BR31" s="54">
        <v>0</v>
      </c>
      <c r="BS31" s="174"/>
      <c r="BT31" s="49"/>
      <c r="BU31" s="72"/>
      <c r="BV31" s="54">
        <v>0</v>
      </c>
      <c r="BW31" s="174"/>
      <c r="BX31" s="49"/>
      <c r="BY31" s="72"/>
      <c r="BZ31" s="54">
        <f>+'Exp 2025'!AO110</f>
        <v>422500</v>
      </c>
      <c r="CA31" s="174"/>
      <c r="CB31" s="49"/>
      <c r="CC31" s="72"/>
      <c r="CD31" s="54">
        <v>0</v>
      </c>
      <c r="CE31" s="174"/>
      <c r="CF31" s="49"/>
      <c r="CG31" s="72"/>
      <c r="CH31" s="54">
        <v>0</v>
      </c>
      <c r="CI31" s="174"/>
      <c r="CJ31" s="49"/>
      <c r="CK31" s="72"/>
      <c r="CL31" s="54">
        <v>0</v>
      </c>
      <c r="CM31" s="174"/>
      <c r="CN31" s="49"/>
      <c r="CO31" s="72"/>
      <c r="CP31" s="54">
        <v>0</v>
      </c>
      <c r="CQ31" s="174"/>
      <c r="CR31" s="49"/>
      <c r="CS31" s="72"/>
      <c r="CT31" s="54">
        <v>0</v>
      </c>
      <c r="CU31" s="174"/>
      <c r="CV31" s="49"/>
      <c r="CW31" s="72"/>
      <c r="CX31" s="52">
        <f t="shared" si="0"/>
        <v>422500</v>
      </c>
      <c r="CY31" s="174"/>
      <c r="CZ31" s="72"/>
    </row>
    <row r="32" spans="2:104" x14ac:dyDescent="0.3">
      <c r="C32" t="s">
        <v>1414</v>
      </c>
      <c r="D32" s="72"/>
      <c r="E32" s="76"/>
      <c r="F32" s="54"/>
      <c r="G32" s="174"/>
      <c r="H32" s="49"/>
      <c r="I32" s="72"/>
      <c r="J32" s="54"/>
      <c r="K32" s="174"/>
      <c r="L32" s="49"/>
      <c r="M32" s="72"/>
      <c r="N32" s="54"/>
      <c r="O32" s="174"/>
      <c r="P32" s="49"/>
      <c r="Q32" s="72"/>
      <c r="R32" s="54"/>
      <c r="S32" s="174"/>
      <c r="T32" s="49"/>
      <c r="U32" s="72"/>
      <c r="V32" s="54"/>
      <c r="W32" s="174"/>
      <c r="X32" s="49"/>
      <c r="Y32" s="72"/>
      <c r="Z32" s="54"/>
      <c r="AA32" s="174"/>
      <c r="AB32" s="49"/>
      <c r="AC32" s="72"/>
      <c r="AD32" s="54"/>
      <c r="AE32" s="174"/>
      <c r="AF32" s="49"/>
      <c r="AG32" s="72"/>
      <c r="AH32" s="54"/>
      <c r="AI32" s="174"/>
      <c r="AJ32" s="49"/>
      <c r="AK32" s="72"/>
      <c r="AL32" s="54"/>
      <c r="AM32" s="174"/>
      <c r="AN32" s="49"/>
      <c r="AO32" s="72"/>
      <c r="AP32" s="54"/>
      <c r="AQ32" s="174"/>
      <c r="AR32" s="49"/>
      <c r="AS32" s="72"/>
      <c r="AT32" s="54"/>
      <c r="AU32" s="174"/>
      <c r="AV32" s="49"/>
      <c r="AW32" s="72"/>
      <c r="AX32" s="54"/>
      <c r="AY32" s="174"/>
      <c r="AZ32" s="49"/>
      <c r="BA32" s="72"/>
      <c r="BB32" s="54">
        <v>0</v>
      </c>
      <c r="BC32" s="174"/>
      <c r="BD32" s="49"/>
      <c r="BE32" s="72"/>
      <c r="BF32" s="54">
        <f>+'Exp 2025'!AE112</f>
        <v>220000</v>
      </c>
      <c r="BG32" s="174"/>
      <c r="BH32" s="49"/>
      <c r="BI32" s="72"/>
      <c r="BJ32" s="54">
        <v>0</v>
      </c>
      <c r="BK32" s="174"/>
      <c r="BL32" s="49"/>
      <c r="BM32" s="72"/>
      <c r="BN32" s="54">
        <v>0</v>
      </c>
      <c r="BO32" s="174"/>
      <c r="BP32" s="49"/>
      <c r="BQ32" s="72"/>
      <c r="BR32" s="54">
        <v>0</v>
      </c>
      <c r="BS32" s="174"/>
      <c r="BT32" s="49"/>
      <c r="BU32" s="72"/>
      <c r="BV32" s="54">
        <v>0</v>
      </c>
      <c r="BW32" s="174"/>
      <c r="BX32" s="49"/>
      <c r="BY32" s="72"/>
      <c r="BZ32" s="54">
        <v>0</v>
      </c>
      <c r="CA32" s="174"/>
      <c r="CB32" s="49"/>
      <c r="CC32" s="72"/>
      <c r="CD32" s="54">
        <v>0</v>
      </c>
      <c r="CE32" s="174"/>
      <c r="CF32" s="49"/>
      <c r="CG32" s="72"/>
      <c r="CH32" s="54">
        <v>0</v>
      </c>
      <c r="CI32" s="174"/>
      <c r="CJ32" s="49"/>
      <c r="CK32" s="72"/>
      <c r="CL32" s="54">
        <v>0</v>
      </c>
      <c r="CM32" s="174"/>
      <c r="CN32" s="49"/>
      <c r="CO32" s="72"/>
      <c r="CP32" s="54">
        <v>0</v>
      </c>
      <c r="CQ32" s="174"/>
      <c r="CR32" s="49"/>
      <c r="CS32" s="72"/>
      <c r="CT32" s="54">
        <v>0</v>
      </c>
      <c r="CU32" s="174"/>
      <c r="CV32" s="49"/>
      <c r="CW32" s="72"/>
      <c r="CX32" s="52">
        <f t="shared" si="0"/>
        <v>220000</v>
      </c>
      <c r="CY32" s="174"/>
      <c r="CZ32" s="72"/>
    </row>
    <row r="33" spans="2:106" x14ac:dyDescent="0.3">
      <c r="C33" t="s">
        <v>1423</v>
      </c>
      <c r="D33" s="72"/>
      <c r="E33" s="76"/>
      <c r="F33" s="54"/>
      <c r="G33" s="174"/>
      <c r="H33" s="49"/>
      <c r="I33" s="72"/>
      <c r="J33" s="54"/>
      <c r="K33" s="174"/>
      <c r="L33" s="49"/>
      <c r="M33" s="72"/>
      <c r="N33" s="54"/>
      <c r="O33" s="174"/>
      <c r="P33" s="49"/>
      <c r="Q33" s="72"/>
      <c r="R33" s="54"/>
      <c r="S33" s="174"/>
      <c r="T33" s="49"/>
      <c r="U33" s="72"/>
      <c r="V33" s="54"/>
      <c r="W33" s="174"/>
      <c r="X33" s="49"/>
      <c r="Y33" s="72"/>
      <c r="Z33" s="54"/>
      <c r="AA33" s="174"/>
      <c r="AB33" s="49"/>
      <c r="AC33" s="72"/>
      <c r="AD33" s="54"/>
      <c r="AE33" s="174"/>
      <c r="AF33" s="49"/>
      <c r="AG33" s="72"/>
      <c r="AH33" s="54"/>
      <c r="AI33" s="174"/>
      <c r="AJ33" s="49"/>
      <c r="AK33" s="72"/>
      <c r="AL33" s="54"/>
      <c r="AM33" s="174"/>
      <c r="AN33" s="49"/>
      <c r="AO33" s="72"/>
      <c r="AP33" s="54"/>
      <c r="AQ33" s="174"/>
      <c r="AR33" s="49"/>
      <c r="AS33" s="72"/>
      <c r="AT33" s="54"/>
      <c r="AU33" s="174"/>
      <c r="AV33" s="49"/>
      <c r="AW33" s="72"/>
      <c r="AX33" s="54"/>
      <c r="AY33" s="174"/>
      <c r="AZ33" s="49"/>
      <c r="BA33" s="72"/>
      <c r="BB33" s="54">
        <v>0</v>
      </c>
      <c r="BC33" s="174"/>
      <c r="BD33" s="49"/>
      <c r="BE33" s="72"/>
      <c r="BF33" s="54">
        <v>0</v>
      </c>
      <c r="BG33" s="174"/>
      <c r="BH33" s="49"/>
      <c r="BI33" s="72"/>
      <c r="BJ33" s="54">
        <f>+'Exp 2025'!AG116</f>
        <v>350000</v>
      </c>
      <c r="BK33" s="174"/>
      <c r="BL33" s="49"/>
      <c r="BM33" s="72"/>
      <c r="BN33" s="54">
        <f>+'Exp 2025'!AI115</f>
        <v>20600</v>
      </c>
      <c r="BO33" s="174"/>
      <c r="BP33" s="49"/>
      <c r="BQ33" s="72"/>
      <c r="BR33" s="54">
        <f>+'Exp 2025'!AK116</f>
        <v>150000</v>
      </c>
      <c r="BS33" s="174"/>
      <c r="BT33" s="49"/>
      <c r="BU33" s="72"/>
      <c r="BV33" s="54">
        <v>0</v>
      </c>
      <c r="BW33" s="174"/>
      <c r="BX33" s="49"/>
      <c r="BY33" s="72"/>
      <c r="BZ33" s="54">
        <v>0</v>
      </c>
      <c r="CA33" s="174"/>
      <c r="CB33" s="49"/>
      <c r="CC33" s="72"/>
      <c r="CD33" s="54">
        <v>0</v>
      </c>
      <c r="CE33" s="174"/>
      <c r="CF33" s="49"/>
      <c r="CG33" s="72"/>
      <c r="CH33" s="54">
        <v>0</v>
      </c>
      <c r="CI33" s="174"/>
      <c r="CJ33" s="49"/>
      <c r="CK33" s="72"/>
      <c r="CL33" s="54">
        <v>0</v>
      </c>
      <c r="CM33" s="174"/>
      <c r="CN33" s="49"/>
      <c r="CO33" s="72"/>
      <c r="CP33" s="54">
        <v>0</v>
      </c>
      <c r="CQ33" s="174"/>
      <c r="CR33" s="49"/>
      <c r="CS33" s="72"/>
      <c r="CT33" s="54">
        <v>0</v>
      </c>
      <c r="CU33" s="174"/>
      <c r="CV33" s="49"/>
      <c r="CW33" s="72"/>
      <c r="CX33" s="52">
        <f t="shared" si="0"/>
        <v>520600</v>
      </c>
      <c r="CY33" s="174"/>
      <c r="CZ33" s="72"/>
    </row>
    <row r="34" spans="2:106" x14ac:dyDescent="0.3">
      <c r="C34" t="s">
        <v>135</v>
      </c>
      <c r="D34" s="72"/>
      <c r="E34" s="76"/>
      <c r="F34" s="54">
        <f>+Exp!AB102</f>
        <v>0</v>
      </c>
      <c r="G34" s="174"/>
      <c r="H34" s="49"/>
      <c r="I34" s="72"/>
      <c r="J34" s="54">
        <f>+Exp!AD102</f>
        <v>0</v>
      </c>
      <c r="K34" s="174"/>
      <c r="L34" s="49"/>
      <c r="M34" s="72"/>
      <c r="N34" s="54">
        <f>+Exp!AF102</f>
        <v>0</v>
      </c>
      <c r="O34" s="174"/>
      <c r="P34" s="49"/>
      <c r="Q34" s="72"/>
      <c r="R34" s="54">
        <f>+'Exp 2024'!J103</f>
        <v>3500</v>
      </c>
      <c r="S34" s="174"/>
      <c r="T34" s="49"/>
      <c r="U34" s="72"/>
      <c r="V34" s="54">
        <v>0</v>
      </c>
      <c r="W34" s="174"/>
      <c r="X34" s="49"/>
      <c r="Y34" s="72"/>
      <c r="Z34" s="54">
        <f>+'Exp 2024'!N103</f>
        <v>25000</v>
      </c>
      <c r="AA34" s="174"/>
      <c r="AB34" s="49"/>
      <c r="AC34" s="72"/>
      <c r="AD34" s="54">
        <v>0</v>
      </c>
      <c r="AE34" s="174"/>
      <c r="AF34" s="49"/>
      <c r="AG34" s="72"/>
      <c r="AH34" s="54">
        <f>+'Exp 2024'!R103</f>
        <v>21000</v>
      </c>
      <c r="AI34" s="174"/>
      <c r="AJ34" s="49"/>
      <c r="AK34" s="72"/>
      <c r="AL34" s="54">
        <f>+'Exp 2024'!T101</f>
        <v>8000</v>
      </c>
      <c r="AM34" s="174"/>
      <c r="AN34" s="49"/>
      <c r="AO34" s="72"/>
      <c r="AP34" s="54">
        <v>0</v>
      </c>
      <c r="AQ34" s="174"/>
      <c r="AR34" s="49"/>
      <c r="AS34" s="72"/>
      <c r="AT34" s="54">
        <f>+'Exp 2024'!X101</f>
        <v>0</v>
      </c>
      <c r="AU34" s="174"/>
      <c r="AV34" s="49"/>
      <c r="AW34" s="72"/>
      <c r="AX34" s="54">
        <v>0</v>
      </c>
      <c r="AY34" s="174"/>
      <c r="AZ34" s="49"/>
      <c r="BA34" s="72"/>
      <c r="BB34" s="54">
        <v>0</v>
      </c>
      <c r="BC34" s="174"/>
      <c r="BD34" s="49"/>
      <c r="BE34" s="72"/>
      <c r="BF34" s="54">
        <v>0</v>
      </c>
      <c r="BG34" s="174"/>
      <c r="BH34" s="49"/>
      <c r="BI34" s="72"/>
      <c r="BJ34" s="54">
        <f>+'Exp 2025'!AG104</f>
        <v>420000</v>
      </c>
      <c r="BK34" s="174"/>
      <c r="BL34" s="49"/>
      <c r="BM34" s="72"/>
      <c r="BN34" s="54">
        <f>+'Exp 2025'!AI104</f>
        <v>0</v>
      </c>
      <c r="BO34" s="174"/>
      <c r="BP34" s="49"/>
      <c r="BQ34" s="72"/>
      <c r="BR34" s="54">
        <f>+'Exp 2025'!AK104</f>
        <v>0</v>
      </c>
      <c r="BS34" s="174"/>
      <c r="BT34" s="49"/>
      <c r="BU34" s="72"/>
      <c r="BV34" s="54">
        <v>0</v>
      </c>
      <c r="BW34" s="174"/>
      <c r="BX34" s="49"/>
      <c r="BY34" s="72"/>
      <c r="BZ34" s="54">
        <v>0</v>
      </c>
      <c r="CA34" s="174"/>
      <c r="CB34" s="49"/>
      <c r="CC34" s="72"/>
      <c r="CD34" s="54">
        <f>+'Exp 2025'!AQ104</f>
        <v>17000</v>
      </c>
      <c r="CE34" s="174"/>
      <c r="CF34" s="49"/>
      <c r="CG34" s="72"/>
      <c r="CH34" s="54">
        <f>+'Exp 2025'!AS104</f>
        <v>5300</v>
      </c>
      <c r="CI34" s="174"/>
      <c r="CJ34" s="49"/>
      <c r="CK34" s="72"/>
      <c r="CL34" s="54">
        <f>+'Exp 2025'!AU104</f>
        <v>0</v>
      </c>
      <c r="CM34" s="174"/>
      <c r="CN34" s="49"/>
      <c r="CO34" s="72"/>
      <c r="CP34" s="54">
        <v>0</v>
      </c>
      <c r="CQ34" s="174"/>
      <c r="CR34" s="49"/>
      <c r="CS34" s="72"/>
      <c r="CT34" s="54">
        <v>0</v>
      </c>
      <c r="CU34" s="174"/>
      <c r="CV34" s="49"/>
      <c r="CW34" s="72"/>
      <c r="CX34" s="52">
        <f t="shared" si="0"/>
        <v>420000</v>
      </c>
      <c r="CY34" s="174"/>
      <c r="CZ34" s="72"/>
    </row>
    <row r="35" spans="2:106" x14ac:dyDescent="0.3">
      <c r="C35" t="s">
        <v>82</v>
      </c>
      <c r="D35" s="72"/>
      <c r="E35" s="76"/>
      <c r="F35" s="54">
        <f>+Exp!AB85</f>
        <v>29960</v>
      </c>
      <c r="G35" s="174"/>
      <c r="H35" s="49"/>
      <c r="I35" s="72"/>
      <c r="J35" s="54">
        <f>+Exp!AD85</f>
        <v>0</v>
      </c>
      <c r="K35" s="174"/>
      <c r="L35" s="49"/>
      <c r="M35" s="72"/>
      <c r="N35" s="54">
        <f>+Exp!AF85</f>
        <v>37790</v>
      </c>
      <c r="O35" s="174"/>
      <c r="P35" s="49"/>
      <c r="Q35" s="72"/>
      <c r="R35" s="54">
        <f>+'Exp 2024'!J86</f>
        <v>22080</v>
      </c>
      <c r="S35" s="174"/>
      <c r="T35" s="49"/>
      <c r="U35" s="72"/>
      <c r="V35" s="54">
        <f>+'Exp 2024'!L86</f>
        <v>0</v>
      </c>
      <c r="W35" s="174"/>
      <c r="X35" s="49"/>
      <c r="Y35" s="72"/>
      <c r="Z35" s="54">
        <f>+'Exp 2024'!N86</f>
        <v>17000</v>
      </c>
      <c r="AA35" s="174"/>
      <c r="AB35" s="49"/>
      <c r="AC35" s="72"/>
      <c r="AD35" s="54">
        <f>+'Exp 2024'!P86</f>
        <v>81170</v>
      </c>
      <c r="AE35" s="174"/>
      <c r="AF35" s="49"/>
      <c r="AG35" s="72"/>
      <c r="AH35" s="54">
        <f>+'Exp 2024'!R86</f>
        <v>17900</v>
      </c>
      <c r="AI35" s="174"/>
      <c r="AJ35" s="49"/>
      <c r="AK35" s="72"/>
      <c r="AL35" s="54">
        <f>+'Exp 2024'!T86</f>
        <v>1500</v>
      </c>
      <c r="AM35" s="174"/>
      <c r="AN35" s="49"/>
      <c r="AO35" s="72"/>
      <c r="AP35" s="54">
        <f>+'Exp 2024'!V86</f>
        <v>23900</v>
      </c>
      <c r="AQ35" s="174"/>
      <c r="AR35" s="49"/>
      <c r="AS35" s="72"/>
      <c r="AT35" s="54">
        <f>+'Exp 2024'!X86</f>
        <v>14570</v>
      </c>
      <c r="AU35" s="174"/>
      <c r="AV35" s="49"/>
      <c r="AW35" s="72"/>
      <c r="AX35" s="54">
        <f>+'Exp 2024'!Z86</f>
        <v>2500</v>
      </c>
      <c r="AY35" s="174"/>
      <c r="AZ35" s="49"/>
      <c r="BA35" s="72"/>
      <c r="BB35" s="54">
        <f>+'Exp 2025'!AC87</f>
        <v>42020</v>
      </c>
      <c r="BC35" s="174"/>
      <c r="BD35" s="49"/>
      <c r="BE35" s="72"/>
      <c r="BF35" s="54">
        <f>+'Exp 2025'!AE87</f>
        <v>7080</v>
      </c>
      <c r="BG35" s="174"/>
      <c r="BH35" s="49"/>
      <c r="BI35" s="72"/>
      <c r="BJ35" s="54">
        <f>+'Exp 2025'!AG87</f>
        <v>32700</v>
      </c>
      <c r="BK35" s="174"/>
      <c r="BL35" s="49"/>
      <c r="BM35" s="72"/>
      <c r="BN35" s="54">
        <f>+'Exp 2025'!AI87</f>
        <v>123670</v>
      </c>
      <c r="BO35" s="174"/>
      <c r="BP35" s="49"/>
      <c r="BQ35" s="72"/>
      <c r="BR35" s="54">
        <f>+'Exp 2025'!AK87</f>
        <v>2000</v>
      </c>
      <c r="BS35" s="174"/>
      <c r="BT35" s="49"/>
      <c r="BU35" s="72"/>
      <c r="BV35" s="54">
        <f>+'Exp 2025'!AM87</f>
        <v>0</v>
      </c>
      <c r="BW35" s="174"/>
      <c r="BX35" s="49"/>
      <c r="BY35" s="72"/>
      <c r="BZ35" s="54">
        <f>+'Exp 2025'!AO87</f>
        <v>131085</v>
      </c>
      <c r="CA35" s="174"/>
      <c r="CB35" s="49"/>
      <c r="CC35" s="72"/>
      <c r="CD35" s="54">
        <f>+'Exp 2025'!AQ87</f>
        <v>0</v>
      </c>
      <c r="CE35" s="174"/>
      <c r="CF35" s="49"/>
      <c r="CG35" s="72"/>
      <c r="CH35" s="54">
        <f>+'Exp 2025'!AS87</f>
        <v>49280</v>
      </c>
      <c r="CI35" s="174"/>
      <c r="CJ35" s="49"/>
      <c r="CK35" s="72"/>
      <c r="CL35" s="54">
        <f>+'Exp 2025'!AU87</f>
        <v>74020</v>
      </c>
      <c r="CM35" s="174"/>
      <c r="CN35" s="49"/>
      <c r="CO35" s="72"/>
      <c r="CP35" s="54">
        <f>+'Exp 2025'!AW87</f>
        <v>57210</v>
      </c>
      <c r="CQ35" s="174"/>
      <c r="CR35" s="49"/>
      <c r="CS35" s="72"/>
      <c r="CT35" s="54">
        <f>+'Exp 2025'!AY87</f>
        <v>11070</v>
      </c>
      <c r="CU35" s="174"/>
      <c r="CV35" s="49"/>
      <c r="CW35" s="72"/>
      <c r="CX35" s="52">
        <f t="shared" si="0"/>
        <v>338555</v>
      </c>
      <c r="CY35" s="174"/>
      <c r="CZ35" s="72"/>
    </row>
    <row r="36" spans="2:106" x14ac:dyDescent="0.3">
      <c r="C36" t="s">
        <v>129</v>
      </c>
      <c r="D36" s="72"/>
      <c r="E36" s="76"/>
      <c r="F36" s="54">
        <f>+Exp!AB91</f>
        <v>0</v>
      </c>
      <c r="G36" s="174"/>
      <c r="H36" s="49"/>
      <c r="I36" s="72"/>
      <c r="J36" s="54">
        <f>+Exp!AD91</f>
        <v>0</v>
      </c>
      <c r="K36" s="174"/>
      <c r="L36" s="49"/>
      <c r="M36" s="72"/>
      <c r="N36" s="54">
        <f>+Exp!AF91</f>
        <v>0</v>
      </c>
      <c r="O36" s="174"/>
      <c r="P36" s="49"/>
      <c r="Q36" s="72"/>
      <c r="R36" s="54">
        <f>+'Exp 2024'!J92</f>
        <v>0</v>
      </c>
      <c r="S36" s="174"/>
      <c r="T36" s="49"/>
      <c r="U36" s="72"/>
      <c r="V36" s="54">
        <v>0</v>
      </c>
      <c r="W36" s="174"/>
      <c r="X36" s="49"/>
      <c r="Y36" s="72"/>
      <c r="Z36" s="54">
        <f>+'Exp 2024'!N92</f>
        <v>66050</v>
      </c>
      <c r="AA36" s="174"/>
      <c r="AB36" s="49"/>
      <c r="AC36" s="72"/>
      <c r="AD36" s="54">
        <v>0</v>
      </c>
      <c r="AE36" s="174"/>
      <c r="AF36" s="49"/>
      <c r="AG36" s="72"/>
      <c r="AH36" s="54">
        <v>0</v>
      </c>
      <c r="AI36" s="174"/>
      <c r="AJ36" s="49"/>
      <c r="AK36" s="72"/>
      <c r="AL36" s="54">
        <v>0</v>
      </c>
      <c r="AM36" s="174"/>
      <c r="AN36" s="49"/>
      <c r="AO36" s="72"/>
      <c r="AP36" s="54">
        <v>0</v>
      </c>
      <c r="AQ36" s="174"/>
      <c r="AR36" s="49"/>
      <c r="AS36" s="72"/>
      <c r="AT36" s="54">
        <v>0</v>
      </c>
      <c r="AU36" s="174"/>
      <c r="AV36" s="49"/>
      <c r="AW36" s="72"/>
      <c r="AX36" s="54">
        <v>0</v>
      </c>
      <c r="AY36" s="174"/>
      <c r="AZ36" s="49"/>
      <c r="BA36" s="72"/>
      <c r="BB36" s="54">
        <v>0</v>
      </c>
      <c r="BC36" s="174"/>
      <c r="BD36" s="49"/>
      <c r="BE36" s="72"/>
      <c r="BF36" s="54">
        <v>0</v>
      </c>
      <c r="BG36" s="174"/>
      <c r="BH36" s="49"/>
      <c r="BI36" s="72"/>
      <c r="BJ36" s="54">
        <v>0</v>
      </c>
      <c r="BK36" s="174"/>
      <c r="BL36" s="49"/>
      <c r="BM36" s="72"/>
      <c r="BN36" s="54">
        <f>+'Exp 2025'!AI93</f>
        <v>0</v>
      </c>
      <c r="BO36" s="174"/>
      <c r="BP36" s="49"/>
      <c r="BQ36" s="72"/>
      <c r="BR36" s="54">
        <f>+'Exp 2025'!AK93</f>
        <v>17500</v>
      </c>
      <c r="BS36" s="174"/>
      <c r="BT36" s="49"/>
      <c r="BU36" s="72"/>
      <c r="BV36" s="54">
        <f>+'Exp 2025'!AM93</f>
        <v>14000</v>
      </c>
      <c r="BW36" s="174"/>
      <c r="BX36" s="49"/>
      <c r="BY36" s="72"/>
      <c r="BZ36" s="54">
        <v>0</v>
      </c>
      <c r="CA36" s="174"/>
      <c r="CB36" s="49"/>
      <c r="CC36" s="72"/>
      <c r="CD36" s="54">
        <v>0</v>
      </c>
      <c r="CE36" s="174"/>
      <c r="CF36" s="49"/>
      <c r="CG36" s="72"/>
      <c r="CH36" s="54">
        <v>0</v>
      </c>
      <c r="CI36" s="174"/>
      <c r="CJ36" s="49"/>
      <c r="CK36" s="72"/>
      <c r="CL36" s="54">
        <f>+'Exp 2025'!AU93</f>
        <v>9600</v>
      </c>
      <c r="CM36" s="174"/>
      <c r="CN36" s="49"/>
      <c r="CO36" s="72"/>
      <c r="CP36" s="54">
        <v>0</v>
      </c>
      <c r="CQ36" s="174"/>
      <c r="CR36" s="49"/>
      <c r="CS36" s="72"/>
      <c r="CT36" s="54">
        <v>0</v>
      </c>
      <c r="CU36" s="174"/>
      <c r="CV36" s="49"/>
      <c r="CW36" s="72"/>
      <c r="CX36" s="52">
        <f t="shared" si="0"/>
        <v>31500</v>
      </c>
      <c r="CY36" s="174"/>
      <c r="CZ36" s="72"/>
    </row>
    <row r="37" spans="2:106" x14ac:dyDescent="0.3">
      <c r="C37" t="s">
        <v>295</v>
      </c>
      <c r="D37" s="72"/>
      <c r="E37" s="76"/>
      <c r="F37" s="54">
        <f>+Exp!AB98</f>
        <v>0</v>
      </c>
      <c r="G37" s="174"/>
      <c r="H37" s="49"/>
      <c r="I37" s="72"/>
      <c r="J37" s="54">
        <f>+Exp!AD98</f>
        <v>0</v>
      </c>
      <c r="K37" s="174"/>
      <c r="L37" s="49"/>
      <c r="M37" s="72"/>
      <c r="N37" s="54">
        <f>+Exp!AF98</f>
        <v>70150</v>
      </c>
      <c r="O37" s="174"/>
      <c r="P37" s="49"/>
      <c r="Q37" s="72"/>
      <c r="R37" s="54">
        <f>+'Exp 2024'!J99</f>
        <v>120460</v>
      </c>
      <c r="S37" s="174"/>
      <c r="T37" s="49"/>
      <c r="U37" s="72"/>
      <c r="V37" s="54">
        <v>0</v>
      </c>
      <c r="W37" s="174"/>
      <c r="X37" s="49"/>
      <c r="Y37" s="72"/>
      <c r="Z37" s="54">
        <v>0</v>
      </c>
      <c r="AA37" s="174"/>
      <c r="AB37" s="49"/>
      <c r="AC37" s="72"/>
      <c r="AD37" s="54">
        <v>0</v>
      </c>
      <c r="AE37" s="174"/>
      <c r="AF37" s="49"/>
      <c r="AG37" s="72"/>
      <c r="AH37" s="54">
        <v>0</v>
      </c>
      <c r="AI37" s="174"/>
      <c r="AJ37" s="49"/>
      <c r="AK37" s="72"/>
      <c r="AL37" s="54">
        <v>0</v>
      </c>
      <c r="AM37" s="174"/>
      <c r="AN37" s="49"/>
      <c r="AO37" s="72"/>
      <c r="AP37" s="54">
        <v>0</v>
      </c>
      <c r="AQ37" s="174"/>
      <c r="AR37" s="49"/>
      <c r="AS37" s="72"/>
      <c r="AT37" s="54">
        <v>0</v>
      </c>
      <c r="AU37" s="174"/>
      <c r="AV37" s="49"/>
      <c r="AW37" s="72"/>
      <c r="AX37" s="54">
        <v>0</v>
      </c>
      <c r="AY37" s="174"/>
      <c r="AZ37" s="49"/>
      <c r="BA37" s="72"/>
      <c r="BB37" s="54">
        <v>0</v>
      </c>
      <c r="BC37" s="174"/>
      <c r="BD37" s="49"/>
      <c r="BE37" s="72"/>
      <c r="BF37" s="54">
        <f>+'Exp 2025'!AE100</f>
        <v>51400</v>
      </c>
      <c r="BG37" s="174"/>
      <c r="BH37" s="49"/>
      <c r="BI37" s="72"/>
      <c r="BJ37" s="54">
        <f>+'Exp 2025'!AG100</f>
        <v>147561</v>
      </c>
      <c r="BK37" s="174"/>
      <c r="BL37" s="49"/>
      <c r="BM37" s="72"/>
      <c r="BN37" s="54">
        <f>+'Exp 2025'!AI100</f>
        <v>0</v>
      </c>
      <c r="BO37" s="174"/>
      <c r="BP37" s="49"/>
      <c r="BQ37" s="72"/>
      <c r="BR37" s="54">
        <v>0</v>
      </c>
      <c r="BS37" s="174"/>
      <c r="BT37" s="49"/>
      <c r="BU37" s="72"/>
      <c r="BV37" s="54">
        <v>0</v>
      </c>
      <c r="BW37" s="174"/>
      <c r="BX37" s="49"/>
      <c r="BY37" s="72"/>
      <c r="BZ37" s="54">
        <v>0</v>
      </c>
      <c r="CA37" s="174"/>
      <c r="CB37" s="49"/>
      <c r="CC37" s="72"/>
      <c r="CD37" s="54">
        <v>0</v>
      </c>
      <c r="CE37" s="174"/>
      <c r="CF37" s="49"/>
      <c r="CG37" s="72"/>
      <c r="CH37" s="54">
        <v>0</v>
      </c>
      <c r="CI37" s="174"/>
      <c r="CJ37" s="49"/>
      <c r="CK37" s="72"/>
      <c r="CL37" s="54">
        <v>0</v>
      </c>
      <c r="CM37" s="174"/>
      <c r="CN37" s="49"/>
      <c r="CO37" s="72"/>
      <c r="CP37" s="54">
        <v>0</v>
      </c>
      <c r="CQ37" s="174"/>
      <c r="CR37" s="49"/>
      <c r="CS37" s="72"/>
      <c r="CT37" s="54">
        <v>0</v>
      </c>
      <c r="CU37" s="174"/>
      <c r="CV37" s="49"/>
      <c r="CW37" s="72"/>
      <c r="CX37" s="52">
        <f t="shared" si="0"/>
        <v>198961</v>
      </c>
      <c r="CY37" s="174"/>
      <c r="CZ37" s="72"/>
    </row>
    <row r="38" spans="2:106" x14ac:dyDescent="0.3">
      <c r="C38" t="s">
        <v>143</v>
      </c>
      <c r="D38" s="72"/>
      <c r="E38" s="76"/>
      <c r="F38" s="54">
        <f>+Exp!AB47</f>
        <v>0</v>
      </c>
      <c r="G38" s="174"/>
      <c r="H38" s="49"/>
      <c r="I38" s="72"/>
      <c r="J38" s="54">
        <f>+Exp!AD47</f>
        <v>0</v>
      </c>
      <c r="K38" s="174"/>
      <c r="L38" s="49"/>
      <c r="M38" s="72"/>
      <c r="N38" s="54">
        <f>+Exp!AF47</f>
        <v>21900</v>
      </c>
      <c r="O38" s="174"/>
      <c r="P38" s="49"/>
      <c r="Q38" s="72"/>
      <c r="R38" s="54">
        <f>+'Exp 2024'!J46</f>
        <v>1000</v>
      </c>
      <c r="S38" s="174"/>
      <c r="T38" s="49"/>
      <c r="U38" s="72"/>
      <c r="V38" s="54">
        <f>+'Exp 2024'!L46</f>
        <v>7500</v>
      </c>
      <c r="W38" s="174"/>
      <c r="X38" s="49"/>
      <c r="Y38" s="72"/>
      <c r="Z38" s="54">
        <f>+'Exp 2024'!N46</f>
        <v>9600</v>
      </c>
      <c r="AA38" s="174"/>
      <c r="AB38" s="49"/>
      <c r="AC38" s="72"/>
      <c r="AD38" s="54">
        <v>0</v>
      </c>
      <c r="AE38" s="174"/>
      <c r="AF38" s="49"/>
      <c r="AG38" s="72"/>
      <c r="AH38" s="54">
        <f>+'Exp 2024'!R46</f>
        <v>9200</v>
      </c>
      <c r="AI38" s="174"/>
      <c r="AJ38" s="49"/>
      <c r="AK38" s="72"/>
      <c r="AL38" s="54">
        <f>+'Exp 2024'!T46</f>
        <v>0</v>
      </c>
      <c r="AM38" s="174"/>
      <c r="AN38" s="49"/>
      <c r="AO38" s="72"/>
      <c r="AP38" s="54">
        <f>+'Exp 2024'!V46</f>
        <v>0</v>
      </c>
      <c r="AQ38" s="174"/>
      <c r="AR38" s="49"/>
      <c r="AS38" s="72"/>
      <c r="AT38" s="54">
        <f>+'Exp 2024'!X46</f>
        <v>61700</v>
      </c>
      <c r="AU38" s="174"/>
      <c r="AV38" s="49"/>
      <c r="AW38" s="72"/>
      <c r="AX38" s="54">
        <f>+'Exp 2024'!Z46</f>
        <v>20000</v>
      </c>
      <c r="AY38" s="174"/>
      <c r="AZ38" s="49"/>
      <c r="BA38" s="72"/>
      <c r="BB38" s="54">
        <f>+'Exp 2025'!AC47</f>
        <v>0</v>
      </c>
      <c r="BC38" s="174"/>
      <c r="BD38" s="49"/>
      <c r="BE38" s="72"/>
      <c r="BF38" s="54">
        <f>+'Exp 2025'!AE47</f>
        <v>0</v>
      </c>
      <c r="BG38" s="174"/>
      <c r="BH38" s="49"/>
      <c r="BI38" s="72"/>
      <c r="BJ38" s="54">
        <f>+'Exp 2025'!AG47</f>
        <v>27150</v>
      </c>
      <c r="BK38" s="174"/>
      <c r="BL38" s="49"/>
      <c r="BM38" s="72"/>
      <c r="BN38" s="54">
        <f>+'Exp 2025'!AI47</f>
        <v>6980</v>
      </c>
      <c r="BO38" s="174"/>
      <c r="BP38" s="49"/>
      <c r="BQ38" s="72"/>
      <c r="BR38" s="54">
        <f>+'Exp 2025'!AK47</f>
        <v>20000</v>
      </c>
      <c r="BS38" s="174"/>
      <c r="BT38" s="49"/>
      <c r="BU38" s="72"/>
      <c r="BV38" s="54">
        <f>+'Exp 2025'!AM47</f>
        <v>5250</v>
      </c>
      <c r="BW38" s="174"/>
      <c r="BX38" s="49"/>
      <c r="BY38" s="72"/>
      <c r="BZ38" s="54">
        <v>0</v>
      </c>
      <c r="CA38" s="174"/>
      <c r="CB38" s="49"/>
      <c r="CC38" s="72"/>
      <c r="CD38" s="54">
        <f>+'Exp 2025'!AQ47</f>
        <v>9500</v>
      </c>
      <c r="CE38" s="174"/>
      <c r="CF38" s="49"/>
      <c r="CG38" s="72"/>
      <c r="CH38" s="54">
        <f>+'Exp 2025'!AS47</f>
        <v>48300</v>
      </c>
      <c r="CI38" s="174"/>
      <c r="CJ38" s="49"/>
      <c r="CK38" s="72"/>
      <c r="CL38" s="54">
        <f>+'Exp 2025'!AU47</f>
        <v>101200</v>
      </c>
      <c r="CM38" s="174"/>
      <c r="CN38" s="49"/>
      <c r="CO38" s="72"/>
      <c r="CP38" s="54">
        <f>+'Exp 2025'!AW47</f>
        <v>24000</v>
      </c>
      <c r="CQ38" s="174"/>
      <c r="CR38" s="49"/>
      <c r="CS38" s="72"/>
      <c r="CT38" s="54">
        <f>+'Exp 2025'!AY47</f>
        <v>38980</v>
      </c>
      <c r="CU38" s="174"/>
      <c r="CV38" s="49"/>
      <c r="CW38" s="72"/>
      <c r="CX38" s="52">
        <f t="shared" si="0"/>
        <v>59380</v>
      </c>
      <c r="CY38" s="174"/>
      <c r="CZ38" s="72"/>
    </row>
    <row r="39" spans="2:106" x14ac:dyDescent="0.3">
      <c r="C39" t="s">
        <v>733</v>
      </c>
      <c r="D39" s="72"/>
      <c r="E39" s="76"/>
      <c r="F39" s="54">
        <v>0</v>
      </c>
      <c r="G39" s="174"/>
      <c r="H39" s="49"/>
      <c r="I39" s="72"/>
      <c r="J39" s="54">
        <v>0</v>
      </c>
      <c r="K39" s="174"/>
      <c r="L39" s="49"/>
      <c r="M39" s="72"/>
      <c r="N39" s="54">
        <f>+Exp!AF68</f>
        <v>7000</v>
      </c>
      <c r="O39" s="174"/>
      <c r="P39" s="49"/>
      <c r="Q39" s="72"/>
      <c r="R39" s="54">
        <f>+'Exp 2024'!J69</f>
        <v>8500</v>
      </c>
      <c r="S39" s="174"/>
      <c r="T39" s="49"/>
      <c r="U39" s="72"/>
      <c r="V39" s="54">
        <f>+'Exp 2024'!N69</f>
        <v>0</v>
      </c>
      <c r="W39" s="174"/>
      <c r="X39" s="49"/>
      <c r="Y39" s="72"/>
      <c r="Z39" s="54">
        <f>+'Exp 2024'!X69</f>
        <v>0</v>
      </c>
      <c r="AA39" s="174"/>
      <c r="AB39" s="49"/>
      <c r="AC39" s="72"/>
      <c r="AD39" s="54">
        <v>0</v>
      </c>
      <c r="AE39" s="174"/>
      <c r="AF39" s="49"/>
      <c r="AG39" s="72"/>
      <c r="AH39" s="54">
        <v>0</v>
      </c>
      <c r="AI39" s="174"/>
      <c r="AJ39" s="49"/>
      <c r="AK39" s="72"/>
      <c r="AL39" s="54">
        <v>0</v>
      </c>
      <c r="AM39" s="174"/>
      <c r="AN39" s="49"/>
      <c r="AO39" s="72"/>
      <c r="AP39" s="54">
        <v>0</v>
      </c>
      <c r="AQ39" s="174"/>
      <c r="AR39" s="49"/>
      <c r="AS39" s="72"/>
      <c r="AT39" s="54">
        <v>0</v>
      </c>
      <c r="AU39" s="174"/>
      <c r="AV39" s="49"/>
      <c r="AW39" s="72"/>
      <c r="AX39" s="54">
        <v>0</v>
      </c>
      <c r="AY39" s="174"/>
      <c r="AZ39" s="49"/>
      <c r="BA39" s="72"/>
      <c r="BB39" s="54">
        <v>0</v>
      </c>
      <c r="BC39" s="174"/>
      <c r="BD39" s="49"/>
      <c r="BE39" s="72"/>
      <c r="BF39" s="54">
        <v>0</v>
      </c>
      <c r="BG39" s="174"/>
      <c r="BH39" s="49"/>
      <c r="BI39" s="72"/>
      <c r="BJ39" s="54">
        <f>+'Exp 2025'!AG70</f>
        <v>400</v>
      </c>
      <c r="BK39" s="174"/>
      <c r="BL39" s="49"/>
      <c r="BM39" s="72"/>
      <c r="BN39" s="54">
        <f>+'Exp 2025'!AI70</f>
        <v>19600</v>
      </c>
      <c r="BO39" s="174"/>
      <c r="BP39" s="49"/>
      <c r="BQ39" s="72"/>
      <c r="BR39" s="54">
        <v>0</v>
      </c>
      <c r="BS39" s="174"/>
      <c r="BT39" s="49"/>
      <c r="BU39" s="72"/>
      <c r="BV39" s="54">
        <v>0</v>
      </c>
      <c r="BW39" s="174"/>
      <c r="BX39" s="49"/>
      <c r="BY39" s="72"/>
      <c r="BZ39" s="54">
        <f>+'Exp 2025'!AO70</f>
        <v>31000</v>
      </c>
      <c r="CA39" s="174"/>
      <c r="CB39" s="49"/>
      <c r="CC39" s="72"/>
      <c r="CD39" s="54">
        <v>0</v>
      </c>
      <c r="CE39" s="174"/>
      <c r="CF39" s="49"/>
      <c r="CG39" s="72"/>
      <c r="CH39" s="54">
        <v>0</v>
      </c>
      <c r="CI39" s="174"/>
      <c r="CJ39" s="49"/>
      <c r="CK39" s="72"/>
      <c r="CL39" s="54">
        <v>0</v>
      </c>
      <c r="CM39" s="174"/>
      <c r="CN39" s="49"/>
      <c r="CO39" s="72"/>
      <c r="CP39" s="54">
        <v>0</v>
      </c>
      <c r="CQ39" s="174"/>
      <c r="CR39" s="49"/>
      <c r="CS39" s="72"/>
      <c r="CT39" s="54">
        <v>0</v>
      </c>
      <c r="CU39" s="174"/>
      <c r="CV39" s="49"/>
      <c r="CW39" s="72"/>
      <c r="CX39" s="52">
        <f t="shared" si="0"/>
        <v>51000</v>
      </c>
      <c r="CY39" s="174"/>
      <c r="CZ39" s="72"/>
    </row>
    <row r="40" spans="2:106" x14ac:dyDescent="0.3">
      <c r="C40" t="str">
        <f>+'Exp 2025'!B111</f>
        <v xml:space="preserve">New Cameras Installation/Purchases </v>
      </c>
      <c r="D40" s="72"/>
      <c r="E40" s="76"/>
      <c r="F40" s="54">
        <v>0</v>
      </c>
      <c r="G40" s="174"/>
      <c r="H40" s="49"/>
      <c r="I40" s="72"/>
      <c r="J40" s="54">
        <v>0</v>
      </c>
      <c r="K40" s="174"/>
      <c r="L40" s="49"/>
      <c r="M40" s="72"/>
      <c r="N40" s="54">
        <v>0</v>
      </c>
      <c r="O40" s="174"/>
      <c r="P40" s="49"/>
      <c r="Q40" s="72"/>
      <c r="R40" s="54">
        <v>0</v>
      </c>
      <c r="S40" s="174"/>
      <c r="T40" s="49"/>
      <c r="U40" s="72"/>
      <c r="V40" s="54">
        <v>0</v>
      </c>
      <c r="W40" s="174"/>
      <c r="X40" s="49"/>
      <c r="Y40" s="72"/>
      <c r="Z40" s="54">
        <v>0</v>
      </c>
      <c r="AA40" s="174"/>
      <c r="AB40" s="49"/>
      <c r="AC40" s="72"/>
      <c r="AD40" s="54">
        <v>0</v>
      </c>
      <c r="AE40" s="174"/>
      <c r="AF40" s="49"/>
      <c r="AG40" s="72"/>
      <c r="AH40" s="54">
        <v>0</v>
      </c>
      <c r="AI40" s="174"/>
      <c r="AJ40" s="49"/>
      <c r="AK40" s="72"/>
      <c r="AL40" s="54">
        <v>0</v>
      </c>
      <c r="AM40" s="174"/>
      <c r="AN40" s="49"/>
      <c r="AO40" s="72"/>
      <c r="AP40" s="54">
        <v>0</v>
      </c>
      <c r="AQ40" s="174"/>
      <c r="AR40" s="49"/>
      <c r="AS40" s="72"/>
      <c r="AT40" s="54">
        <v>0</v>
      </c>
      <c r="AU40" s="174"/>
      <c r="AV40" s="49"/>
      <c r="AW40" s="72"/>
      <c r="AX40" s="54">
        <v>0</v>
      </c>
      <c r="AY40" s="174"/>
      <c r="AZ40" s="49"/>
      <c r="BA40" s="72"/>
      <c r="BB40" s="54">
        <v>0</v>
      </c>
      <c r="BC40" s="174"/>
      <c r="BD40" s="49"/>
      <c r="BE40" s="72"/>
      <c r="BF40" s="54">
        <v>0</v>
      </c>
      <c r="BG40" s="174"/>
      <c r="BH40" s="49"/>
      <c r="BI40" s="72"/>
      <c r="BJ40" s="54">
        <v>0</v>
      </c>
      <c r="BK40" s="174"/>
      <c r="BL40" s="49"/>
      <c r="BM40" s="72"/>
      <c r="BN40" s="54">
        <v>0</v>
      </c>
      <c r="BO40" s="174"/>
      <c r="BP40" s="49"/>
      <c r="BQ40" s="72"/>
      <c r="BR40" s="54">
        <v>0</v>
      </c>
      <c r="BS40" s="174"/>
      <c r="BT40" s="49"/>
      <c r="BU40" s="72"/>
      <c r="BV40" s="54">
        <v>0</v>
      </c>
      <c r="BW40" s="174"/>
      <c r="BX40" s="49"/>
      <c r="BY40" s="72"/>
      <c r="BZ40" s="54">
        <f>+'Exp 2025'!AO111</f>
        <v>80000</v>
      </c>
      <c r="CA40" s="174"/>
      <c r="CB40" s="49"/>
      <c r="CC40" s="72"/>
      <c r="CD40" s="54">
        <f>+'Exp 2025'!AQ112</f>
        <v>124000</v>
      </c>
      <c r="CE40" s="174"/>
      <c r="CF40" s="49"/>
      <c r="CG40" s="72"/>
      <c r="CH40" s="54">
        <f>+'Exp 2025'!AS111</f>
        <v>18000</v>
      </c>
      <c r="CI40" s="174"/>
      <c r="CJ40" s="49"/>
      <c r="CK40" s="72"/>
      <c r="CL40" s="54">
        <f>+'Exp 2025'!AU112</f>
        <v>65000</v>
      </c>
      <c r="CM40" s="174"/>
      <c r="CN40" s="49"/>
      <c r="CO40" s="72"/>
      <c r="CP40" s="54">
        <f>+'Exp 2025'!AW112</f>
        <v>109000</v>
      </c>
      <c r="CQ40" s="174"/>
      <c r="CR40" s="49"/>
      <c r="CS40" s="72"/>
      <c r="CT40" s="54">
        <v>0</v>
      </c>
      <c r="CU40" s="174"/>
      <c r="CV40" s="49"/>
      <c r="CW40" s="72"/>
      <c r="CX40" s="52">
        <f t="shared" si="0"/>
        <v>80000</v>
      </c>
      <c r="CY40" s="174"/>
      <c r="CZ40" s="72"/>
    </row>
    <row r="41" spans="2:106" x14ac:dyDescent="0.3">
      <c r="C41" t="s">
        <v>1679</v>
      </c>
      <c r="D41" s="72"/>
      <c r="E41" s="76"/>
      <c r="F41" s="54"/>
      <c r="G41" s="174"/>
      <c r="H41" s="49"/>
      <c r="I41" s="72"/>
      <c r="J41" s="54"/>
      <c r="K41" s="174"/>
      <c r="L41" s="49"/>
      <c r="M41" s="72"/>
      <c r="N41" s="54"/>
      <c r="O41" s="174"/>
      <c r="P41" s="49"/>
      <c r="Q41" s="72"/>
      <c r="R41" s="54"/>
      <c r="S41" s="174"/>
      <c r="T41" s="49"/>
      <c r="U41" s="72"/>
      <c r="V41" s="54"/>
      <c r="W41" s="174"/>
      <c r="X41" s="49"/>
      <c r="Y41" s="72"/>
      <c r="Z41" s="54"/>
      <c r="AA41" s="174"/>
      <c r="AB41" s="49"/>
      <c r="AC41" s="72"/>
      <c r="AD41" s="54"/>
      <c r="AE41" s="174"/>
      <c r="AF41" s="49"/>
      <c r="AG41" s="72"/>
      <c r="AH41" s="54"/>
      <c r="AI41" s="174"/>
      <c r="AJ41" s="49"/>
      <c r="AK41" s="72"/>
      <c r="AL41" s="54"/>
      <c r="AM41" s="174"/>
      <c r="AN41" s="49"/>
      <c r="AO41" s="72"/>
      <c r="AP41" s="54"/>
      <c r="AQ41" s="174"/>
      <c r="AR41" s="49"/>
      <c r="AS41" s="72"/>
      <c r="AT41" s="54"/>
      <c r="AU41" s="174"/>
      <c r="AV41" s="49"/>
      <c r="AW41" s="72"/>
      <c r="AX41" s="54"/>
      <c r="AY41" s="174"/>
      <c r="AZ41" s="49"/>
      <c r="BA41" s="72"/>
      <c r="BB41" s="54"/>
      <c r="BC41" s="174"/>
      <c r="BD41" s="49"/>
      <c r="BE41" s="72"/>
      <c r="BF41" s="54"/>
      <c r="BG41" s="174"/>
      <c r="BH41" s="49"/>
      <c r="BI41" s="72"/>
      <c r="BJ41" s="54"/>
      <c r="BK41" s="174"/>
      <c r="BL41" s="49"/>
      <c r="BM41" s="72"/>
      <c r="BN41" s="54"/>
      <c r="BO41" s="174"/>
      <c r="BP41" s="49"/>
      <c r="BQ41" s="72"/>
      <c r="BR41" s="54"/>
      <c r="BS41" s="174"/>
      <c r="BT41" s="49"/>
      <c r="BU41" s="72"/>
      <c r="BV41" s="54"/>
      <c r="BW41" s="174"/>
      <c r="BX41" s="49"/>
      <c r="BY41" s="72"/>
      <c r="BZ41" s="54"/>
      <c r="CA41" s="174"/>
      <c r="CB41" s="49"/>
      <c r="CC41" s="72"/>
      <c r="CD41" s="54">
        <f>+'Recpt 2025'!CW81</f>
        <v>14500</v>
      </c>
      <c r="CE41" s="174"/>
      <c r="CF41" s="49"/>
      <c r="CG41" s="72"/>
      <c r="CH41" s="54">
        <f>+'Recpt 2025'!DA81</f>
        <v>0</v>
      </c>
      <c r="CI41" s="174"/>
      <c r="CJ41" s="49"/>
      <c r="CK41" s="72"/>
      <c r="CL41" s="54"/>
      <c r="CM41" s="174"/>
      <c r="CN41" s="49"/>
      <c r="CO41" s="72"/>
      <c r="CP41" s="54">
        <v>0</v>
      </c>
      <c r="CQ41" s="174"/>
      <c r="CR41" s="49"/>
      <c r="CS41" s="72"/>
      <c r="CT41" s="54">
        <v>0</v>
      </c>
      <c r="CU41" s="174"/>
      <c r="CV41" s="49"/>
      <c r="CW41" s="72"/>
      <c r="CX41" s="52"/>
      <c r="CY41" s="174"/>
      <c r="CZ41" s="72"/>
    </row>
    <row r="42" spans="2:106" x14ac:dyDescent="0.3">
      <c r="C42" t="s">
        <v>1139</v>
      </c>
      <c r="D42" s="72"/>
      <c r="E42" s="76"/>
      <c r="F42" s="54"/>
      <c r="G42" s="174"/>
      <c r="H42" s="49"/>
      <c r="I42" s="72"/>
      <c r="J42" s="54"/>
      <c r="K42" s="174"/>
      <c r="L42" s="49"/>
      <c r="M42" s="72"/>
      <c r="N42" s="54"/>
      <c r="O42" s="174"/>
      <c r="P42" s="49"/>
      <c r="Q42" s="72"/>
      <c r="R42" s="54"/>
      <c r="S42" s="174"/>
      <c r="T42" s="49"/>
      <c r="U42" s="72"/>
      <c r="V42" s="54"/>
      <c r="W42" s="174"/>
      <c r="X42" s="49"/>
      <c r="Y42" s="72"/>
      <c r="Z42" s="54"/>
      <c r="AA42" s="174"/>
      <c r="AB42" s="49"/>
      <c r="AC42" s="72"/>
      <c r="AD42" s="54"/>
      <c r="AE42" s="174"/>
      <c r="AF42" s="49"/>
      <c r="AG42" s="72"/>
      <c r="AH42" s="54">
        <f>+'Exp 2024'!R59</f>
        <v>100000</v>
      </c>
      <c r="AI42" s="174"/>
      <c r="AJ42" s="49"/>
      <c r="AK42" s="72"/>
      <c r="AL42" s="54">
        <v>0</v>
      </c>
      <c r="AM42" s="174"/>
      <c r="AN42" s="49"/>
      <c r="AO42" s="72"/>
      <c r="AP42" s="54">
        <f>+'Exp 2024'!V59</f>
        <v>80000</v>
      </c>
      <c r="AQ42" s="174"/>
      <c r="AR42" s="49"/>
      <c r="AS42" s="72"/>
      <c r="AT42" s="54">
        <v>0</v>
      </c>
      <c r="AU42" s="174"/>
      <c r="AV42" s="49"/>
      <c r="AW42" s="72"/>
      <c r="AX42" s="54">
        <f>+'Exp 2024'!Z59</f>
        <v>12000</v>
      </c>
      <c r="AY42" s="174"/>
      <c r="AZ42" s="49"/>
      <c r="BA42" s="72"/>
      <c r="BB42" s="54">
        <v>0</v>
      </c>
      <c r="BC42" s="174"/>
      <c r="BD42" s="49"/>
      <c r="BE42" s="72"/>
      <c r="BF42" s="54">
        <v>0</v>
      </c>
      <c r="BG42" s="174"/>
      <c r="BH42" s="49"/>
      <c r="BI42" s="72"/>
      <c r="BJ42" s="54">
        <v>0</v>
      </c>
      <c r="BK42" s="174"/>
      <c r="BL42" s="49"/>
      <c r="BM42" s="72"/>
      <c r="BN42" s="54">
        <v>0</v>
      </c>
      <c r="BO42" s="174"/>
      <c r="BP42" s="49"/>
      <c r="BQ42" s="72"/>
      <c r="BR42" s="54">
        <v>0</v>
      </c>
      <c r="BS42" s="174"/>
      <c r="BT42" s="49"/>
      <c r="BU42" s="72"/>
      <c r="BV42" s="54">
        <v>0</v>
      </c>
      <c r="BW42" s="174"/>
      <c r="BX42" s="49"/>
      <c r="BY42" s="72"/>
      <c r="BZ42" s="54"/>
      <c r="CA42" s="174"/>
      <c r="CB42" s="49"/>
      <c r="CC42" s="72"/>
      <c r="CD42" s="54"/>
      <c r="CE42" s="174"/>
      <c r="CF42" s="49"/>
      <c r="CG42" s="72"/>
      <c r="CH42" s="54"/>
      <c r="CI42" s="174"/>
      <c r="CJ42" s="49"/>
      <c r="CK42" s="72"/>
      <c r="CL42" s="54"/>
      <c r="CM42" s="174"/>
      <c r="CN42" s="49"/>
      <c r="CO42" s="72"/>
      <c r="CP42" s="54">
        <v>0</v>
      </c>
      <c r="CQ42" s="174"/>
      <c r="CR42" s="49"/>
      <c r="CS42" s="72"/>
      <c r="CT42" s="54">
        <v>0</v>
      </c>
      <c r="CU42" s="174"/>
      <c r="CV42" s="49"/>
      <c r="CW42" s="72"/>
      <c r="CX42" s="52">
        <f>+BB42+BF42+BJ42+BN42+BR42+BV42+BZ42</f>
        <v>0</v>
      </c>
      <c r="CY42" s="174"/>
      <c r="CZ42" s="72"/>
    </row>
    <row r="43" spans="2:106" ht="15.6" x14ac:dyDescent="0.3">
      <c r="D43" s="72"/>
      <c r="E43" s="76"/>
      <c r="F43" s="60">
        <f>SUM(F19:F40)</f>
        <v>712305</v>
      </c>
      <c r="G43" s="173"/>
      <c r="H43" s="49"/>
      <c r="I43" s="72"/>
      <c r="J43" s="60">
        <f>SUM(J19:J40)</f>
        <v>666071</v>
      </c>
      <c r="K43" s="173"/>
      <c r="L43" s="49"/>
      <c r="M43" s="72"/>
      <c r="N43" s="60">
        <f>SUM(N19:N40)</f>
        <v>708641</v>
      </c>
      <c r="O43" s="173"/>
      <c r="P43" s="49"/>
      <c r="Q43" s="72"/>
      <c r="R43" s="60">
        <f>SUM(R19:R40)</f>
        <v>666802</v>
      </c>
      <c r="S43" s="173"/>
      <c r="T43" s="49"/>
      <c r="U43" s="72"/>
      <c r="V43" s="60">
        <f>SUM(V19:V40)</f>
        <v>534100</v>
      </c>
      <c r="W43" s="173"/>
      <c r="X43" s="49"/>
      <c r="Y43" s="72"/>
      <c r="Z43" s="60">
        <f>SUM(Z19:Z40)</f>
        <v>698134</v>
      </c>
      <c r="AA43" s="173"/>
      <c r="AB43" s="49"/>
      <c r="AC43" s="72"/>
      <c r="AD43" s="60">
        <f>SUM(AD19:AD40)</f>
        <v>884891</v>
      </c>
      <c r="AE43" s="173"/>
      <c r="AF43" s="49"/>
      <c r="AG43" s="72"/>
      <c r="AH43" s="60">
        <f>SUM(AH19:AH42)</f>
        <v>830664</v>
      </c>
      <c r="AI43" s="173"/>
      <c r="AJ43" s="49"/>
      <c r="AK43" s="72"/>
      <c r="AL43" s="60">
        <f>SUM(AL19:AL42)</f>
        <v>542130</v>
      </c>
      <c r="AM43" s="173"/>
      <c r="AN43" s="49"/>
      <c r="AO43" s="72"/>
      <c r="AP43" s="60">
        <f>SUM(AP19:AP42)</f>
        <v>650998</v>
      </c>
      <c r="AQ43" s="173"/>
      <c r="AR43" s="49"/>
      <c r="AS43" s="72"/>
      <c r="AT43" s="60">
        <f>SUM(AT19:AT42)</f>
        <v>731154</v>
      </c>
      <c r="AU43" s="173"/>
      <c r="AV43" s="49"/>
      <c r="AW43" s="72"/>
      <c r="AX43" s="60">
        <f>SUM(AX19:AX42)</f>
        <v>852282</v>
      </c>
      <c r="AY43" s="173"/>
      <c r="AZ43" s="49"/>
      <c r="BA43" s="72"/>
      <c r="BB43" s="60">
        <f>SUM(BB19:BB42)</f>
        <v>572277</v>
      </c>
      <c r="BC43" s="173"/>
      <c r="BD43" s="49"/>
      <c r="BE43" s="72"/>
      <c r="BF43" s="60">
        <f>SUM(BF19:BF42)</f>
        <v>778328</v>
      </c>
      <c r="BG43" s="173"/>
      <c r="BH43" s="49"/>
      <c r="BI43" s="72"/>
      <c r="BJ43" s="60">
        <f>SUM(BJ19:BJ42)</f>
        <v>1464758</v>
      </c>
      <c r="BK43" s="173"/>
      <c r="BL43" s="49"/>
      <c r="BM43" s="72"/>
      <c r="BN43" s="60">
        <f>SUM(BN19:BN42)</f>
        <v>785813</v>
      </c>
      <c r="BO43" s="173"/>
      <c r="BP43" s="49"/>
      <c r="BQ43" s="72"/>
      <c r="BR43" s="60">
        <f>SUM(BR19:BR42)</f>
        <v>705590</v>
      </c>
      <c r="BS43" s="173"/>
      <c r="BT43" s="49"/>
      <c r="BU43" s="72"/>
      <c r="BV43" s="60">
        <f>SUM(BV19:BV42)</f>
        <v>819558</v>
      </c>
      <c r="BW43" s="173"/>
      <c r="BX43" s="49"/>
      <c r="BY43" s="72"/>
      <c r="BZ43" s="60">
        <f>SUM(BZ19:BZ42)</f>
        <v>4114035</v>
      </c>
      <c r="CA43" s="173"/>
      <c r="CB43" s="49"/>
      <c r="CC43" s="72"/>
      <c r="CD43" s="60">
        <f>SUM(CD19:CD42)</f>
        <v>783572</v>
      </c>
      <c r="CE43" s="173"/>
      <c r="CF43" s="49"/>
      <c r="CG43" s="72"/>
      <c r="CH43" s="60">
        <f>SUM(CH19:CH42)</f>
        <v>813732</v>
      </c>
      <c r="CI43" s="173"/>
      <c r="CJ43" s="49"/>
      <c r="CK43" s="72"/>
      <c r="CL43" s="60">
        <f>SUM(CL19:CL42)</f>
        <v>1221338</v>
      </c>
      <c r="CM43" s="173"/>
      <c r="CN43" s="49"/>
      <c r="CO43" s="72"/>
      <c r="CP43" s="60">
        <f>SUM(CP19:CP42)</f>
        <v>1194342</v>
      </c>
      <c r="CQ43" s="173"/>
      <c r="CR43" s="49"/>
      <c r="CS43" s="72"/>
      <c r="CT43" s="60">
        <f>SUM(CT19:CT42)</f>
        <v>583171</v>
      </c>
      <c r="CU43" s="173"/>
      <c r="CV43" s="49"/>
      <c r="CW43" s="72"/>
      <c r="CX43" s="60">
        <f>SUM(CX19:CX42)</f>
        <v>9240359</v>
      </c>
      <c r="CY43" s="173"/>
      <c r="CZ43" s="72"/>
    </row>
    <row r="44" spans="2:106" ht="18.600000000000001" thickBot="1" x14ac:dyDescent="0.4">
      <c r="B44" s="35" t="s">
        <v>29</v>
      </c>
      <c r="C44" s="35"/>
      <c r="D44" s="72"/>
      <c r="E44" s="76"/>
      <c r="F44" s="55"/>
      <c r="G44" s="172"/>
      <c r="H44" s="59">
        <f>H8+F16-F43</f>
        <v>5868083</v>
      </c>
      <c r="I44" s="72"/>
      <c r="J44" s="55"/>
      <c r="K44" s="172"/>
      <c r="L44" s="59">
        <f>L8+J16-J43</f>
        <v>5402512</v>
      </c>
      <c r="M44" s="72"/>
      <c r="N44" s="55"/>
      <c r="O44" s="172"/>
      <c r="P44" s="59">
        <f>P8+N16-N43</f>
        <v>4906871</v>
      </c>
      <c r="Q44" s="72"/>
      <c r="R44" s="55"/>
      <c r="S44" s="172"/>
      <c r="T44" s="59">
        <f>T8+R16-R43</f>
        <v>6708131.5</v>
      </c>
      <c r="U44" s="72"/>
      <c r="V44" s="55"/>
      <c r="W44" s="172"/>
      <c r="X44" s="59">
        <f>X8+V16-V43</f>
        <v>6335031.5</v>
      </c>
      <c r="Y44" s="72"/>
      <c r="Z44" s="55"/>
      <c r="AA44" s="172"/>
      <c r="AB44" s="59">
        <f>AB8+Z16-Z43</f>
        <v>5916397.5</v>
      </c>
      <c r="AC44" s="72"/>
      <c r="AD44" s="55"/>
      <c r="AE44" s="172"/>
      <c r="AF44" s="59">
        <f>AF8+AD16-AD43</f>
        <v>7296569.5</v>
      </c>
      <c r="AG44" s="72"/>
      <c r="AH44" s="55"/>
      <c r="AI44" s="172"/>
      <c r="AJ44" s="59">
        <f>AJ8+AH16-AH43</f>
        <v>6644905.5</v>
      </c>
      <c r="AK44" s="72"/>
      <c r="AL44" s="55"/>
      <c r="AM44" s="172"/>
      <c r="AN44" s="59">
        <f>AN8+AL16-AL43</f>
        <v>6393275.5</v>
      </c>
      <c r="AO44" s="72"/>
      <c r="AP44" s="55"/>
      <c r="AQ44" s="172"/>
      <c r="AR44" s="59">
        <f>AR8+AP16-AP43</f>
        <v>8088340.5</v>
      </c>
      <c r="AS44" s="72"/>
      <c r="AT44" s="55"/>
      <c r="AU44" s="172"/>
      <c r="AV44" s="59">
        <f>AV8+AT16-AT43</f>
        <v>7578686.5</v>
      </c>
      <c r="AW44" s="72"/>
      <c r="AX44" s="55"/>
      <c r="AY44" s="172"/>
      <c r="AZ44" s="59">
        <f>AZ8+AX16-AX43</f>
        <v>7140404.5</v>
      </c>
      <c r="BA44" s="72"/>
      <c r="BB44" s="55"/>
      <c r="BC44" s="172"/>
      <c r="BD44" s="59">
        <f>BD8+BB16-BB43</f>
        <v>8934190.5</v>
      </c>
      <c r="BE44" s="72"/>
      <c r="BF44" s="55"/>
      <c r="BG44" s="172"/>
      <c r="BH44" s="59">
        <f>BH8+BF16-BF43</f>
        <v>8376862.5</v>
      </c>
      <c r="BI44" s="72"/>
      <c r="BJ44" s="55"/>
      <c r="BK44" s="172"/>
      <c r="BL44" s="59">
        <f>BL8+BJ16-BJ43</f>
        <v>7269104.5</v>
      </c>
      <c r="BM44" s="72"/>
      <c r="BN44" s="55"/>
      <c r="BO44" s="172"/>
      <c r="BP44" s="59">
        <f>BP8+BN16-BN43</f>
        <v>6903791.5</v>
      </c>
      <c r="BQ44" s="72"/>
      <c r="BR44" s="55"/>
      <c r="BS44" s="172"/>
      <c r="BT44" s="59">
        <f>BT8+BR16-BR43</f>
        <v>8155264.125</v>
      </c>
      <c r="BU44" s="72"/>
      <c r="BV44" s="55"/>
      <c r="BW44" s="172"/>
      <c r="BX44" s="59">
        <f>BX8+BV16-BV43</f>
        <v>7555206.125</v>
      </c>
      <c r="BY44" s="72"/>
      <c r="BZ44" s="55"/>
      <c r="CA44" s="172"/>
      <c r="CB44" s="59">
        <f>CB8+BZ16-BZ43</f>
        <v>3819671.125</v>
      </c>
      <c r="CC44" s="72"/>
      <c r="CD44" s="55"/>
      <c r="CE44" s="172"/>
      <c r="CF44" s="59">
        <f>CF8+CD16-CD43</f>
        <v>6119099.125</v>
      </c>
      <c r="CG44" s="72"/>
      <c r="CH44" s="55"/>
      <c r="CI44" s="172"/>
      <c r="CJ44" s="59">
        <f>CJ8+CH16-CH43</f>
        <v>6605867.125</v>
      </c>
      <c r="CK44" s="72"/>
      <c r="CL44" s="55"/>
      <c r="CM44" s="172"/>
      <c r="CN44" s="59">
        <f>CN8+CL16-CL43</f>
        <v>6121029.125</v>
      </c>
      <c r="CO44" s="72"/>
      <c r="CP44" s="55"/>
      <c r="CQ44" s="172"/>
      <c r="CR44" s="59">
        <f>CR8+CP16-CP43</f>
        <v>6154187.125</v>
      </c>
      <c r="CS44" s="72"/>
      <c r="CT44" s="55"/>
      <c r="CU44" s="172"/>
      <c r="CV44" s="59">
        <f>CV8+CT16-CT43</f>
        <v>6442017.125</v>
      </c>
      <c r="CW44" s="72"/>
      <c r="CX44" s="55"/>
      <c r="CY44" s="172"/>
      <c r="CZ44" s="72"/>
    </row>
    <row r="45" spans="2:106" ht="15" thickTop="1" x14ac:dyDescent="0.3">
      <c r="D45" s="72"/>
      <c r="E45" s="76"/>
      <c r="F45" s="49"/>
      <c r="G45" s="111"/>
      <c r="H45" s="49"/>
      <c r="I45" s="72"/>
      <c r="J45" s="49"/>
      <c r="K45" s="111"/>
      <c r="L45" s="49"/>
      <c r="M45" s="72"/>
      <c r="N45" s="49"/>
      <c r="O45" s="111"/>
      <c r="P45" s="49"/>
      <c r="Q45" s="72"/>
      <c r="R45" s="49"/>
      <c r="S45" s="111"/>
      <c r="T45" s="49"/>
      <c r="U45" s="72"/>
      <c r="V45" s="49"/>
      <c r="W45" s="111"/>
      <c r="X45" s="49"/>
      <c r="Y45" s="72"/>
      <c r="Z45" s="49"/>
      <c r="AA45" s="111"/>
      <c r="AB45" s="49"/>
      <c r="AC45" s="72"/>
      <c r="AD45" s="49"/>
      <c r="AE45" s="111"/>
      <c r="AF45" s="49"/>
      <c r="AG45" s="72"/>
      <c r="AH45" s="49"/>
      <c r="AI45" s="111"/>
      <c r="AJ45" s="49"/>
      <c r="AK45" s="72"/>
      <c r="AL45" s="49"/>
      <c r="AM45" s="111"/>
      <c r="AN45" s="49"/>
      <c r="AO45" s="72"/>
      <c r="AP45" s="49"/>
      <c r="AQ45" s="111"/>
      <c r="AR45" s="49"/>
      <c r="AS45" s="72"/>
      <c r="AT45" s="49"/>
      <c r="AU45" s="111"/>
      <c r="AV45" s="49"/>
      <c r="AW45" s="72"/>
      <c r="AX45" s="49"/>
      <c r="AY45" s="111"/>
      <c r="AZ45" s="49"/>
      <c r="BA45" s="72"/>
      <c r="BB45" s="49"/>
      <c r="BC45" s="111"/>
      <c r="BD45" s="49"/>
      <c r="BE45" s="72"/>
      <c r="BF45" s="49"/>
      <c r="BG45" s="111"/>
      <c r="BH45" s="49"/>
      <c r="BI45" s="72"/>
      <c r="BJ45" s="49"/>
      <c r="BK45" s="111"/>
      <c r="BL45" s="49"/>
      <c r="BM45" s="72"/>
      <c r="BN45" s="49"/>
      <c r="BO45" s="111"/>
      <c r="BP45" s="49"/>
      <c r="BQ45" s="72"/>
      <c r="BR45" s="49"/>
      <c r="BS45" s="111"/>
      <c r="BT45" s="49"/>
      <c r="BU45" s="72"/>
      <c r="BV45" s="49"/>
      <c r="BW45" s="111"/>
      <c r="BX45" s="49"/>
      <c r="BY45" s="72"/>
      <c r="BZ45" s="49"/>
      <c r="CA45" s="111"/>
      <c r="CB45" s="49"/>
      <c r="CC45" s="72"/>
      <c r="CD45" s="49"/>
      <c r="CE45" s="111"/>
      <c r="CF45" s="49"/>
      <c r="CG45" s="72"/>
      <c r="CH45" s="49"/>
      <c r="CI45" s="111"/>
      <c r="CJ45" s="49"/>
      <c r="CK45" s="72"/>
      <c r="CL45" s="49"/>
      <c r="CM45" s="111"/>
      <c r="CN45" s="49"/>
      <c r="CO45" s="72"/>
      <c r="CP45" s="49"/>
      <c r="CQ45" s="111"/>
      <c r="CR45" s="49"/>
      <c r="CS45" s="72"/>
      <c r="CT45" s="49"/>
      <c r="CU45" s="111"/>
      <c r="CV45" s="49"/>
      <c r="CW45" s="72"/>
      <c r="CX45" s="49"/>
      <c r="CY45" s="111"/>
      <c r="CZ45" s="72"/>
    </row>
    <row r="46" spans="2:106" ht="18" x14ac:dyDescent="0.35">
      <c r="B46" s="35" t="s">
        <v>840</v>
      </c>
      <c r="D46" s="72"/>
      <c r="E46" s="76"/>
      <c r="G46" s="76"/>
      <c r="I46" s="72"/>
      <c r="K46" s="76"/>
      <c r="M46" s="72"/>
      <c r="O46" s="76"/>
      <c r="Q46" s="72"/>
      <c r="S46" s="76"/>
      <c r="U46" s="72"/>
      <c r="W46" s="76"/>
      <c r="Y46" s="72"/>
      <c r="AA46" s="76"/>
      <c r="AC46" s="72"/>
      <c r="AE46" s="76"/>
      <c r="AG46" s="72"/>
      <c r="AI46" s="76"/>
      <c r="AK46" s="72"/>
      <c r="AM46" s="76"/>
      <c r="AO46" s="72"/>
      <c r="AQ46" s="76"/>
      <c r="AS46" s="72"/>
      <c r="AU46" s="76"/>
      <c r="AW46" s="72"/>
      <c r="AY46" s="76"/>
      <c r="BA46" s="72"/>
      <c r="BC46" s="76"/>
      <c r="BE46" s="72"/>
      <c r="BG46" s="76"/>
      <c r="BI46" s="72"/>
      <c r="BK46" s="76"/>
      <c r="BM46" s="72"/>
      <c r="BO46" s="76"/>
      <c r="BQ46" s="72"/>
      <c r="BS46" s="76"/>
      <c r="BU46" s="72"/>
      <c r="BW46" s="76"/>
      <c r="BY46" s="72"/>
      <c r="CA46" s="76"/>
      <c r="CC46" s="72"/>
      <c r="CE46" s="76"/>
      <c r="CG46" s="72"/>
      <c r="CI46" s="76"/>
      <c r="CK46" s="72"/>
      <c r="CM46" s="76"/>
      <c r="CO46" s="72"/>
      <c r="CP46" s="49"/>
      <c r="CQ46" s="111"/>
      <c r="CR46" s="49"/>
      <c r="CS46" s="72"/>
      <c r="CT46" s="49"/>
      <c r="CU46" s="111"/>
      <c r="CV46" s="49"/>
      <c r="CW46" s="72"/>
      <c r="CY46" s="76"/>
      <c r="CZ46" s="72"/>
    </row>
    <row r="47" spans="2:106" ht="15.6" x14ac:dyDescent="0.3">
      <c r="C47" t="s">
        <v>40</v>
      </c>
      <c r="D47" s="72"/>
      <c r="E47" s="76"/>
      <c r="G47" s="76"/>
      <c r="H47" s="60">
        <f>+'Funds Breakup'!C5+'Funds Breakup'!C26</f>
        <v>5868083</v>
      </c>
      <c r="I47" s="72"/>
      <c r="K47" s="76"/>
      <c r="L47" s="60">
        <f>+'Funds Breakup'!C5+'Funds Breakup'!C26+'Funds Breakup'!C47</f>
        <v>5402512</v>
      </c>
      <c r="M47" s="72"/>
      <c r="O47" s="76"/>
      <c r="P47" s="60">
        <f>+'Funds Breakup'!C5+'Funds Breakup'!C26+'Funds Breakup'!C47+'Funds Breakup'!C71</f>
        <v>4906871</v>
      </c>
      <c r="Q47" s="72"/>
      <c r="S47" s="76"/>
      <c r="T47" s="60">
        <f>+'Funds Breakup'!C5+'Funds Breakup'!C26+'Funds Breakup'!C47+'Funds Breakup'!C71+'Funds Breakup'!C95</f>
        <v>6708131.5</v>
      </c>
      <c r="U47" s="72"/>
      <c r="W47" s="76"/>
      <c r="X47" s="60">
        <f>+'Funds Breakup'!C5+'Funds Breakup'!C26+'Funds Breakup'!C47+'Funds Breakup'!C71+'Funds Breakup'!C95+'Funds Breakup'!C119</f>
        <v>6335031.5</v>
      </c>
      <c r="Y47" s="72"/>
      <c r="AA47" s="76"/>
      <c r="AB47" s="60">
        <f>+'Funds Breakup'!C5+'Funds Breakup'!C26+'Funds Breakup'!C47+'Funds Breakup'!C71+'Funds Breakup'!C95+'Funds Breakup'!C119+'Funds Breakup'!C144</f>
        <v>5916397.5</v>
      </c>
      <c r="AC47" s="72"/>
      <c r="AE47" s="76"/>
      <c r="AF47" s="60">
        <f>+'Funds Breakup'!C5+'Funds Breakup'!C26+'Funds Breakup'!C47+'Funds Breakup'!C71+'Funds Breakup'!C95+'Funds Breakup'!C119+'Funds Breakup'!C144+'Funds Breakup'!C168</f>
        <v>7296569.5</v>
      </c>
      <c r="AG47" s="72"/>
      <c r="AI47" s="76"/>
      <c r="AJ47" s="60">
        <f>+'Funds Breakup'!C5+'Funds Breakup'!C26+'Funds Breakup'!C47+'Funds Breakup'!C71+'Funds Breakup'!C95+'Funds Breakup'!C119+'Funds Breakup'!C144+'Funds Breakup'!C168+'Funds Breakup'!C194</f>
        <v>6644905.5</v>
      </c>
      <c r="AK47" s="72"/>
      <c r="AM47" s="76"/>
      <c r="AN47" s="60">
        <f>+'Funds Breakup'!C5+'Funds Breakup'!C26+'Funds Breakup'!C47+'Funds Breakup'!C71+'Funds Breakup'!C95+'Funds Breakup'!C119+'Funds Breakup'!C144+'Funds Breakup'!C168+'Funds Breakup'!C194+'Funds Breakup'!C218</f>
        <v>6393275.5</v>
      </c>
      <c r="AO47" s="72"/>
      <c r="AQ47" s="76"/>
      <c r="AR47" s="60">
        <f>+'Funds Breakup'!C5+'Funds Breakup'!C26+'Funds Breakup'!C47+'Funds Breakup'!C71+'Funds Breakup'!C95+'Funds Breakup'!C119+'Funds Breakup'!C144+'Funds Breakup'!C168+'Funds Breakup'!C194+'Funds Breakup'!C218+'Funds Breakup'!C242</f>
        <v>8088340.5</v>
      </c>
      <c r="AS47" s="72"/>
      <c r="AU47" s="76"/>
      <c r="AV47" s="60">
        <f>+'Funds Breakup'!C5+'Funds Breakup'!C26+'Funds Breakup'!C47+'Funds Breakup'!C71+'Funds Breakup'!C95+'Funds Breakup'!C119+'Funds Breakup'!C144+'Funds Breakup'!C168+'Funds Breakup'!C194+'Funds Breakup'!C218+'Funds Breakup'!C242+'Funds Breakup'!C266</f>
        <v>7578686.5</v>
      </c>
      <c r="AW47" s="72"/>
      <c r="AY47" s="76"/>
      <c r="AZ47" s="60">
        <f>'Funds Breakup'!C5+'Funds Breakup'!C26+'Funds Breakup'!C47+'Funds Breakup'!C71+'Funds Breakup'!C95+'Funds Breakup'!C119+'Funds Breakup'!C144+'Funds Breakup'!C168+'Funds Breakup'!C194+'Funds Breakup'!C218+'Funds Breakup'!C242+'Funds Breakup'!C266+'Funds Breakup'!C290</f>
        <v>7140404.5</v>
      </c>
      <c r="BA47" s="72"/>
      <c r="BC47" s="76"/>
      <c r="BD47" s="60">
        <f>+'Funds Breakup'!C292+'Funds Breakup'!C317</f>
        <v>8934190.5</v>
      </c>
      <c r="BE47" s="72"/>
      <c r="BG47" s="76"/>
      <c r="BH47" s="60">
        <f>+'Funds Breakup'!C292+'Funds Breakup'!C317+'Funds Breakup'!C344</f>
        <v>8376862.5</v>
      </c>
      <c r="BI47" s="72"/>
      <c r="BK47" s="76"/>
      <c r="BL47" s="60">
        <f>+'Funds Breakup'!C292+'Funds Breakup'!C317+'Funds Breakup'!C344+'Funds Breakup'!C371</f>
        <v>7269104.5</v>
      </c>
      <c r="BM47" s="72"/>
      <c r="BO47" s="76"/>
      <c r="BP47" s="60">
        <f>+'Funds Breakup'!C292+'Funds Breakup'!C317+'Funds Breakup'!C344+'Funds Breakup'!C371+'Funds Breakup'!C398</f>
        <v>6903791.5</v>
      </c>
      <c r="BQ47" s="72"/>
      <c r="BS47" s="76"/>
      <c r="BT47" s="60">
        <f>+'Funds Breakup'!C292+'Funds Breakup'!C317+'Funds Breakup'!C344+'Funds Breakup'!C371+'Funds Breakup'!C398+'Funds Breakup'!C425</f>
        <v>8155264.125</v>
      </c>
      <c r="BU47" s="72"/>
      <c r="BW47" s="76"/>
      <c r="BX47" s="60">
        <f>+'Funds Breakup'!C292+'Funds Breakup'!C317+'Funds Breakup'!C344+'Funds Breakup'!C371+'Funds Breakup'!C398+'Funds Breakup'!C425+'Funds Breakup'!C452</f>
        <v>7555206.125</v>
      </c>
      <c r="BY47" s="72"/>
      <c r="CA47" s="76"/>
      <c r="CB47" s="60">
        <f>+'Funds Breakup'!C292+'Funds Breakup'!C317+'Funds Breakup'!C344+'Funds Breakup'!C371+'Funds Breakup'!C398+'Funds Breakup'!C425+'Funds Breakup'!C452+'Funds Breakup'!C478</f>
        <v>3819671.125</v>
      </c>
      <c r="CC47" s="72"/>
      <c r="CE47" s="76"/>
      <c r="CF47" s="60">
        <f>+'Funds Breakup'!C292+'Funds Breakup'!C317+'Funds Breakup'!C344+'Funds Breakup'!C371+'Funds Breakup'!C398+'Funds Breakup'!C425+'Funds Breakup'!C452+'Funds Breakup'!C478+'Funds Breakup'!C504</f>
        <v>4315241.125</v>
      </c>
      <c r="CG47" s="72"/>
      <c r="CI47" s="76"/>
      <c r="CJ47" s="60">
        <f>+'Funds Breakup'!C292+'Funds Breakup'!C317+'Funds Breakup'!C344+'Funds Breakup'!C371+'Funds Breakup'!C398+'Funds Breakup'!C425+'Funds Breakup'!C452+'Funds Breakup'!C478+'Funds Breakup'!C504+'Funds Breakup'!C531</f>
        <v>2823241.125</v>
      </c>
      <c r="CK47" s="72"/>
      <c r="CM47" s="76"/>
      <c r="CN47" s="60">
        <f>+'Funds Breakup'!C292+'Funds Breakup'!C317+'Funds Breakup'!C344+'Funds Breakup'!C371+'Funds Breakup'!C398+'Funds Breakup'!C425+'Funds Breakup'!C452+'Funds Breakup'!C478+'Funds Breakup'!C504+'Funds Breakup'!C531+'Funds Breakup'!C558</f>
        <v>2923241.125</v>
      </c>
      <c r="CO47" s="72"/>
      <c r="CQ47" s="76"/>
      <c r="CR47" s="60">
        <f>+'Funds Breakup'!C292+'Funds Breakup'!C317+'Funds Breakup'!C344+'Funds Breakup'!C371+'Funds Breakup'!C398+'Funds Breakup'!C425+'Funds Breakup'!C452+'Funds Breakup'!C478+'Funds Breakup'!C504+'Funds Breakup'!C531+'Funds Breakup'!C558+'Funds Breakup'!C582</f>
        <v>2923241.125</v>
      </c>
      <c r="CS47" s="72"/>
      <c r="CU47" s="76"/>
      <c r="CV47" s="60">
        <f>+'Funds Breakup'!C292+'Funds Breakup'!C317+'Funds Breakup'!C344+'Funds Breakup'!C371+'Funds Breakup'!C398+'Funds Breakup'!C425+'Funds Breakup'!C452+'Funds Breakup'!C478+'Funds Breakup'!C504+'Funds Breakup'!C531+'Funds Breakup'!C558+'Funds Breakup'!C582+'Funds Breakup'!C606</f>
        <v>2923241.125</v>
      </c>
      <c r="CW47" s="72"/>
      <c r="CY47" s="76"/>
      <c r="CZ47" s="72"/>
    </row>
    <row r="48" spans="2:106" ht="15.6" x14ac:dyDescent="0.3">
      <c r="C48" t="s">
        <v>1515</v>
      </c>
      <c r="D48" s="72"/>
      <c r="E48" s="76"/>
      <c r="G48" s="76"/>
      <c r="H48" s="60"/>
      <c r="I48" s="72"/>
      <c r="K48" s="76"/>
      <c r="L48" s="60"/>
      <c r="M48" s="72"/>
      <c r="O48" s="76"/>
      <c r="P48" s="60"/>
      <c r="Q48" s="72"/>
      <c r="S48" s="76"/>
      <c r="T48" s="60"/>
      <c r="U48" s="72"/>
      <c r="W48" s="76"/>
      <c r="X48" s="60"/>
      <c r="Y48" s="72"/>
      <c r="AA48" s="76"/>
      <c r="AB48" s="60"/>
      <c r="AC48" s="72"/>
      <c r="AE48" s="76"/>
      <c r="AF48" s="60"/>
      <c r="AG48" s="72"/>
      <c r="AI48" s="76"/>
      <c r="AJ48" s="60"/>
      <c r="AK48" s="72"/>
      <c r="AM48" s="76"/>
      <c r="AN48" s="60"/>
      <c r="AO48" s="72"/>
      <c r="AQ48" s="76"/>
      <c r="AR48" s="60"/>
      <c r="AS48" s="72"/>
      <c r="AU48" s="76"/>
      <c r="AV48" s="60"/>
      <c r="AW48" s="72"/>
      <c r="AY48" s="76"/>
      <c r="AZ48" s="60"/>
      <c r="BA48" s="72"/>
      <c r="BC48" s="76"/>
      <c r="BD48" s="60"/>
      <c r="BE48" s="72"/>
      <c r="BG48" s="76"/>
      <c r="BH48" s="60"/>
      <c r="BI48" s="72"/>
      <c r="BK48" s="76"/>
      <c r="BL48" s="60"/>
      <c r="BM48" s="72"/>
      <c r="BO48" s="76"/>
      <c r="BP48" s="60"/>
      <c r="BQ48" s="72"/>
      <c r="BS48" s="76"/>
      <c r="BT48" s="60"/>
      <c r="BU48" s="72"/>
      <c r="BW48" s="76"/>
      <c r="BX48" s="60"/>
      <c r="BY48" s="72"/>
      <c r="CA48" s="76"/>
      <c r="CB48" s="60">
        <v>0</v>
      </c>
      <c r="CC48" s="72"/>
      <c r="CE48" s="76"/>
      <c r="CF48" s="60">
        <v>0</v>
      </c>
      <c r="CG48" s="72"/>
      <c r="CI48" s="76"/>
      <c r="CJ48" s="60">
        <f>+'Funds Breakup'!O478+'Funds Breakup'!O504+'Funds Breakup'!O531+'Funds Breakup'!O558</f>
        <v>930000</v>
      </c>
      <c r="CK48" s="72"/>
      <c r="CM48" s="76"/>
      <c r="CN48" s="60">
        <f>+'Funds Breakup'!O478+'Funds Breakup'!O504+'Funds Breakup'!O531+'Funds Breakup'!O558</f>
        <v>930000</v>
      </c>
      <c r="CO48" s="72"/>
      <c r="CQ48" s="76"/>
      <c r="CR48" s="60">
        <f>+'Funds Breakup'!O478+'Funds Breakup'!O504+'Funds Breakup'!O531+'Funds Breakup'!O558+'Funds Breakup'!O582</f>
        <v>930000</v>
      </c>
      <c r="CS48" s="72"/>
      <c r="CU48" s="76"/>
      <c r="CV48" s="60">
        <f>+'Funds Breakup'!O478+'Funds Breakup'!O504+'Funds Breakup'!O531+'Funds Breakup'!O558+'Funds Breakup'!O582+'Funds Breakup'!O606</f>
        <v>930000</v>
      </c>
      <c r="CW48" s="72"/>
      <c r="CY48" s="76"/>
      <c r="CZ48" s="72"/>
      <c r="DB48" s="60">
        <v>910000</v>
      </c>
    </row>
    <row r="49" spans="3:106" ht="15.6" x14ac:dyDescent="0.3">
      <c r="C49" t="s">
        <v>1516</v>
      </c>
      <c r="D49" s="72"/>
      <c r="E49" s="76"/>
      <c r="G49" s="76"/>
      <c r="H49" s="60"/>
      <c r="I49" s="72"/>
      <c r="K49" s="76"/>
      <c r="L49" s="60"/>
      <c r="M49" s="72"/>
      <c r="O49" s="76"/>
      <c r="P49" s="60"/>
      <c r="Q49" s="72"/>
      <c r="S49" s="76"/>
      <c r="T49" s="60"/>
      <c r="U49" s="72"/>
      <c r="W49" s="76"/>
      <c r="X49" s="60"/>
      <c r="Y49" s="72"/>
      <c r="AA49" s="76"/>
      <c r="AB49" s="60"/>
      <c r="AC49" s="72"/>
      <c r="AE49" s="76"/>
      <c r="AF49" s="60"/>
      <c r="AG49" s="72"/>
      <c r="AI49" s="76"/>
      <c r="AJ49" s="60"/>
      <c r="AK49" s="72"/>
      <c r="AM49" s="76"/>
      <c r="AN49" s="60"/>
      <c r="AO49" s="72"/>
      <c r="AQ49" s="76"/>
      <c r="AR49" s="60"/>
      <c r="AS49" s="72"/>
      <c r="AU49" s="76"/>
      <c r="AV49" s="60"/>
      <c r="AW49" s="72"/>
      <c r="AY49" s="76"/>
      <c r="AZ49" s="60"/>
      <c r="BA49" s="72"/>
      <c r="BC49" s="76"/>
      <c r="BD49" s="60"/>
      <c r="BE49" s="72"/>
      <c r="BG49" s="76"/>
      <c r="BH49" s="60"/>
      <c r="BI49" s="72"/>
      <c r="BK49" s="76"/>
      <c r="BL49" s="60"/>
      <c r="BM49" s="72"/>
      <c r="BO49" s="76"/>
      <c r="BP49" s="60"/>
      <c r="BQ49" s="72"/>
      <c r="BS49" s="76"/>
      <c r="BT49" s="60"/>
      <c r="BU49" s="72"/>
      <c r="BW49" s="76"/>
      <c r="BX49" s="60"/>
      <c r="BY49" s="72"/>
      <c r="CA49" s="76"/>
      <c r="CB49" s="60">
        <v>0</v>
      </c>
      <c r="CC49" s="72"/>
      <c r="CE49" s="76"/>
      <c r="CF49" s="60">
        <f>+'Funds Breakup'!I478+'Funds Breakup'!I504</f>
        <v>1000000</v>
      </c>
      <c r="CG49" s="72"/>
      <c r="CI49" s="76"/>
      <c r="CJ49" s="60">
        <f>+'Funds Breakup'!I478+'Funds Breakup'!I504+'Funds Breakup'!I531</f>
        <v>604580</v>
      </c>
      <c r="CK49" s="72"/>
      <c r="CM49" s="76"/>
      <c r="CN49" s="60">
        <f>+'Funds Breakup'!I478+'Funds Breakup'!I504+'Funds Breakup'!I531+'Funds Breakup'!I558</f>
        <v>548360</v>
      </c>
      <c r="CO49" s="72"/>
      <c r="CQ49" s="76"/>
      <c r="CR49" s="60">
        <f>+'Funds Breakup'!I478+'Funds Breakup'!I504+'Funds Breakup'!I531+'Funds Breakup'!I558+'Funds Breakup'!I582</f>
        <v>646938</v>
      </c>
      <c r="CS49" s="72"/>
      <c r="CU49" s="76"/>
      <c r="CV49" s="60">
        <f>+'Funds Breakup'!I478+'Funds Breakup'!I504+'Funds Breakup'!I531+'Funds Breakup'!I558+'Funds Breakup'!I582+'Funds Breakup'!I606</f>
        <v>982878</v>
      </c>
      <c r="CW49" s="72"/>
      <c r="CY49" s="76"/>
      <c r="CZ49" s="72"/>
      <c r="DB49" s="60">
        <v>1000000</v>
      </c>
    </row>
    <row r="50" spans="3:106" ht="15.6" x14ac:dyDescent="0.3">
      <c r="C50" t="s">
        <v>1517</v>
      </c>
      <c r="D50" s="72"/>
      <c r="E50" s="76"/>
      <c r="G50" s="76"/>
      <c r="H50" s="60"/>
      <c r="I50" s="72"/>
      <c r="K50" s="76"/>
      <c r="L50" s="60"/>
      <c r="M50" s="72"/>
      <c r="O50" s="76"/>
      <c r="P50" s="60"/>
      <c r="Q50" s="72"/>
      <c r="S50" s="76"/>
      <c r="T50" s="60"/>
      <c r="U50" s="72"/>
      <c r="W50" s="76"/>
      <c r="X50" s="60"/>
      <c r="Y50" s="72"/>
      <c r="AA50" s="76"/>
      <c r="AB50" s="60"/>
      <c r="AC50" s="72"/>
      <c r="AE50" s="76"/>
      <c r="AF50" s="60"/>
      <c r="AG50" s="72"/>
      <c r="AI50" s="76"/>
      <c r="AJ50" s="60"/>
      <c r="AK50" s="72"/>
      <c r="AM50" s="76"/>
      <c r="AN50" s="60"/>
      <c r="AO50" s="72"/>
      <c r="AQ50" s="76"/>
      <c r="AR50" s="60"/>
      <c r="AS50" s="72"/>
      <c r="AU50" s="76"/>
      <c r="AV50" s="60"/>
      <c r="AW50" s="72"/>
      <c r="AY50" s="76"/>
      <c r="AZ50" s="60"/>
      <c r="BA50" s="72"/>
      <c r="BC50" s="76"/>
      <c r="BD50" s="60"/>
      <c r="BE50" s="72"/>
      <c r="BG50" s="76"/>
      <c r="BH50" s="60"/>
      <c r="BI50" s="72"/>
      <c r="BK50" s="76"/>
      <c r="BL50" s="60"/>
      <c r="BM50" s="72"/>
      <c r="BO50" s="76"/>
      <c r="BP50" s="60"/>
      <c r="BQ50" s="72"/>
      <c r="BS50" s="76"/>
      <c r="BT50" s="60"/>
      <c r="BU50" s="72"/>
      <c r="BW50" s="76"/>
      <c r="BX50" s="60"/>
      <c r="BY50" s="72"/>
      <c r="CA50" s="76"/>
      <c r="CB50" s="60">
        <v>0</v>
      </c>
      <c r="CC50" s="72"/>
      <c r="CE50" s="76"/>
      <c r="CF50" s="60">
        <v>0</v>
      </c>
      <c r="CG50" s="72"/>
      <c r="CI50" s="76"/>
      <c r="CJ50" s="60">
        <f>+'Funds Breakup'!L478+'Funds Breakup'!L504+'Funds Breakup'!L531</f>
        <v>1381000</v>
      </c>
      <c r="CK50" s="72"/>
      <c r="CM50" s="76"/>
      <c r="CN50" s="60">
        <f>+'Funds Breakup'!L478+'Funds Breakup'!L504+'Funds Breakup'!L531+'Funds Breakup'!L558</f>
        <v>1381000</v>
      </c>
      <c r="CO50" s="72"/>
      <c r="CQ50" s="76"/>
      <c r="CR50" s="60">
        <f>+'Funds Breakup'!L478+'Funds Breakup'!L504+'Funds Breakup'!L531+'Funds Breakup'!L558+'Funds Breakup'!L582</f>
        <v>1381000</v>
      </c>
      <c r="CS50" s="72"/>
      <c r="CU50" s="76"/>
      <c r="CV50" s="60">
        <f>+'Funds Breakup'!L478+'Funds Breakup'!L504+'Funds Breakup'!L531+'Funds Breakup'!L558+'Funds Breakup'!L582+'Funds Breakup'!L606</f>
        <v>1381000</v>
      </c>
      <c r="CW50" s="72"/>
      <c r="CY50" s="76"/>
      <c r="CZ50" s="72"/>
      <c r="DB50" s="60">
        <v>783000</v>
      </c>
    </row>
    <row r="51" spans="3:106" ht="15.6" x14ac:dyDescent="0.3">
      <c r="C51" t="s">
        <v>1518</v>
      </c>
      <c r="D51" s="72"/>
      <c r="E51" s="76"/>
      <c r="G51" s="76"/>
      <c r="H51" s="60"/>
      <c r="I51" s="72"/>
      <c r="K51" s="76"/>
      <c r="L51" s="60"/>
      <c r="M51" s="72"/>
      <c r="O51" s="76"/>
      <c r="P51" s="60"/>
      <c r="Q51" s="72"/>
      <c r="S51" s="76"/>
      <c r="T51" s="60"/>
      <c r="U51" s="72"/>
      <c r="W51" s="76"/>
      <c r="X51" s="60"/>
      <c r="Y51" s="72"/>
      <c r="AA51" s="76"/>
      <c r="AB51" s="60"/>
      <c r="AC51" s="72"/>
      <c r="AE51" s="76"/>
      <c r="AF51" s="60"/>
      <c r="AG51" s="72"/>
      <c r="AI51" s="76"/>
      <c r="AJ51" s="60"/>
      <c r="AK51" s="72"/>
      <c r="AM51" s="76"/>
      <c r="AN51" s="60"/>
      <c r="AO51" s="72"/>
      <c r="AQ51" s="76"/>
      <c r="AR51" s="60"/>
      <c r="AS51" s="72"/>
      <c r="AU51" s="76"/>
      <c r="AV51" s="60"/>
      <c r="AW51" s="72"/>
      <c r="AY51" s="76"/>
      <c r="AZ51" s="60"/>
      <c r="BA51" s="72"/>
      <c r="BC51" s="76"/>
      <c r="BD51" s="60"/>
      <c r="BE51" s="72"/>
      <c r="BG51" s="76"/>
      <c r="BH51" s="60"/>
      <c r="BI51" s="72"/>
      <c r="BK51" s="76"/>
      <c r="BL51" s="60"/>
      <c r="BM51" s="72"/>
      <c r="BO51" s="76"/>
      <c r="BP51" s="60"/>
      <c r="BQ51" s="72"/>
      <c r="BS51" s="76"/>
      <c r="BT51" s="60"/>
      <c r="BU51" s="72"/>
      <c r="BW51" s="76"/>
      <c r="BX51" s="60"/>
      <c r="BY51" s="72"/>
      <c r="CA51" s="76"/>
      <c r="CB51" s="60">
        <v>0</v>
      </c>
      <c r="CC51" s="72"/>
      <c r="CE51" s="76"/>
      <c r="CF51" s="60">
        <f>+'Funds Breakup'!F478+'Funds Breakup'!F504</f>
        <v>803858</v>
      </c>
      <c r="CG51" s="72"/>
      <c r="CI51" s="76"/>
      <c r="CJ51" s="60">
        <f>+'Funds Breakup'!F478+'Funds Breakup'!F504+'Funds Breakup'!F531</f>
        <v>867046</v>
      </c>
      <c r="CK51" s="72"/>
      <c r="CM51" s="76"/>
      <c r="CN51" s="60">
        <f>+'Funds Breakup'!F478+'Funds Breakup'!F504+'Funds Breakup'!F531+'Funds Breakup'!F558</f>
        <v>338428</v>
      </c>
      <c r="CO51" s="72"/>
      <c r="CQ51" s="76"/>
      <c r="CR51" s="60">
        <f>+'Funds Breakup'!F478+'Funds Breakup'!F504+'Funds Breakup'!F531+'Funds Breakup'!F558+'Funds Breakup'!F582</f>
        <v>273008</v>
      </c>
      <c r="CS51" s="72"/>
      <c r="CU51" s="76"/>
      <c r="CV51" s="60">
        <f>+'Funds Breakup'!F478+'Funds Breakup'!F504+'Funds Breakup'!F531+'Funds Breakup'!F558+'Funds Breakup'!F582+'Funds Breakup'!F606</f>
        <v>224898</v>
      </c>
      <c r="CW51" s="72"/>
      <c r="CY51" s="76"/>
      <c r="CZ51" s="72"/>
    </row>
    <row r="52" spans="3:106" ht="18.600000000000001" thickBot="1" x14ac:dyDescent="0.4">
      <c r="D52" s="72"/>
      <c r="E52" s="76"/>
      <c r="G52" s="76"/>
      <c r="H52" s="59">
        <f>SUM(H47)</f>
        <v>5868083</v>
      </c>
      <c r="I52" s="72"/>
      <c r="K52" s="76"/>
      <c r="L52" s="59">
        <f>SUM(L47:L47)</f>
        <v>5402512</v>
      </c>
      <c r="M52" s="72"/>
      <c r="O52" s="76"/>
      <c r="P52" s="59">
        <f>SUM(P47:P47)</f>
        <v>4906871</v>
      </c>
      <c r="Q52" s="72"/>
      <c r="S52" s="76"/>
      <c r="T52" s="59">
        <f>SUM(T47:T47)</f>
        <v>6708131.5</v>
      </c>
      <c r="U52" s="72"/>
      <c r="W52" s="76"/>
      <c r="X52" s="59">
        <f>SUM(X47:X47)</f>
        <v>6335031.5</v>
      </c>
      <c r="Y52" s="72"/>
      <c r="AA52" s="76"/>
      <c r="AB52" s="59">
        <f>SUM(AB47:AB47)</f>
        <v>5916397.5</v>
      </c>
      <c r="AC52" s="72"/>
      <c r="AE52" s="76"/>
      <c r="AF52" s="59">
        <f>SUM(AF47:AF47)</f>
        <v>7296569.5</v>
      </c>
      <c r="AG52" s="72"/>
      <c r="AI52" s="76"/>
      <c r="AJ52" s="59">
        <f>SUM(AJ47:AJ47)</f>
        <v>6644905.5</v>
      </c>
      <c r="AK52" s="72"/>
      <c r="AM52" s="76"/>
      <c r="AN52" s="59">
        <f>SUM(AN47:AN47)</f>
        <v>6393275.5</v>
      </c>
      <c r="AO52" s="72"/>
      <c r="AQ52" s="76"/>
      <c r="AR52" s="59">
        <f>SUM(AR47:AR47)</f>
        <v>8088340.5</v>
      </c>
      <c r="AS52" s="72"/>
      <c r="AU52" s="76"/>
      <c r="AV52" s="59">
        <f>SUM(AV47:AV47)</f>
        <v>7578686.5</v>
      </c>
      <c r="AW52" s="72"/>
      <c r="AY52" s="76"/>
      <c r="AZ52" s="59">
        <f>SUM(AZ47:AZ47)</f>
        <v>7140404.5</v>
      </c>
      <c r="BA52" s="72"/>
      <c r="BC52" s="76"/>
      <c r="BD52" s="59">
        <f>SUM(BD47:BD47)</f>
        <v>8934190.5</v>
      </c>
      <c r="BE52" s="72"/>
      <c r="BG52" s="76"/>
      <c r="BH52" s="59">
        <f>SUM(BH47:BH47)</f>
        <v>8376862.5</v>
      </c>
      <c r="BI52" s="72"/>
      <c r="BK52" s="76"/>
      <c r="BL52" s="59">
        <f>SUM(BL47:BL47)</f>
        <v>7269104.5</v>
      </c>
      <c r="BM52" s="72"/>
      <c r="BO52" s="76"/>
      <c r="BP52" s="59">
        <f>SUM(BP47:BP47)</f>
        <v>6903791.5</v>
      </c>
      <c r="BQ52" s="72"/>
      <c r="BS52" s="76"/>
      <c r="BT52" s="59">
        <f>SUM(BT47:BT47)</f>
        <v>8155264.125</v>
      </c>
      <c r="BU52" s="72"/>
      <c r="BW52" s="76"/>
      <c r="BX52" s="59">
        <f>SUM(BX47:BX47)</f>
        <v>7555206.125</v>
      </c>
      <c r="BY52" s="72"/>
      <c r="CA52" s="76"/>
      <c r="CB52" s="59">
        <f>SUM(CB47:CB51)</f>
        <v>3819671.125</v>
      </c>
      <c r="CC52" s="72"/>
      <c r="CE52" s="76"/>
      <c r="CF52" s="59">
        <f>SUM(CF47:CF51)</f>
        <v>6119099.125</v>
      </c>
      <c r="CG52" s="72"/>
      <c r="CI52" s="76"/>
      <c r="CJ52" s="59">
        <f>SUM(CJ47:CJ51)</f>
        <v>6605867.125</v>
      </c>
      <c r="CK52" s="72"/>
      <c r="CM52" s="76"/>
      <c r="CN52" s="59">
        <f>SUM(CN47:CN51)</f>
        <v>6121029.125</v>
      </c>
      <c r="CO52" s="72"/>
      <c r="CQ52" s="76"/>
      <c r="CR52" s="59">
        <f>SUM(CR47:CR51)</f>
        <v>6154187.125</v>
      </c>
      <c r="CS52" s="72"/>
      <c r="CU52" s="76"/>
      <c r="CV52" s="59">
        <f>SUM(CV47:CV51)</f>
        <v>6442017.125</v>
      </c>
      <c r="CW52" s="72"/>
      <c r="CY52" s="76"/>
      <c r="CZ52" s="72"/>
    </row>
    <row r="53" spans="3:106" ht="15" thickTop="1" x14ac:dyDescent="0.3"/>
    <row r="55" spans="3:106" x14ac:dyDescent="0.3">
      <c r="H55" s="74">
        <f>H52-H44</f>
        <v>0</v>
      </c>
      <c r="L55" s="74">
        <f>L52-L44</f>
        <v>0</v>
      </c>
      <c r="P55" s="74">
        <f>P52-P44</f>
        <v>0</v>
      </c>
      <c r="T55" s="74">
        <f>T52-T44</f>
        <v>0</v>
      </c>
      <c r="X55" s="74">
        <f>X52-X44</f>
        <v>0</v>
      </c>
      <c r="AB55" s="74">
        <f>AB52-AB44</f>
        <v>0</v>
      </c>
      <c r="AF55" s="74">
        <f>AF52-AF44</f>
        <v>0</v>
      </c>
      <c r="AJ55" s="74">
        <f>AJ52-AJ44</f>
        <v>0</v>
      </c>
      <c r="AN55" s="74">
        <f>AN52-AN44</f>
        <v>0</v>
      </c>
      <c r="AR55" s="74">
        <f>AR52-AR44</f>
        <v>0</v>
      </c>
      <c r="AV55" s="74">
        <f>AV52-AV44</f>
        <v>0</v>
      </c>
      <c r="AZ55" s="74">
        <f>AZ52-AZ44</f>
        <v>0</v>
      </c>
      <c r="BD55" s="74">
        <f>BD52-BD44</f>
        <v>0</v>
      </c>
      <c r="BH55" s="74">
        <f>BH52-BH44</f>
        <v>0</v>
      </c>
      <c r="BL55" s="74">
        <f>BL52-BL44</f>
        <v>0</v>
      </c>
      <c r="BP55" s="74">
        <f>BP52-BP44</f>
        <v>0</v>
      </c>
      <c r="BT55" s="74">
        <f>BT52-BT44</f>
        <v>0</v>
      </c>
      <c r="BX55" s="74">
        <f>BX52-BX44</f>
        <v>0</v>
      </c>
      <c r="CB55" s="74">
        <f>CB52-CB44</f>
        <v>0</v>
      </c>
      <c r="CF55" s="74">
        <f>CF52-CF44</f>
        <v>0</v>
      </c>
      <c r="CJ55" s="74">
        <f>CJ52-CJ44</f>
        <v>0</v>
      </c>
      <c r="CN55" s="74">
        <f>CN52-CN44</f>
        <v>0</v>
      </c>
      <c r="CR55" s="74">
        <f>CR52-CR44</f>
        <v>0</v>
      </c>
      <c r="CV55" s="74">
        <f>CV52-CV44</f>
        <v>0</v>
      </c>
      <c r="CW55" s="74"/>
    </row>
    <row r="58" spans="3:106" x14ac:dyDescent="0.3">
      <c r="CV58" s="74"/>
    </row>
  </sheetData>
  <mergeCells count="25">
    <mergeCell ref="CX6:CY6"/>
    <mergeCell ref="BZ6:CB6"/>
    <mergeCell ref="CD6:CF6"/>
    <mergeCell ref="CH6:CJ6"/>
    <mergeCell ref="CL6:CN6"/>
    <mergeCell ref="CP6:CR6"/>
    <mergeCell ref="CT6:CV6"/>
    <mergeCell ref="BV6:BX6"/>
    <mergeCell ref="AD6:AF6"/>
    <mergeCell ref="AH6:AJ6"/>
    <mergeCell ref="AL6:AN6"/>
    <mergeCell ref="AP6:AR6"/>
    <mergeCell ref="AT6:AV6"/>
    <mergeCell ref="AX6:AZ6"/>
    <mergeCell ref="BB6:BD6"/>
    <mergeCell ref="BF6:BH6"/>
    <mergeCell ref="BJ6:BL6"/>
    <mergeCell ref="BN6:BP6"/>
    <mergeCell ref="BR6:BT6"/>
    <mergeCell ref="Z6:AB6"/>
    <mergeCell ref="F6:H6"/>
    <mergeCell ref="J6:L6"/>
    <mergeCell ref="N6:P6"/>
    <mergeCell ref="R6:T6"/>
    <mergeCell ref="V6:X6"/>
  </mergeCells>
  <pageMargins left="0.7" right="0.7" top="0.75" bottom="0.75" header="0.3" footer="0.3"/>
  <pageSetup scale="5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EM126"/>
  <sheetViews>
    <sheetView topLeftCell="CR41" zoomScale="110" workbookViewId="0">
      <selection activeCell="DE63" sqref="DE63"/>
    </sheetView>
  </sheetViews>
  <sheetFormatPr defaultRowHeight="14.4" x14ac:dyDescent="0.3"/>
  <cols>
    <col min="2" max="2" width="19.5546875" customWidth="1"/>
    <col min="3" max="3" width="11.88671875" customWidth="1"/>
    <col min="4" max="4" width="10.5546875" customWidth="1"/>
    <col min="5" max="5" width="11.21875" customWidth="1"/>
    <col min="6" max="6" width="10.6640625" customWidth="1"/>
    <col min="7" max="7" width="11.77734375" customWidth="1"/>
    <col min="8" max="9" width="11.21875" customWidth="1"/>
    <col min="10" max="11" width="12.5546875" customWidth="1"/>
    <col min="12" max="12" width="10.6640625" customWidth="1"/>
    <col min="13" max="17" width="12.5546875" customWidth="1"/>
    <col min="18" max="18" width="14.77734375" customWidth="1"/>
    <col min="19" max="30" width="12.5546875" customWidth="1"/>
    <col min="31" max="31" width="9.21875" customWidth="1"/>
    <col min="32" max="32" width="10.44140625" customWidth="1"/>
    <col min="33" max="33" width="9.21875" customWidth="1"/>
    <col min="34" max="34" width="9.6640625" customWidth="1"/>
    <col min="35" max="36" width="9.21875" customWidth="1"/>
    <col min="37" max="40" width="9.6640625" customWidth="1"/>
    <col min="41" max="41" width="1" customWidth="1"/>
    <col min="42" max="42" width="10.44140625" customWidth="1"/>
    <col min="43" max="43" width="9.6640625" customWidth="1"/>
    <col min="44" max="44" width="15" customWidth="1"/>
    <col min="45" max="49" width="9.21875" customWidth="1"/>
    <col min="50" max="50" width="9.6640625" customWidth="1"/>
    <col min="51" max="51" width="10.44140625" customWidth="1"/>
    <col min="52" max="57" width="9.6640625" customWidth="1"/>
    <col min="58" max="58" width="10.88671875" customWidth="1"/>
    <col min="59" max="59" width="9.6640625" customWidth="1"/>
    <col min="60" max="60" width="10.44140625" customWidth="1"/>
    <col min="61" max="61" width="10.6640625" customWidth="1"/>
    <col min="62" max="62" width="8.44140625" customWidth="1"/>
    <col min="63" max="63" width="8.88671875" customWidth="1"/>
    <col min="64" max="64" width="10.6640625" customWidth="1"/>
    <col min="65" max="65" width="9.44140625" customWidth="1"/>
    <col min="66" max="66" width="9.6640625" customWidth="1"/>
    <col min="67" max="67" width="11.77734375" customWidth="1"/>
    <col min="68" max="68" width="9.6640625" customWidth="1"/>
    <col min="69" max="69" width="10.44140625" customWidth="1"/>
    <col min="70" max="71" width="9.6640625" customWidth="1"/>
    <col min="72" max="72" width="10.44140625" customWidth="1"/>
    <col min="73" max="77" width="9.6640625" customWidth="1"/>
    <col min="78" max="78" width="1.109375" customWidth="1"/>
    <col min="79" max="79" width="12" customWidth="1"/>
    <col min="80" max="82" width="9.6640625" customWidth="1"/>
    <col min="83" max="83" width="11.77734375" customWidth="1"/>
    <col min="84" max="90" width="9.6640625" customWidth="1"/>
    <col min="91" max="91" width="10.44140625" customWidth="1"/>
    <col min="92" max="99" width="9.6640625" customWidth="1"/>
    <col min="100" max="100" width="10.44140625" customWidth="1"/>
    <col min="101" max="101" width="12.6640625" customWidth="1"/>
    <col min="102" max="102" width="9.6640625" customWidth="1"/>
    <col min="103" max="103" width="10.44140625" customWidth="1"/>
    <col min="104" max="104" width="9.6640625" customWidth="1"/>
    <col min="105" max="105" width="9.21875" customWidth="1"/>
    <col min="106" max="106" width="16.5546875" customWidth="1"/>
    <col min="107" max="107" width="10.6640625" customWidth="1"/>
    <col min="108" max="108" width="9.21875" customWidth="1"/>
    <col min="109" max="109" width="13.33203125" customWidth="1"/>
    <col min="110" max="110" width="9.6640625" customWidth="1"/>
    <col min="111" max="115" width="12.88671875" customWidth="1"/>
    <col min="116" max="116" width="10.6640625" bestFit="1" customWidth="1"/>
    <col min="117" max="117" width="12.88671875" customWidth="1"/>
    <col min="118" max="118" width="12.21875" customWidth="1"/>
    <col min="119" max="119" width="10.6640625" bestFit="1" customWidth="1"/>
    <col min="120" max="120" width="11.6640625" customWidth="1"/>
    <col min="121" max="121" width="8.33203125" customWidth="1"/>
    <col min="122" max="122" width="11.109375" customWidth="1"/>
    <col min="123" max="123" width="19.33203125" bestFit="1" customWidth="1"/>
    <col min="124" max="124" width="12" customWidth="1"/>
    <col min="125" max="125" width="13.77734375" customWidth="1"/>
    <col min="126" max="127" width="9.6640625" customWidth="1"/>
    <col min="128" max="128" width="11.5546875" customWidth="1"/>
    <col min="129" max="129" width="12.77734375" customWidth="1"/>
    <col min="130" max="130" width="15.88671875" customWidth="1"/>
    <col min="131" max="131" width="12.44140625" customWidth="1"/>
    <col min="132" max="132" width="12.77734375" customWidth="1"/>
    <col min="133" max="133" width="12.88671875" customWidth="1"/>
    <col min="134" max="134" width="13.109375" customWidth="1"/>
    <col min="135" max="135" width="14.6640625" customWidth="1"/>
    <col min="137" max="137" width="14.33203125" customWidth="1"/>
    <col min="138" max="138" width="19.109375" customWidth="1"/>
    <col min="139" max="141" width="13.77734375" customWidth="1"/>
    <col min="142" max="142" width="17.77734375" customWidth="1"/>
    <col min="143" max="143" width="11.109375" customWidth="1"/>
  </cols>
  <sheetData>
    <row r="1" spans="2:143" x14ac:dyDescent="0.3">
      <c r="D1" t="s">
        <v>71</v>
      </c>
    </row>
    <row r="3" spans="2:143" x14ac:dyDescent="0.3">
      <c r="B3" s="29" t="s">
        <v>0</v>
      </c>
      <c r="AP3" s="29" t="s">
        <v>0</v>
      </c>
      <c r="CA3" s="29"/>
      <c r="DR3" s="29" t="s">
        <v>0</v>
      </c>
      <c r="DS3" s="29"/>
      <c r="EG3" s="29" t="s">
        <v>0</v>
      </c>
      <c r="EH3" s="29"/>
    </row>
    <row r="4" spans="2:143" ht="15" thickBot="1" x14ac:dyDescent="0.35">
      <c r="B4" s="29" t="s">
        <v>1448</v>
      </c>
      <c r="AP4" s="29" t="s">
        <v>1070</v>
      </c>
      <c r="CA4" s="29"/>
      <c r="DR4" s="29" t="s">
        <v>1225</v>
      </c>
      <c r="DS4" s="29"/>
      <c r="EG4" s="29" t="s">
        <v>1813</v>
      </c>
      <c r="EH4" s="29"/>
    </row>
    <row r="5" spans="2:143" ht="14.4" customHeight="1" x14ac:dyDescent="0.3">
      <c r="B5" s="572" t="s">
        <v>3</v>
      </c>
      <c r="C5" s="574"/>
      <c r="D5" s="594" t="s">
        <v>7</v>
      </c>
      <c r="E5" s="572">
        <v>44927</v>
      </c>
      <c r="F5" s="573"/>
      <c r="G5" s="574"/>
      <c r="H5" s="572">
        <v>44958</v>
      </c>
      <c r="I5" s="573"/>
      <c r="J5" s="574"/>
      <c r="K5" s="572">
        <v>44986</v>
      </c>
      <c r="L5" s="573"/>
      <c r="M5" s="574"/>
      <c r="N5" s="572">
        <v>45017</v>
      </c>
      <c r="O5" s="573"/>
      <c r="P5" s="574"/>
      <c r="Q5" s="572">
        <v>45047</v>
      </c>
      <c r="R5" s="573"/>
      <c r="S5" s="574"/>
      <c r="T5" s="572">
        <v>45078</v>
      </c>
      <c r="U5" s="573"/>
      <c r="V5" s="574"/>
      <c r="W5" s="572">
        <v>45108</v>
      </c>
      <c r="X5" s="573"/>
      <c r="Y5" s="574"/>
      <c r="Z5" s="572">
        <v>45139</v>
      </c>
      <c r="AA5" s="573"/>
      <c r="AB5" s="574"/>
      <c r="AC5" s="572">
        <v>45170</v>
      </c>
      <c r="AD5" s="573"/>
      <c r="AE5" s="574"/>
      <c r="AF5" s="572">
        <v>45200</v>
      </c>
      <c r="AG5" s="573"/>
      <c r="AH5" s="574"/>
      <c r="AI5" s="572">
        <v>45231</v>
      </c>
      <c r="AJ5" s="573"/>
      <c r="AK5" s="574"/>
      <c r="AL5" s="572">
        <v>45261</v>
      </c>
      <c r="AM5" s="573"/>
      <c r="AN5" s="574"/>
      <c r="AO5" s="256"/>
      <c r="AP5" s="572">
        <v>45292</v>
      </c>
      <c r="AQ5" s="573"/>
      <c r="AR5" s="574"/>
      <c r="AS5" s="572">
        <v>45323</v>
      </c>
      <c r="AT5" s="573"/>
      <c r="AU5" s="574"/>
      <c r="AV5" s="572">
        <v>45352</v>
      </c>
      <c r="AW5" s="573"/>
      <c r="AX5" s="574"/>
      <c r="AY5" s="572">
        <v>45383</v>
      </c>
      <c r="AZ5" s="573"/>
      <c r="BA5" s="574"/>
      <c r="BB5" s="572">
        <v>45413</v>
      </c>
      <c r="BC5" s="573"/>
      <c r="BD5" s="574"/>
      <c r="BE5" s="572">
        <v>45444</v>
      </c>
      <c r="BF5" s="573"/>
      <c r="BG5" s="574"/>
      <c r="BH5" s="572">
        <v>45474</v>
      </c>
      <c r="BI5" s="573"/>
      <c r="BJ5" s="574"/>
      <c r="BK5" s="572">
        <v>45505</v>
      </c>
      <c r="BL5" s="573"/>
      <c r="BM5" s="574"/>
      <c r="BN5" s="572">
        <v>45536</v>
      </c>
      <c r="BO5" s="573"/>
      <c r="BP5" s="574"/>
      <c r="BQ5" s="572">
        <v>45566</v>
      </c>
      <c r="BR5" s="573"/>
      <c r="BS5" s="574"/>
      <c r="BT5" s="572">
        <v>45597</v>
      </c>
      <c r="BU5" s="573"/>
      <c r="BV5" s="596"/>
      <c r="BW5" s="572">
        <v>45627</v>
      </c>
      <c r="BX5" s="573"/>
      <c r="BY5" s="574"/>
      <c r="BZ5" s="356"/>
      <c r="CA5" s="589">
        <v>45658</v>
      </c>
      <c r="CB5" s="573"/>
      <c r="CC5" s="574"/>
      <c r="CD5" s="572">
        <v>45689</v>
      </c>
      <c r="CE5" s="573"/>
      <c r="CF5" s="574"/>
      <c r="CG5" s="572">
        <v>45717</v>
      </c>
      <c r="CH5" s="573"/>
      <c r="CI5" s="574"/>
      <c r="CJ5" s="572">
        <v>45748</v>
      </c>
      <c r="CK5" s="573"/>
      <c r="CL5" s="574"/>
      <c r="CM5" s="572">
        <v>45778</v>
      </c>
      <c r="CN5" s="573"/>
      <c r="CO5" s="574"/>
      <c r="CP5" s="572">
        <v>45809</v>
      </c>
      <c r="CQ5" s="573"/>
      <c r="CR5" s="574"/>
      <c r="CS5" s="572">
        <v>45839</v>
      </c>
      <c r="CT5" s="573"/>
      <c r="CU5" s="574"/>
      <c r="CV5" s="572">
        <v>45870</v>
      </c>
      <c r="CW5" s="573"/>
      <c r="CX5" s="574"/>
      <c r="CY5" s="572">
        <v>45901</v>
      </c>
      <c r="CZ5" s="573"/>
      <c r="DA5" s="574"/>
      <c r="DB5" s="572">
        <v>45931</v>
      </c>
      <c r="DC5" s="573"/>
      <c r="DD5" s="574"/>
      <c r="DE5" s="572">
        <v>45962</v>
      </c>
      <c r="DF5" s="573"/>
      <c r="DG5" s="574"/>
      <c r="DH5" s="572">
        <v>45992</v>
      </c>
      <c r="DI5" s="573"/>
      <c r="DJ5" s="574"/>
      <c r="DK5" s="572">
        <v>46023</v>
      </c>
      <c r="DL5" s="573"/>
      <c r="DM5" s="574"/>
      <c r="DN5" s="572">
        <v>46054</v>
      </c>
      <c r="DO5" s="573"/>
      <c r="DP5" s="574"/>
      <c r="DQ5" s="243"/>
      <c r="DR5" s="577" t="s">
        <v>670</v>
      </c>
      <c r="DS5" s="579" t="s">
        <v>1745</v>
      </c>
      <c r="DT5" s="577" t="s">
        <v>61</v>
      </c>
      <c r="DU5" s="575" t="s">
        <v>1106</v>
      </c>
      <c r="DV5" s="575" t="s">
        <v>668</v>
      </c>
      <c r="DW5" s="575" t="s">
        <v>667</v>
      </c>
      <c r="DX5" s="575" t="s">
        <v>812</v>
      </c>
      <c r="DY5" s="575" t="s">
        <v>1209</v>
      </c>
      <c r="DZ5" s="575" t="s">
        <v>1207</v>
      </c>
      <c r="EA5" s="592" t="s">
        <v>1208</v>
      </c>
      <c r="EB5" s="575" t="s">
        <v>1210</v>
      </c>
      <c r="EC5" s="575" t="s">
        <v>1806</v>
      </c>
      <c r="ED5" s="590" t="s">
        <v>1807</v>
      </c>
      <c r="EE5" s="590" t="s">
        <v>1573</v>
      </c>
      <c r="EG5" s="577" t="s">
        <v>670</v>
      </c>
      <c r="EH5" s="579" t="s">
        <v>1745</v>
      </c>
      <c r="EI5" s="577" t="s">
        <v>61</v>
      </c>
      <c r="EJ5" s="575" t="s">
        <v>1815</v>
      </c>
      <c r="EK5" s="575" t="s">
        <v>1820</v>
      </c>
      <c r="EL5" s="575" t="s">
        <v>1814</v>
      </c>
      <c r="EM5" s="575" t="s">
        <v>1819</v>
      </c>
    </row>
    <row r="6" spans="2:143" ht="34.200000000000003" customHeight="1" thickBot="1" x14ac:dyDescent="0.35">
      <c r="B6" s="63" t="s">
        <v>4</v>
      </c>
      <c r="C6" s="289" t="s">
        <v>5</v>
      </c>
      <c r="D6" s="595"/>
      <c r="E6" s="63" t="s">
        <v>1</v>
      </c>
      <c r="F6" s="64" t="s">
        <v>2</v>
      </c>
      <c r="G6" s="65" t="s">
        <v>6</v>
      </c>
      <c r="H6" s="63" t="s">
        <v>1</v>
      </c>
      <c r="I6" s="64" t="s">
        <v>2</v>
      </c>
      <c r="J6" s="65" t="s">
        <v>6</v>
      </c>
      <c r="K6" s="63" t="s">
        <v>1</v>
      </c>
      <c r="L6" s="64" t="s">
        <v>2</v>
      </c>
      <c r="M6" s="65" t="s">
        <v>6</v>
      </c>
      <c r="N6" s="63" t="s">
        <v>1</v>
      </c>
      <c r="O6" s="64" t="s">
        <v>2</v>
      </c>
      <c r="P6" s="65" t="s">
        <v>6</v>
      </c>
      <c r="Q6" s="63" t="s">
        <v>1</v>
      </c>
      <c r="R6" s="64" t="s">
        <v>2</v>
      </c>
      <c r="S6" s="65" t="s">
        <v>6</v>
      </c>
      <c r="T6" s="63" t="s">
        <v>1</v>
      </c>
      <c r="U6" s="64" t="s">
        <v>2</v>
      </c>
      <c r="V6" s="65" t="s">
        <v>6</v>
      </c>
      <c r="W6" s="63" t="s">
        <v>1</v>
      </c>
      <c r="X6" s="64" t="s">
        <v>2</v>
      </c>
      <c r="Y6" s="65" t="s">
        <v>6</v>
      </c>
      <c r="Z6" s="63" t="s">
        <v>1</v>
      </c>
      <c r="AA6" s="64" t="s">
        <v>2</v>
      </c>
      <c r="AB6" s="65" t="s">
        <v>6</v>
      </c>
      <c r="AC6" s="63" t="s">
        <v>1</v>
      </c>
      <c r="AD6" s="64" t="s">
        <v>2</v>
      </c>
      <c r="AE6" s="65" t="s">
        <v>6</v>
      </c>
      <c r="AF6" s="63" t="s">
        <v>1</v>
      </c>
      <c r="AG6" s="64" t="s">
        <v>2</v>
      </c>
      <c r="AH6" s="65" t="s">
        <v>6</v>
      </c>
      <c r="AI6" s="63" t="s">
        <v>1</v>
      </c>
      <c r="AJ6" s="64" t="s">
        <v>2</v>
      </c>
      <c r="AK6" s="65" t="s">
        <v>6</v>
      </c>
      <c r="AL6" s="63" t="s">
        <v>1</v>
      </c>
      <c r="AM6" s="64" t="s">
        <v>2</v>
      </c>
      <c r="AN6" s="65" t="s">
        <v>6</v>
      </c>
      <c r="AO6" s="256"/>
      <c r="AP6" s="63" t="s">
        <v>1</v>
      </c>
      <c r="AQ6" s="64" t="s">
        <v>2</v>
      </c>
      <c r="AR6" s="65" t="s">
        <v>6</v>
      </c>
      <c r="AS6" s="63" t="s">
        <v>1</v>
      </c>
      <c r="AT6" s="64" t="s">
        <v>2</v>
      </c>
      <c r="AU6" s="65" t="s">
        <v>6</v>
      </c>
      <c r="AV6" s="63" t="s">
        <v>1</v>
      </c>
      <c r="AW6" s="64" t="s">
        <v>2</v>
      </c>
      <c r="AX6" s="65" t="s">
        <v>6</v>
      </c>
      <c r="AY6" s="63" t="s">
        <v>1</v>
      </c>
      <c r="AZ6" s="64" t="s">
        <v>2</v>
      </c>
      <c r="BA6" s="65" t="s">
        <v>6</v>
      </c>
      <c r="BB6" s="63" t="s">
        <v>1</v>
      </c>
      <c r="BC6" s="64" t="s">
        <v>2</v>
      </c>
      <c r="BD6" s="65" t="s">
        <v>6</v>
      </c>
      <c r="BE6" s="63" t="s">
        <v>1</v>
      </c>
      <c r="BF6" s="64" t="s">
        <v>2</v>
      </c>
      <c r="BG6" s="65" t="s">
        <v>6</v>
      </c>
      <c r="BH6" s="63" t="s">
        <v>1</v>
      </c>
      <c r="BI6" s="64" t="s">
        <v>2</v>
      </c>
      <c r="BJ6" s="65" t="s">
        <v>6</v>
      </c>
      <c r="BK6" s="63" t="s">
        <v>1</v>
      </c>
      <c r="BL6" s="64" t="s">
        <v>2</v>
      </c>
      <c r="BM6" s="65" t="s">
        <v>6</v>
      </c>
      <c r="BN6" s="63" t="s">
        <v>1</v>
      </c>
      <c r="BO6" s="64" t="s">
        <v>2</v>
      </c>
      <c r="BP6" s="65" t="s">
        <v>6</v>
      </c>
      <c r="BQ6" s="63" t="s">
        <v>1</v>
      </c>
      <c r="BR6" s="64" t="s">
        <v>2</v>
      </c>
      <c r="BS6" s="65" t="s">
        <v>6</v>
      </c>
      <c r="BT6" s="63" t="s">
        <v>1</v>
      </c>
      <c r="BU6" s="64" t="s">
        <v>2</v>
      </c>
      <c r="BV6" s="351" t="s">
        <v>6</v>
      </c>
      <c r="BW6" s="63" t="s">
        <v>1</v>
      </c>
      <c r="BX6" s="64" t="s">
        <v>2</v>
      </c>
      <c r="BY6" s="65" t="s">
        <v>6</v>
      </c>
      <c r="BZ6" s="356"/>
      <c r="CA6" s="353" t="s">
        <v>1</v>
      </c>
      <c r="CB6" s="64" t="s">
        <v>2</v>
      </c>
      <c r="CC6" s="65" t="s">
        <v>6</v>
      </c>
      <c r="CD6" s="63" t="s">
        <v>1</v>
      </c>
      <c r="CE6" s="64" t="s">
        <v>2</v>
      </c>
      <c r="CF6" s="65" t="s">
        <v>6</v>
      </c>
      <c r="CG6" s="63" t="s">
        <v>1</v>
      </c>
      <c r="CH6" s="64" t="s">
        <v>2</v>
      </c>
      <c r="CI6" s="65" t="s">
        <v>6</v>
      </c>
      <c r="CJ6" s="63" t="s">
        <v>1</v>
      </c>
      <c r="CK6" s="64" t="s">
        <v>2</v>
      </c>
      <c r="CL6" s="65" t="s">
        <v>6</v>
      </c>
      <c r="CM6" s="63" t="s">
        <v>1</v>
      </c>
      <c r="CN6" s="64" t="s">
        <v>2</v>
      </c>
      <c r="CO6" s="65" t="s">
        <v>6</v>
      </c>
      <c r="CP6" s="63" t="s">
        <v>1</v>
      </c>
      <c r="CQ6" s="64" t="s">
        <v>2</v>
      </c>
      <c r="CR6" s="65" t="s">
        <v>6</v>
      </c>
      <c r="CS6" s="63" t="s">
        <v>1</v>
      </c>
      <c r="CT6" s="64" t="s">
        <v>2</v>
      </c>
      <c r="CU6" s="65" t="s">
        <v>6</v>
      </c>
      <c r="CV6" s="63" t="s">
        <v>1</v>
      </c>
      <c r="CW6" s="64" t="s">
        <v>2</v>
      </c>
      <c r="CX6" s="65" t="s">
        <v>6</v>
      </c>
      <c r="CY6" s="63" t="s">
        <v>1</v>
      </c>
      <c r="CZ6" s="64" t="s">
        <v>2</v>
      </c>
      <c r="DA6" s="65" t="s">
        <v>6</v>
      </c>
      <c r="DB6" s="63" t="s">
        <v>1</v>
      </c>
      <c r="DC6" s="64" t="s">
        <v>2</v>
      </c>
      <c r="DD6" s="65" t="s">
        <v>6</v>
      </c>
      <c r="DE6" s="63" t="s">
        <v>1</v>
      </c>
      <c r="DF6" s="64" t="s">
        <v>2</v>
      </c>
      <c r="DG6" s="65" t="s">
        <v>6</v>
      </c>
      <c r="DH6" s="63" t="s">
        <v>1</v>
      </c>
      <c r="DI6" s="64" t="s">
        <v>2</v>
      </c>
      <c r="DJ6" s="65" t="s">
        <v>6</v>
      </c>
      <c r="DK6" s="63" t="s">
        <v>1</v>
      </c>
      <c r="DL6" s="64" t="s">
        <v>2</v>
      </c>
      <c r="DM6" s="65" t="s">
        <v>6</v>
      </c>
      <c r="DN6" s="63" t="s">
        <v>1</v>
      </c>
      <c r="DO6" s="64" t="s">
        <v>2</v>
      </c>
      <c r="DP6" s="65" t="s">
        <v>6</v>
      </c>
      <c r="DQ6" s="243"/>
      <c r="DR6" s="578"/>
      <c r="DS6" s="580"/>
      <c r="DT6" s="578"/>
      <c r="DU6" s="576"/>
      <c r="DV6" s="576"/>
      <c r="DW6" s="576"/>
      <c r="DX6" s="576"/>
      <c r="DY6" s="576"/>
      <c r="DZ6" s="576"/>
      <c r="EA6" s="593"/>
      <c r="EB6" s="576"/>
      <c r="EC6" s="576"/>
      <c r="ED6" s="591"/>
      <c r="EE6" s="591"/>
      <c r="EG6" s="578"/>
      <c r="EH6" s="580"/>
      <c r="EI6" s="578"/>
      <c r="EJ6" s="576"/>
      <c r="EK6" s="576"/>
      <c r="EL6" s="576"/>
      <c r="EM6" s="576"/>
    </row>
    <row r="7" spans="2:143" ht="7.5" customHeight="1" thickBot="1" x14ac:dyDescent="0.35">
      <c r="B7" s="62"/>
      <c r="C7" s="135"/>
      <c r="D7" s="66"/>
      <c r="E7" s="142"/>
      <c r="F7" s="141"/>
      <c r="G7" s="143"/>
      <c r="H7" s="142"/>
      <c r="I7" s="141"/>
      <c r="J7" s="143"/>
      <c r="K7" s="142"/>
      <c r="L7" s="141"/>
      <c r="M7" s="143"/>
      <c r="N7" s="142"/>
      <c r="O7" s="141"/>
      <c r="P7" s="143"/>
      <c r="Q7" s="142"/>
      <c r="R7" s="141"/>
      <c r="S7" s="143"/>
      <c r="T7" s="142"/>
      <c r="U7" s="141"/>
      <c r="V7" s="143"/>
      <c r="W7" s="142"/>
      <c r="X7" s="141"/>
      <c r="Y7" s="143"/>
      <c r="Z7" s="142"/>
      <c r="AA7" s="141"/>
      <c r="AB7" s="143"/>
      <c r="AC7" s="142"/>
      <c r="AD7" s="141"/>
      <c r="AE7" s="143"/>
      <c r="AF7" s="142"/>
      <c r="AG7" s="141"/>
      <c r="AH7" s="143"/>
      <c r="AI7" s="142"/>
      <c r="AJ7" s="141"/>
      <c r="AK7" s="143"/>
      <c r="AL7" s="142"/>
      <c r="AM7" s="141"/>
      <c r="AN7" s="143"/>
      <c r="AO7" s="257"/>
      <c r="AP7" s="142"/>
      <c r="AQ7" s="141"/>
      <c r="AR7" s="143"/>
      <c r="AS7" s="142"/>
      <c r="AT7" s="141"/>
      <c r="AU7" s="143"/>
      <c r="AV7" s="142"/>
      <c r="AW7" s="141"/>
      <c r="AX7" s="143"/>
      <c r="AY7" s="142"/>
      <c r="AZ7" s="141"/>
      <c r="BA7" s="143"/>
      <c r="BB7" s="142"/>
      <c r="BC7" s="141"/>
      <c r="BD7" s="143"/>
      <c r="BE7" s="142"/>
      <c r="BF7" s="141"/>
      <c r="BG7" s="143"/>
      <c r="BH7" s="142"/>
      <c r="BI7" s="141"/>
      <c r="BJ7" s="143"/>
      <c r="BK7" s="142"/>
      <c r="BL7" s="141"/>
      <c r="BM7" s="143"/>
      <c r="BN7" s="142"/>
      <c r="BO7" s="141"/>
      <c r="BP7" s="143"/>
      <c r="BQ7" s="142"/>
      <c r="BR7" s="141"/>
      <c r="BS7" s="143"/>
      <c r="BT7" s="142"/>
      <c r="BU7" s="141"/>
      <c r="BV7" s="141"/>
      <c r="BW7" s="142"/>
      <c r="BX7" s="141"/>
      <c r="BY7" s="143"/>
      <c r="BZ7" s="349"/>
      <c r="CA7" s="141"/>
      <c r="CB7" s="141"/>
      <c r="CC7" s="143"/>
      <c r="CD7" s="142"/>
      <c r="CE7" s="141"/>
      <c r="CF7" s="143"/>
      <c r="CG7" s="142"/>
      <c r="CH7" s="141"/>
      <c r="CI7" s="143"/>
      <c r="CJ7" s="142"/>
      <c r="CK7" s="141"/>
      <c r="CL7" s="143"/>
      <c r="CM7" s="142"/>
      <c r="CN7" s="141"/>
      <c r="CO7" s="143"/>
      <c r="CP7" s="142"/>
      <c r="CQ7" s="141"/>
      <c r="CR7" s="143"/>
      <c r="CS7" s="142"/>
      <c r="CT7" s="141"/>
      <c r="CU7" s="143"/>
      <c r="CV7" s="142"/>
      <c r="CW7" s="141"/>
      <c r="CX7" s="143"/>
      <c r="CY7" s="142"/>
      <c r="CZ7" s="141"/>
      <c r="DA7" s="143"/>
      <c r="DB7" s="142"/>
      <c r="DC7" s="141"/>
      <c r="DD7" s="143"/>
      <c r="DE7" s="142"/>
      <c r="DF7" s="141"/>
      <c r="DG7" s="143"/>
      <c r="DH7" s="142"/>
      <c r="DI7" s="141"/>
      <c r="DJ7" s="143"/>
      <c r="DK7" s="142"/>
      <c r="DL7" s="141"/>
      <c r="DM7" s="143"/>
      <c r="DN7" s="142"/>
      <c r="DO7" s="141"/>
      <c r="DP7" s="143"/>
      <c r="DQ7" s="244"/>
      <c r="DR7" s="244"/>
      <c r="DS7" s="244"/>
      <c r="DT7" s="244"/>
      <c r="DU7" s="244"/>
      <c r="DV7" s="244"/>
      <c r="DW7" s="244"/>
      <c r="DX7" s="244"/>
      <c r="DY7" s="244"/>
      <c r="DZ7" s="244"/>
      <c r="EA7" s="244"/>
    </row>
    <row r="8" spans="2:143" x14ac:dyDescent="0.3">
      <c r="B8" s="3" t="s">
        <v>1336</v>
      </c>
      <c r="C8" s="9">
        <v>101</v>
      </c>
      <c r="D8" s="96">
        <f>-15000+-7500+22500</f>
        <v>0</v>
      </c>
      <c r="E8" s="95"/>
      <c r="F8" s="37"/>
      <c r="G8" s="38"/>
      <c r="H8" s="95">
        <v>15000</v>
      </c>
      <c r="I8" s="37" t="s">
        <v>194</v>
      </c>
      <c r="J8" s="38">
        <v>44958</v>
      </c>
      <c r="K8" s="95">
        <v>7500</v>
      </c>
      <c r="L8" s="37" t="s">
        <v>248</v>
      </c>
      <c r="M8" s="38">
        <v>44988</v>
      </c>
      <c r="N8" s="95">
        <v>7500</v>
      </c>
      <c r="O8" s="37" t="s">
        <v>319</v>
      </c>
      <c r="P8" s="38">
        <v>45019</v>
      </c>
      <c r="Q8" s="95">
        <v>7500</v>
      </c>
      <c r="R8" s="37" t="s">
        <v>370</v>
      </c>
      <c r="S8" s="38">
        <v>45062</v>
      </c>
      <c r="T8" s="95">
        <v>7500</v>
      </c>
      <c r="U8" s="37" t="s">
        <v>442</v>
      </c>
      <c r="V8" s="38">
        <v>45107</v>
      </c>
      <c r="W8" s="95">
        <v>7500</v>
      </c>
      <c r="X8" s="37" t="s">
        <v>443</v>
      </c>
      <c r="Y8" s="38">
        <v>45110</v>
      </c>
      <c r="Z8" s="95"/>
      <c r="AA8" s="37"/>
      <c r="AB8" s="38"/>
      <c r="AC8" s="95">
        <f>7500+7500</f>
        <v>15000</v>
      </c>
      <c r="AD8" s="37" t="s">
        <v>559</v>
      </c>
      <c r="AE8" s="38">
        <v>45173</v>
      </c>
      <c r="AF8" s="95"/>
      <c r="AG8" s="37"/>
      <c r="AH8" s="38"/>
      <c r="AI8" s="95"/>
      <c r="AJ8" s="37"/>
      <c r="AK8" s="38"/>
      <c r="AL8" s="95">
        <v>15000</v>
      </c>
      <c r="AM8" s="37" t="s">
        <v>632</v>
      </c>
      <c r="AN8" s="38">
        <v>45263</v>
      </c>
      <c r="AO8" s="258"/>
      <c r="AP8" s="95">
        <f>7500+15000</f>
        <v>22500</v>
      </c>
      <c r="AQ8" s="37" t="s">
        <v>700</v>
      </c>
      <c r="AR8" s="38" t="s">
        <v>701</v>
      </c>
      <c r="AS8" s="95">
        <v>7500</v>
      </c>
      <c r="AT8" s="37" t="s">
        <v>722</v>
      </c>
      <c r="AU8" s="38">
        <v>45351</v>
      </c>
      <c r="AV8" s="95">
        <v>7500</v>
      </c>
      <c r="AW8" s="37" t="s">
        <v>766</v>
      </c>
      <c r="AX8" s="38">
        <v>45356</v>
      </c>
      <c r="AY8" s="95">
        <v>7500</v>
      </c>
      <c r="AZ8" s="37" t="s">
        <v>792</v>
      </c>
      <c r="BA8" s="38">
        <v>45387</v>
      </c>
      <c r="BB8" s="314">
        <v>7500</v>
      </c>
      <c r="BC8" s="467" t="s">
        <v>1658</v>
      </c>
      <c r="BD8" s="446">
        <v>45414</v>
      </c>
      <c r="BE8" s="95">
        <v>7500</v>
      </c>
      <c r="BF8" s="37" t="s">
        <v>900</v>
      </c>
      <c r="BG8" s="38">
        <v>45446</v>
      </c>
      <c r="BH8" s="95"/>
      <c r="BI8" s="37"/>
      <c r="BJ8" s="38"/>
      <c r="BK8" s="95">
        <v>15000</v>
      </c>
      <c r="BL8" s="37" t="s">
        <v>946</v>
      </c>
      <c r="BM8" s="38">
        <v>45510</v>
      </c>
      <c r="BN8" s="95">
        <v>7500</v>
      </c>
      <c r="BO8" s="37" t="s">
        <v>1029</v>
      </c>
      <c r="BP8" s="38">
        <v>45538</v>
      </c>
      <c r="BQ8" s="95">
        <v>7500</v>
      </c>
      <c r="BR8" s="37" t="s">
        <v>1030</v>
      </c>
      <c r="BS8" s="38">
        <v>45568</v>
      </c>
      <c r="BT8" s="95"/>
      <c r="BU8" s="37"/>
      <c r="BV8" s="352"/>
      <c r="BW8" s="95"/>
      <c r="BX8" s="37"/>
      <c r="BY8" s="38"/>
      <c r="BZ8" s="350"/>
      <c r="CA8" s="73">
        <v>15000</v>
      </c>
      <c r="CB8" s="37" t="s">
        <v>1182</v>
      </c>
      <c r="CC8" s="38">
        <v>45668</v>
      </c>
      <c r="CD8" s="95"/>
      <c r="CE8" s="37"/>
      <c r="CF8" s="38"/>
      <c r="CG8" s="95"/>
      <c r="CH8" s="37"/>
      <c r="CI8" s="38"/>
      <c r="CJ8" s="95"/>
      <c r="CK8" s="37"/>
      <c r="CL8" s="38"/>
      <c r="CM8" s="95"/>
      <c r="CN8" s="37"/>
      <c r="CO8" s="38"/>
      <c r="CP8" s="95"/>
      <c r="CQ8" s="37"/>
      <c r="CR8" s="38"/>
      <c r="CS8" s="95">
        <v>57000</v>
      </c>
      <c r="CT8" s="37" t="s">
        <v>1395</v>
      </c>
      <c r="CU8" s="38">
        <v>45849</v>
      </c>
      <c r="CV8" s="95"/>
      <c r="CW8" s="37"/>
      <c r="CX8" s="38"/>
      <c r="CY8" s="95">
        <v>28500</v>
      </c>
      <c r="CZ8" s="37" t="s">
        <v>1512</v>
      </c>
      <c r="DA8" s="38">
        <v>45908</v>
      </c>
      <c r="DB8" s="95"/>
      <c r="DC8" s="37"/>
      <c r="DD8" s="38"/>
      <c r="DE8" s="95"/>
      <c r="DF8" s="37"/>
      <c r="DG8" s="38"/>
      <c r="DH8" s="95"/>
      <c r="DI8" s="37"/>
      <c r="DJ8" s="38"/>
      <c r="DK8" s="95">
        <v>28500</v>
      </c>
      <c r="DL8" s="37" t="s">
        <v>1788</v>
      </c>
      <c r="DM8" s="38">
        <v>46028</v>
      </c>
      <c r="DN8" s="95"/>
      <c r="DO8" s="37"/>
      <c r="DP8" s="38"/>
      <c r="DQ8" s="77"/>
      <c r="DR8" s="262">
        <v>101</v>
      </c>
      <c r="DS8" s="480" t="s">
        <v>1336</v>
      </c>
      <c r="DT8" s="263">
        <f>7500*12</f>
        <v>90000</v>
      </c>
      <c r="DU8" s="263">
        <f>E8+H8+K8+N8+Q8+T8+W8+Z8+AC8+AF8+AI8+AL8</f>
        <v>82500</v>
      </c>
      <c r="DV8" s="263">
        <f>DT8-DU8</f>
        <v>7500</v>
      </c>
      <c r="DW8" s="263">
        <v>7500</v>
      </c>
      <c r="DX8" s="276">
        <f>DV8+DW8</f>
        <v>15000</v>
      </c>
      <c r="DY8" s="276">
        <f>7500*12</f>
        <v>90000</v>
      </c>
      <c r="DZ8" s="263">
        <f>+AP8+AS8+AV8+AY8+BB8+BE8+BH8+BK8+BN8+BQ8+BT8+BW8</f>
        <v>90000</v>
      </c>
      <c r="EA8" s="362">
        <f>DX8+DY8-DZ8</f>
        <v>15000</v>
      </c>
      <c r="EB8" s="368">
        <f>9500*12</f>
        <v>114000</v>
      </c>
      <c r="EC8" s="263">
        <f>CA8+CD8+CG8+CJ8+CM8+CP8+CS8+CV8+CY8+DB8+DE8+DH8</f>
        <v>100500</v>
      </c>
      <c r="ED8" s="362">
        <f>EA8+EB8-EC8</f>
        <v>28500</v>
      </c>
      <c r="EE8" s="433"/>
      <c r="EG8" s="262">
        <v>101</v>
      </c>
      <c r="EH8" s="480" t="s">
        <v>1336</v>
      </c>
      <c r="EI8" s="368">
        <f>9500*12</f>
        <v>114000</v>
      </c>
      <c r="EJ8" s="504">
        <v>28500</v>
      </c>
      <c r="EK8" s="263">
        <f>9500*2</f>
        <v>19000</v>
      </c>
      <c r="EL8" s="263">
        <f>DK8+DN8</f>
        <v>28500</v>
      </c>
      <c r="EM8" s="504">
        <f>EJ8+EK8-EL8</f>
        <v>19000</v>
      </c>
    </row>
    <row r="9" spans="2:143" ht="15" customHeight="1" x14ac:dyDescent="0.3">
      <c r="B9" s="3" t="s">
        <v>1337</v>
      </c>
      <c r="C9" s="9">
        <v>102</v>
      </c>
      <c r="D9" s="113">
        <f>-21000-7000+14000-7000-7000-7000+21000</f>
        <v>-14000</v>
      </c>
      <c r="E9" s="157"/>
      <c r="F9" s="158"/>
      <c r="G9" s="38"/>
      <c r="H9" s="95">
        <v>7000</v>
      </c>
      <c r="I9" s="37" t="s">
        <v>220</v>
      </c>
      <c r="J9" s="38">
        <v>44975</v>
      </c>
      <c r="K9" s="95">
        <v>7000</v>
      </c>
      <c r="L9" s="37" t="s">
        <v>246</v>
      </c>
      <c r="M9" s="38">
        <v>44989</v>
      </c>
      <c r="N9" s="95">
        <v>7000</v>
      </c>
      <c r="O9" s="37" t="s">
        <v>336</v>
      </c>
      <c r="P9" s="38">
        <v>45029</v>
      </c>
      <c r="Q9" s="95"/>
      <c r="R9" s="37"/>
      <c r="S9" s="38"/>
      <c r="T9" s="286">
        <f>7000+7000</f>
        <v>14000</v>
      </c>
      <c r="U9" s="37" t="s">
        <v>423</v>
      </c>
      <c r="V9" s="38">
        <v>45080</v>
      </c>
      <c r="W9" s="95"/>
      <c r="X9" s="37"/>
      <c r="Y9" s="38"/>
      <c r="Z9" s="286">
        <f>7000+7000</f>
        <v>14000</v>
      </c>
      <c r="AA9" s="37" t="s">
        <v>506</v>
      </c>
      <c r="AB9" s="38">
        <v>45158</v>
      </c>
      <c r="AC9" s="95"/>
      <c r="AD9" s="37"/>
      <c r="AE9" s="38"/>
      <c r="AF9" s="95"/>
      <c r="AG9" s="37"/>
      <c r="AH9" s="38"/>
      <c r="AI9" s="286">
        <v>21000</v>
      </c>
      <c r="AJ9" s="37" t="s">
        <v>612</v>
      </c>
      <c r="AK9" s="38">
        <v>45237</v>
      </c>
      <c r="AL9" s="95"/>
      <c r="AM9" s="37"/>
      <c r="AN9" s="38"/>
      <c r="AO9" s="258"/>
      <c r="AP9" s="286">
        <f>7000+7000</f>
        <v>14000</v>
      </c>
      <c r="AQ9" s="37" t="s">
        <v>664</v>
      </c>
      <c r="AR9" s="38">
        <v>45305</v>
      </c>
      <c r="AS9" s="95"/>
      <c r="AT9" s="37"/>
      <c r="AU9" s="38"/>
      <c r="AV9" s="95"/>
      <c r="AW9" s="37"/>
      <c r="AX9" s="38"/>
      <c r="AY9" s="95">
        <f>7000+7000+7000</f>
        <v>21000</v>
      </c>
      <c r="AZ9" s="287" t="s">
        <v>801</v>
      </c>
      <c r="BA9" s="38">
        <v>45399</v>
      </c>
      <c r="BB9" s="95"/>
      <c r="BC9" s="37"/>
      <c r="BD9" s="38"/>
      <c r="BE9" s="95"/>
      <c r="BF9" s="37"/>
      <c r="BG9" s="38"/>
      <c r="BH9" s="95"/>
      <c r="BI9" s="37"/>
      <c r="BJ9" s="38"/>
      <c r="BK9" s="95"/>
      <c r="BL9" s="37"/>
      <c r="BM9" s="38"/>
      <c r="BN9" s="95">
        <f>7000+7000+7000+7000</f>
        <v>28000</v>
      </c>
      <c r="BO9" s="287" t="s">
        <v>1485</v>
      </c>
      <c r="BP9" s="38">
        <v>45559</v>
      </c>
      <c r="BQ9" s="95"/>
      <c r="BR9" s="37"/>
      <c r="BS9" s="38"/>
      <c r="BT9" s="95"/>
      <c r="BU9" s="37"/>
      <c r="BV9" s="352"/>
      <c r="BW9" s="95"/>
      <c r="BX9" s="37"/>
      <c r="BY9" s="38"/>
      <c r="BZ9" s="350"/>
      <c r="CA9" s="73"/>
      <c r="CB9" s="37"/>
      <c r="CC9" s="38"/>
      <c r="CD9" s="95">
        <f>7000+7000+7000+7000+7000</f>
        <v>35000</v>
      </c>
      <c r="CE9" s="287" t="s">
        <v>1206</v>
      </c>
      <c r="CF9" s="38">
        <v>45713</v>
      </c>
      <c r="CG9" s="95"/>
      <c r="CH9" s="37"/>
      <c r="CI9" s="38"/>
      <c r="CJ9" s="95"/>
      <c r="CK9" s="37"/>
      <c r="CL9" s="38"/>
      <c r="CM9" s="95"/>
      <c r="CN9" s="37"/>
      <c r="CO9" s="38"/>
      <c r="CP9" s="95"/>
      <c r="CQ9" s="37"/>
      <c r="CR9" s="38"/>
      <c r="CS9" s="95">
        <v>7000</v>
      </c>
      <c r="CT9" s="158" t="s">
        <v>1486</v>
      </c>
      <c r="CU9" s="38">
        <v>45559</v>
      </c>
      <c r="CV9" s="419">
        <f>7000*6</f>
        <v>42000</v>
      </c>
      <c r="CW9" s="37" t="s">
        <v>1487</v>
      </c>
      <c r="CX9" s="38">
        <v>45900</v>
      </c>
      <c r="CY9" s="95">
        <v>7000</v>
      </c>
      <c r="CZ9" s="37" t="s">
        <v>1525</v>
      </c>
      <c r="DA9" s="38">
        <v>45927</v>
      </c>
      <c r="DB9" s="95">
        <v>7000</v>
      </c>
      <c r="DC9" s="37" t="s">
        <v>1622</v>
      </c>
      <c r="DD9" s="38">
        <v>45960</v>
      </c>
      <c r="DE9" s="95"/>
      <c r="DF9" s="37"/>
      <c r="DG9" s="38"/>
      <c r="DH9" s="95"/>
      <c r="DI9" s="37"/>
      <c r="DJ9" s="38"/>
      <c r="DK9" s="95">
        <v>14000</v>
      </c>
      <c r="DL9" s="37" t="s">
        <v>1778</v>
      </c>
      <c r="DM9" s="38">
        <v>46030</v>
      </c>
      <c r="DN9" s="95">
        <v>7000</v>
      </c>
      <c r="DO9" s="37" t="s">
        <v>1847</v>
      </c>
      <c r="DP9" s="38">
        <v>46058</v>
      </c>
      <c r="DQ9" s="77"/>
      <c r="DR9" s="265">
        <v>102</v>
      </c>
      <c r="DS9" s="481" t="s">
        <v>1337</v>
      </c>
      <c r="DT9" s="260">
        <f>7000*12</f>
        <v>84000</v>
      </c>
      <c r="DU9" s="260">
        <f>E9+H9+K9+N9+Q9+T9+W9+Z9+AC9+AF9+AI9+AL9</f>
        <v>70000</v>
      </c>
      <c r="DV9" s="260">
        <f>DT9-DU9</f>
        <v>14000</v>
      </c>
      <c r="DW9" s="260">
        <v>7000</v>
      </c>
      <c r="DX9" s="277">
        <f>DV9+DW9</f>
        <v>21000</v>
      </c>
      <c r="DY9" s="277">
        <f>7000*12</f>
        <v>84000</v>
      </c>
      <c r="DZ9" s="260">
        <f>+AP9+AS9+AV9+AY9+BB9+BE9+BH9+BK9+BN9+BQ9+BT9+BW9</f>
        <v>63000</v>
      </c>
      <c r="EA9" s="363">
        <f>DX9+DY9-DZ9</f>
        <v>42000</v>
      </c>
      <c r="EB9" s="369">
        <f>7000*12</f>
        <v>84000</v>
      </c>
      <c r="EC9" s="260">
        <f>CA9+CD9+CG9+CJ9+CM9+CP9+CS9+CV9+CY9+DB9+DE9+DH9</f>
        <v>98000</v>
      </c>
      <c r="ED9" s="363">
        <f>EA9+EB9-EC9</f>
        <v>28000</v>
      </c>
      <c r="EE9" s="434"/>
      <c r="EG9" s="265">
        <v>102</v>
      </c>
      <c r="EH9" s="481" t="s">
        <v>1337</v>
      </c>
      <c r="EI9" s="369">
        <f>7000*12</f>
        <v>84000</v>
      </c>
      <c r="EJ9" s="505">
        <v>28000</v>
      </c>
      <c r="EK9" s="369">
        <f>7000*2</f>
        <v>14000</v>
      </c>
      <c r="EL9" s="260">
        <f>DK9+DN9</f>
        <v>21000</v>
      </c>
      <c r="EM9" s="505">
        <f>EJ9+EK9-EL9</f>
        <v>21000</v>
      </c>
    </row>
    <row r="10" spans="2:143" ht="15" customHeight="1" x14ac:dyDescent="0.3">
      <c r="B10" s="3" t="s">
        <v>41</v>
      </c>
      <c r="C10" s="9">
        <v>103</v>
      </c>
      <c r="D10" s="97">
        <f>2500-2500</f>
        <v>0</v>
      </c>
      <c r="E10" s="95"/>
      <c r="F10" s="37"/>
      <c r="G10" s="38"/>
      <c r="H10" s="95">
        <v>5000</v>
      </c>
      <c r="I10" s="162" t="s">
        <v>223</v>
      </c>
      <c r="J10" s="38">
        <v>44983</v>
      </c>
      <c r="K10" s="95">
        <v>2500</v>
      </c>
      <c r="L10" s="37" t="s">
        <v>275</v>
      </c>
      <c r="M10" s="38">
        <v>45016</v>
      </c>
      <c r="N10" s="95"/>
      <c r="O10" s="37"/>
      <c r="P10" s="38"/>
      <c r="Q10" s="95">
        <v>5000</v>
      </c>
      <c r="R10" s="37" t="s">
        <v>372</v>
      </c>
      <c r="S10" s="38">
        <v>45066</v>
      </c>
      <c r="T10" s="95"/>
      <c r="U10" s="37"/>
      <c r="V10" s="38"/>
      <c r="W10" s="95"/>
      <c r="X10" s="37"/>
      <c r="Y10" s="38"/>
      <c r="Z10" s="95"/>
      <c r="AA10" s="37"/>
      <c r="AB10" s="38"/>
      <c r="AC10" s="95">
        <v>10000</v>
      </c>
      <c r="AD10" s="37" t="s">
        <v>552</v>
      </c>
      <c r="AE10" s="38">
        <v>45199</v>
      </c>
      <c r="AF10" s="95"/>
      <c r="AG10" s="37"/>
      <c r="AH10" s="38"/>
      <c r="AI10" s="95"/>
      <c r="AJ10" s="37"/>
      <c r="AK10" s="38"/>
      <c r="AL10" s="95">
        <v>7500</v>
      </c>
      <c r="AM10" s="37" t="s">
        <v>673</v>
      </c>
      <c r="AN10" s="38">
        <v>45291</v>
      </c>
      <c r="AO10" s="258"/>
      <c r="AP10" s="95"/>
      <c r="AQ10" s="37"/>
      <c r="AR10" s="38"/>
      <c r="AS10" s="95"/>
      <c r="AT10" s="37"/>
      <c r="AU10" s="38"/>
      <c r="AV10" s="95">
        <v>7500</v>
      </c>
      <c r="AW10" s="37" t="s">
        <v>810</v>
      </c>
      <c r="AX10" s="38">
        <v>45362</v>
      </c>
      <c r="AY10" s="157">
        <v>0</v>
      </c>
      <c r="AZ10" s="37"/>
      <c r="BA10" s="38"/>
      <c r="BB10" s="157"/>
      <c r="BC10" s="37"/>
      <c r="BD10" s="38"/>
      <c r="BE10" s="303">
        <v>7500</v>
      </c>
      <c r="BF10" s="331" t="s">
        <v>1035</v>
      </c>
      <c r="BG10" s="332">
        <v>45473</v>
      </c>
      <c r="BH10" s="157"/>
      <c r="BI10" s="37"/>
      <c r="BJ10" s="38"/>
      <c r="BK10" s="157"/>
      <c r="BL10" s="37"/>
      <c r="BM10" s="38"/>
      <c r="BN10" s="157"/>
      <c r="BO10" s="37"/>
      <c r="BP10" s="273"/>
      <c r="BQ10" s="95"/>
      <c r="BR10" s="37"/>
      <c r="BS10" s="38"/>
      <c r="BT10" s="95"/>
      <c r="BU10" s="37"/>
      <c r="BV10" s="352"/>
      <c r="BW10" s="303">
        <v>15000</v>
      </c>
      <c r="BX10" s="331" t="s">
        <v>1107</v>
      </c>
      <c r="BY10" s="332">
        <v>45656</v>
      </c>
      <c r="BZ10" s="357"/>
      <c r="CA10" s="106"/>
      <c r="CB10" s="160"/>
      <c r="CC10" s="161"/>
      <c r="CD10" s="159"/>
      <c r="CE10" s="160"/>
      <c r="CF10" s="161"/>
      <c r="CG10" s="95">
        <v>7500</v>
      </c>
      <c r="CH10" s="37" t="s">
        <v>1293</v>
      </c>
      <c r="CI10" s="38">
        <v>45747</v>
      </c>
      <c r="CJ10" s="159"/>
      <c r="CK10" s="160"/>
      <c r="CL10" s="161"/>
      <c r="CM10" s="159"/>
      <c r="CN10" s="160"/>
      <c r="CO10" s="161"/>
      <c r="CP10" s="159"/>
      <c r="CQ10" s="160"/>
      <c r="CR10" s="161"/>
      <c r="CS10" s="159">
        <v>10000</v>
      </c>
      <c r="CT10" s="37" t="s">
        <v>1433</v>
      </c>
      <c r="CU10" s="38">
        <v>45869</v>
      </c>
      <c r="CV10" s="421">
        <v>2500</v>
      </c>
      <c r="CW10" s="37" t="s">
        <v>1494</v>
      </c>
      <c r="CX10" s="38">
        <v>45900</v>
      </c>
      <c r="CY10" s="159">
        <v>2500</v>
      </c>
      <c r="CZ10" s="37" t="s">
        <v>1530</v>
      </c>
      <c r="DA10" s="38">
        <v>45930</v>
      </c>
      <c r="DB10" s="159">
        <v>2500</v>
      </c>
      <c r="DC10" s="37" t="s">
        <v>1643</v>
      </c>
      <c r="DD10" s="38">
        <v>45961</v>
      </c>
      <c r="DE10" s="159"/>
      <c r="DF10" s="37"/>
      <c r="DG10" s="38"/>
      <c r="DH10" s="95">
        <v>5000</v>
      </c>
      <c r="DI10" s="37" t="s">
        <v>1799</v>
      </c>
      <c r="DJ10" s="38">
        <v>46022</v>
      </c>
      <c r="DK10" s="159"/>
      <c r="DL10" s="37"/>
      <c r="DM10" s="38"/>
      <c r="DN10" s="159"/>
      <c r="DO10" s="37"/>
      <c r="DP10" s="38"/>
      <c r="DQ10" s="77"/>
      <c r="DR10" s="265">
        <v>103</v>
      </c>
      <c r="DS10" s="481" t="s">
        <v>41</v>
      </c>
      <c r="DT10" s="260">
        <f>2500*12</f>
        <v>30000</v>
      </c>
      <c r="DU10" s="260">
        <f>E10+H10+K10+N10+Q10+T10+W10+Z10+AC10+AF10+AI10+AL10</f>
        <v>30000</v>
      </c>
      <c r="DV10" s="260">
        <f>DT10-DU10</f>
        <v>0</v>
      </c>
      <c r="DW10" s="260">
        <v>0</v>
      </c>
      <c r="DX10" s="277">
        <f>DV10+DW10</f>
        <v>0</v>
      </c>
      <c r="DY10" s="277">
        <f>2500*12</f>
        <v>30000</v>
      </c>
      <c r="DZ10" s="260">
        <f>+AP10+AS10+AV10+AY10+BB10+BE10+BH10+BK10+BN10+BQ10+BT10+BW10</f>
        <v>30000</v>
      </c>
      <c r="EA10" s="363">
        <f>DX10+DY10-DZ10</f>
        <v>0</v>
      </c>
      <c r="EB10" s="369">
        <f>2500*12</f>
        <v>30000</v>
      </c>
      <c r="EC10" s="260">
        <f t="shared" ref="EC10:EC11" si="0">CA10+CD10+CG10+CJ10+CM10+CP10+CS10+CV10+CY10+DB10+DE10+DH10</f>
        <v>30000</v>
      </c>
      <c r="ED10" s="363">
        <f>EA10+EB10-EC10</f>
        <v>0</v>
      </c>
      <c r="EE10" s="434"/>
      <c r="EG10" s="265">
        <v>103</v>
      </c>
      <c r="EH10" s="481" t="s">
        <v>41</v>
      </c>
      <c r="EI10" s="369">
        <f>2500*12</f>
        <v>30000</v>
      </c>
      <c r="EJ10" s="505">
        <v>0</v>
      </c>
      <c r="EK10" s="369">
        <f>2500*2</f>
        <v>5000</v>
      </c>
      <c r="EL10" s="260">
        <f>DK10+DN10</f>
        <v>0</v>
      </c>
      <c r="EM10" s="505">
        <f>EJ10+EK10-EL10</f>
        <v>5000</v>
      </c>
    </row>
    <row r="11" spans="2:143" ht="15" customHeight="1" thickBot="1" x14ac:dyDescent="0.35">
      <c r="B11" s="3" t="s">
        <v>1338</v>
      </c>
      <c r="C11" s="9">
        <v>104</v>
      </c>
      <c r="D11" s="67">
        <v>0</v>
      </c>
      <c r="E11" s="95">
        <v>7000</v>
      </c>
      <c r="F11" s="37" t="s">
        <v>174</v>
      </c>
      <c r="G11" s="38">
        <v>44932</v>
      </c>
      <c r="H11" s="95">
        <v>7000</v>
      </c>
      <c r="I11" s="37" t="s">
        <v>204</v>
      </c>
      <c r="J11" s="38">
        <v>44963</v>
      </c>
      <c r="K11" s="95">
        <v>7000</v>
      </c>
      <c r="L11" s="37" t="s">
        <v>249</v>
      </c>
      <c r="M11" s="38">
        <v>44990</v>
      </c>
      <c r="N11" s="95">
        <v>7000</v>
      </c>
      <c r="O11" s="37" t="s">
        <v>317</v>
      </c>
      <c r="P11" s="38">
        <v>45018</v>
      </c>
      <c r="Q11" s="95">
        <v>7000</v>
      </c>
      <c r="R11" s="37" t="s">
        <v>354</v>
      </c>
      <c r="S11" s="38">
        <v>45054</v>
      </c>
      <c r="T11" s="95">
        <v>7000</v>
      </c>
      <c r="U11" s="37" t="s">
        <v>429</v>
      </c>
      <c r="V11" s="38">
        <v>45085</v>
      </c>
      <c r="W11" s="95">
        <v>7000</v>
      </c>
      <c r="X11" s="37" t="s">
        <v>446</v>
      </c>
      <c r="Y11" s="38">
        <v>45110</v>
      </c>
      <c r="Z11" s="95">
        <v>7000</v>
      </c>
      <c r="AA11" s="37" t="s">
        <v>470</v>
      </c>
      <c r="AB11" s="38">
        <v>45140</v>
      </c>
      <c r="AC11" s="95">
        <v>7000</v>
      </c>
      <c r="AD11" s="37" t="s">
        <v>556</v>
      </c>
      <c r="AE11" s="38">
        <v>45171</v>
      </c>
      <c r="AF11" s="95">
        <v>7000</v>
      </c>
      <c r="AG11" s="37" t="s">
        <v>580</v>
      </c>
      <c r="AH11" s="38">
        <v>45202</v>
      </c>
      <c r="AI11" s="95">
        <v>7000</v>
      </c>
      <c r="AJ11" s="37" t="s">
        <v>614</v>
      </c>
      <c r="AK11" s="38">
        <v>45237</v>
      </c>
      <c r="AL11" s="95">
        <v>7000</v>
      </c>
      <c r="AM11" s="37" t="s">
        <v>631</v>
      </c>
      <c r="AN11" s="38">
        <v>45262</v>
      </c>
      <c r="AO11" s="258"/>
      <c r="AP11" s="95">
        <v>7000</v>
      </c>
      <c r="AQ11" s="37" t="s">
        <v>654</v>
      </c>
      <c r="AR11" s="38">
        <v>45297</v>
      </c>
      <c r="AS11" s="95">
        <v>7000</v>
      </c>
      <c r="AT11" s="37" t="s">
        <v>707</v>
      </c>
      <c r="AU11" s="38">
        <v>45326</v>
      </c>
      <c r="AV11" s="95">
        <v>7000</v>
      </c>
      <c r="AW11" s="37" t="s">
        <v>770</v>
      </c>
      <c r="AX11" s="38">
        <v>45362</v>
      </c>
      <c r="AY11" s="95">
        <v>7000</v>
      </c>
      <c r="AZ11" s="37" t="s">
        <v>793</v>
      </c>
      <c r="BA11" s="38">
        <v>45388</v>
      </c>
      <c r="BB11" s="95">
        <v>7000</v>
      </c>
      <c r="BC11" s="37" t="s">
        <v>867</v>
      </c>
      <c r="BD11" s="38">
        <v>45420</v>
      </c>
      <c r="BE11" s="95">
        <v>7000</v>
      </c>
      <c r="BF11" s="37" t="s">
        <v>897</v>
      </c>
      <c r="BG11" s="38">
        <v>45444</v>
      </c>
      <c r="BH11" s="95">
        <v>7000</v>
      </c>
      <c r="BI11" s="37" t="s">
        <v>921</v>
      </c>
      <c r="BJ11" s="38">
        <v>45477</v>
      </c>
      <c r="BK11" s="95">
        <v>7000</v>
      </c>
      <c r="BL11" s="37" t="s">
        <v>917</v>
      </c>
      <c r="BM11" s="38">
        <v>45477</v>
      </c>
      <c r="BN11" s="95">
        <v>7000</v>
      </c>
      <c r="BO11" s="37" t="s">
        <v>1004</v>
      </c>
      <c r="BP11" s="38">
        <v>45541</v>
      </c>
      <c r="BQ11" s="95">
        <v>7000</v>
      </c>
      <c r="BR11" s="37" t="s">
        <v>1033</v>
      </c>
      <c r="BS11" s="38">
        <v>45570</v>
      </c>
      <c r="BT11" s="95"/>
      <c r="BU11" s="37"/>
      <c r="BV11" s="352"/>
      <c r="BW11" s="286">
        <v>14000</v>
      </c>
      <c r="BX11" s="287" t="s">
        <v>1119</v>
      </c>
      <c r="BY11" s="288">
        <v>45656</v>
      </c>
      <c r="BZ11" s="350"/>
      <c r="CA11" s="73">
        <v>7000</v>
      </c>
      <c r="CB11" s="37" t="s">
        <v>1178</v>
      </c>
      <c r="CC11" s="38">
        <v>45667</v>
      </c>
      <c r="CD11" s="95"/>
      <c r="CE11" s="37"/>
      <c r="CF11" s="38"/>
      <c r="CG11" s="95"/>
      <c r="CH11" s="37"/>
      <c r="CI11" s="38"/>
      <c r="CJ11" s="95"/>
      <c r="CK11" s="37"/>
      <c r="CL11" s="38"/>
      <c r="CM11" s="95"/>
      <c r="CN11" s="37"/>
      <c r="CO11" s="38"/>
      <c r="CP11" s="95"/>
      <c r="CQ11" s="37"/>
      <c r="CR11" s="38"/>
      <c r="CS11" s="95"/>
      <c r="CT11" s="37"/>
      <c r="CU11" s="38"/>
      <c r="CV11" s="419">
        <v>49000</v>
      </c>
      <c r="CW11" s="37" t="s">
        <v>1468</v>
      </c>
      <c r="CX11" s="38">
        <v>45892</v>
      </c>
      <c r="CY11" s="95">
        <v>7000</v>
      </c>
      <c r="CZ11" s="37" t="s">
        <v>1499</v>
      </c>
      <c r="DA11" s="38">
        <v>45905</v>
      </c>
      <c r="DB11" s="95"/>
      <c r="DC11" s="37"/>
      <c r="DD11" s="38"/>
      <c r="DE11" s="95">
        <v>14000</v>
      </c>
      <c r="DF11" s="37" t="s">
        <v>1644</v>
      </c>
      <c r="DG11" s="38">
        <v>45965</v>
      </c>
      <c r="DH11" s="95">
        <v>7000</v>
      </c>
      <c r="DI11" s="37" t="s">
        <v>1805</v>
      </c>
      <c r="DJ11" s="38">
        <v>46010</v>
      </c>
      <c r="DK11" s="95">
        <v>7000</v>
      </c>
      <c r="DL11" s="37" t="s">
        <v>1780</v>
      </c>
      <c r="DM11" s="38">
        <v>46029</v>
      </c>
      <c r="DN11" s="95">
        <v>7000</v>
      </c>
      <c r="DO11" s="37" t="s">
        <v>1838</v>
      </c>
      <c r="DP11" s="38">
        <v>46055</v>
      </c>
      <c r="DQ11" s="77"/>
      <c r="DR11" s="266">
        <v>104</v>
      </c>
      <c r="DS11" s="482" t="s">
        <v>1338</v>
      </c>
      <c r="DT11" s="267">
        <f>7000*12</f>
        <v>84000</v>
      </c>
      <c r="DU11" s="267">
        <f>E11+H11+K11+N11+Q11+T11+W11+Z11+AC11+AF11+AI11+AL11</f>
        <v>84000</v>
      </c>
      <c r="DV11" s="267">
        <f>DT11-DU11</f>
        <v>0</v>
      </c>
      <c r="DW11" s="267">
        <v>0</v>
      </c>
      <c r="DX11" s="339">
        <f>DV11+DW11</f>
        <v>0</v>
      </c>
      <c r="DY11" s="339">
        <f>7000*12</f>
        <v>84000</v>
      </c>
      <c r="DZ11" s="267">
        <f>+AP11+AS11+AV11+AY11+BB11+BE11+BH11+BK11+BN11+BQ11+BT11+BW11</f>
        <v>84000</v>
      </c>
      <c r="EA11" s="364">
        <f>DX11+DY11-DZ11</f>
        <v>0</v>
      </c>
      <c r="EB11" s="370">
        <f>7000*12</f>
        <v>84000</v>
      </c>
      <c r="EC11" s="267">
        <f t="shared" si="0"/>
        <v>84000</v>
      </c>
      <c r="ED11" s="364">
        <f>EA11+EB11-EC11</f>
        <v>0</v>
      </c>
      <c r="EE11" s="435"/>
      <c r="EG11" s="266">
        <v>104</v>
      </c>
      <c r="EH11" s="482" t="s">
        <v>1338</v>
      </c>
      <c r="EI11" s="370">
        <f>7000*12</f>
        <v>84000</v>
      </c>
      <c r="EJ11" s="506">
        <v>0</v>
      </c>
      <c r="EK11" s="370">
        <f>7000*2</f>
        <v>14000</v>
      </c>
      <c r="EL11" s="267">
        <f>DK11+DN11</f>
        <v>14000</v>
      </c>
      <c r="EM11" s="506">
        <f>EJ11+EK11-EL11</f>
        <v>0</v>
      </c>
    </row>
    <row r="12" spans="2:143" ht="4.8" customHeight="1" thickBot="1" x14ac:dyDescent="0.35">
      <c r="B12" s="13"/>
      <c r="C12" s="14"/>
      <c r="D12" s="66"/>
      <c r="E12" s="40"/>
      <c r="F12" s="15"/>
      <c r="G12" s="16"/>
      <c r="H12" s="142"/>
      <c r="I12" s="141"/>
      <c r="J12" s="143"/>
      <c r="K12" s="142"/>
      <c r="L12" s="141"/>
      <c r="M12" s="143"/>
      <c r="N12" s="142"/>
      <c r="O12" s="141"/>
      <c r="P12" s="143"/>
      <c r="Q12" s="142"/>
      <c r="R12" s="141"/>
      <c r="S12" s="143"/>
      <c r="T12" s="142"/>
      <c r="U12" s="141"/>
      <c r="V12" s="143"/>
      <c r="W12" s="142"/>
      <c r="X12" s="141"/>
      <c r="Y12" s="143"/>
      <c r="Z12" s="142"/>
      <c r="AA12" s="141"/>
      <c r="AB12" s="143"/>
      <c r="AC12" s="142"/>
      <c r="AD12" s="141"/>
      <c r="AE12" s="143"/>
      <c r="AF12" s="142"/>
      <c r="AG12" s="141"/>
      <c r="AH12" s="143"/>
      <c r="AI12" s="142"/>
      <c r="AJ12" s="141"/>
      <c r="AK12" s="143"/>
      <c r="AL12" s="142"/>
      <c r="AM12" s="141"/>
      <c r="AN12" s="143"/>
      <c r="AO12" s="257"/>
      <c r="AP12" s="142"/>
      <c r="AQ12" s="141"/>
      <c r="AR12" s="143"/>
      <c r="AS12" s="142"/>
      <c r="AT12" s="141"/>
      <c r="AU12" s="143"/>
      <c r="AV12" s="142"/>
      <c r="AW12" s="141"/>
      <c r="AX12" s="143"/>
      <c r="AY12" s="142"/>
      <c r="AZ12" s="141"/>
      <c r="BA12" s="143"/>
      <c r="BB12" s="142"/>
      <c r="BC12" s="141"/>
      <c r="BD12" s="143"/>
      <c r="BE12" s="142"/>
      <c r="BF12" s="141"/>
      <c r="BG12" s="143"/>
      <c r="BH12" s="142"/>
      <c r="BI12" s="141"/>
      <c r="BJ12" s="143"/>
      <c r="BK12" s="142"/>
      <c r="BL12" s="141"/>
      <c r="BM12" s="143"/>
      <c r="BN12" s="142"/>
      <c r="BO12" s="141"/>
      <c r="BP12" s="143"/>
      <c r="BQ12" s="142"/>
      <c r="BR12" s="141"/>
      <c r="BS12" s="143"/>
      <c r="BT12" s="142"/>
      <c r="BU12" s="141"/>
      <c r="BV12" s="141"/>
      <c r="BW12" s="142"/>
      <c r="BX12" s="141"/>
      <c r="BY12" s="143"/>
      <c r="BZ12" s="349"/>
      <c r="CA12" s="141"/>
      <c r="CB12" s="141"/>
      <c r="CC12" s="143"/>
      <c r="CD12" s="142"/>
      <c r="CE12" s="141"/>
      <c r="CF12" s="143"/>
      <c r="CG12" s="142"/>
      <c r="CH12" s="141"/>
      <c r="CI12" s="143"/>
      <c r="CJ12" s="142"/>
      <c r="CK12" s="141"/>
      <c r="CL12" s="143"/>
      <c r="CM12" s="142"/>
      <c r="CN12" s="141"/>
      <c r="CO12" s="143"/>
      <c r="CP12" s="142"/>
      <c r="CQ12" s="141"/>
      <c r="CR12" s="143"/>
      <c r="CS12" s="142"/>
      <c r="CT12" s="141"/>
      <c r="CU12" s="143"/>
      <c r="CV12" s="142"/>
      <c r="CW12" s="141"/>
      <c r="CX12" s="143"/>
      <c r="CY12" s="142"/>
      <c r="CZ12" s="141"/>
      <c r="DA12" s="143"/>
      <c r="DB12" s="142"/>
      <c r="DC12" s="141"/>
      <c r="DD12" s="143"/>
      <c r="DE12" s="142"/>
      <c r="DF12" s="141"/>
      <c r="DG12" s="143"/>
      <c r="DH12" s="142"/>
      <c r="DI12" s="141"/>
      <c r="DJ12" s="143"/>
      <c r="DK12" s="142"/>
      <c r="DL12" s="141"/>
      <c r="DM12" s="143"/>
      <c r="DN12" s="142"/>
      <c r="DO12" s="141"/>
      <c r="DP12" s="143"/>
      <c r="DQ12" s="244"/>
      <c r="DR12" s="261"/>
      <c r="DS12" s="483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432"/>
      <c r="EG12" s="261"/>
      <c r="EH12" s="483"/>
      <c r="EJ12" s="49"/>
      <c r="EM12" s="49"/>
    </row>
    <row r="13" spans="2:143" ht="15" customHeight="1" x14ac:dyDescent="0.3">
      <c r="B13" s="3" t="s">
        <v>1339</v>
      </c>
      <c r="C13" s="9">
        <v>201</v>
      </c>
      <c r="D13" s="67">
        <v>0</v>
      </c>
      <c r="E13" s="95">
        <v>5500</v>
      </c>
      <c r="F13" s="37" t="s">
        <v>186</v>
      </c>
      <c r="G13" s="38">
        <v>44927</v>
      </c>
      <c r="H13" s="95">
        <v>5500</v>
      </c>
      <c r="I13" s="37" t="s">
        <v>193</v>
      </c>
      <c r="J13" s="38">
        <v>44958</v>
      </c>
      <c r="K13" s="95">
        <v>5500</v>
      </c>
      <c r="L13" s="37" t="s">
        <v>238</v>
      </c>
      <c r="M13" s="38">
        <v>44987</v>
      </c>
      <c r="N13" s="95">
        <v>5500</v>
      </c>
      <c r="O13" s="37" t="s">
        <v>318</v>
      </c>
      <c r="P13" s="38">
        <v>45018</v>
      </c>
      <c r="Q13" s="95">
        <v>5500</v>
      </c>
      <c r="R13" s="37" t="s">
        <v>343</v>
      </c>
      <c r="S13" s="38">
        <v>45047</v>
      </c>
      <c r="T13" s="95">
        <v>5500</v>
      </c>
      <c r="U13" s="37" t="s">
        <v>422</v>
      </c>
      <c r="V13" s="38">
        <v>45078</v>
      </c>
      <c r="W13" s="95">
        <v>5500</v>
      </c>
      <c r="X13" s="37" t="s">
        <v>445</v>
      </c>
      <c r="Y13" s="38">
        <v>45110</v>
      </c>
      <c r="Z13" s="95">
        <v>5500</v>
      </c>
      <c r="AA13" s="37" t="s">
        <v>468</v>
      </c>
      <c r="AB13" s="38">
        <v>45140</v>
      </c>
      <c r="AC13" s="95">
        <v>5500</v>
      </c>
      <c r="AD13" s="37" t="s">
        <v>558</v>
      </c>
      <c r="AE13" s="38">
        <v>45171</v>
      </c>
      <c r="AF13" s="95">
        <v>5500</v>
      </c>
      <c r="AG13" s="37" t="s">
        <v>576</v>
      </c>
      <c r="AH13" s="38">
        <v>45201</v>
      </c>
      <c r="AI13" s="95">
        <v>5500</v>
      </c>
      <c r="AJ13" s="37" t="s">
        <v>610</v>
      </c>
      <c r="AK13" s="38">
        <v>45232</v>
      </c>
      <c r="AL13" s="95">
        <v>5500</v>
      </c>
      <c r="AM13" s="37" t="s">
        <v>629</v>
      </c>
      <c r="AN13" s="38">
        <v>45261</v>
      </c>
      <c r="AO13" s="258"/>
      <c r="AP13" s="95">
        <v>5500</v>
      </c>
      <c r="AQ13" s="37" t="s">
        <v>651</v>
      </c>
      <c r="AR13" s="38">
        <v>45293</v>
      </c>
      <c r="AS13" s="95">
        <v>5500</v>
      </c>
      <c r="AT13" s="37" t="s">
        <v>703</v>
      </c>
      <c r="AU13" s="38">
        <v>45323</v>
      </c>
      <c r="AV13" s="95">
        <v>5500</v>
      </c>
      <c r="AW13" s="37" t="s">
        <v>762</v>
      </c>
      <c r="AX13" s="38">
        <v>45353</v>
      </c>
      <c r="AY13" s="95">
        <v>5500</v>
      </c>
      <c r="AZ13" s="37" t="s">
        <v>782</v>
      </c>
      <c r="BA13" s="38">
        <v>45383</v>
      </c>
      <c r="BB13" s="95">
        <v>5500</v>
      </c>
      <c r="BC13" s="37" t="s">
        <v>862</v>
      </c>
      <c r="BD13" s="38">
        <v>45414</v>
      </c>
      <c r="BE13" s="95">
        <v>5500</v>
      </c>
      <c r="BF13" s="37" t="s">
        <v>898</v>
      </c>
      <c r="BG13" s="38">
        <v>45444</v>
      </c>
      <c r="BH13" s="95">
        <v>5500</v>
      </c>
      <c r="BI13" s="37" t="s">
        <v>919</v>
      </c>
      <c r="BJ13" s="38">
        <v>45475</v>
      </c>
      <c r="BK13" s="95">
        <v>5500</v>
      </c>
      <c r="BL13" s="37" t="s">
        <v>938</v>
      </c>
      <c r="BM13" s="38">
        <v>45505</v>
      </c>
      <c r="BN13" s="95">
        <v>5500</v>
      </c>
      <c r="BO13" s="37" t="s">
        <v>994</v>
      </c>
      <c r="BP13" s="38">
        <v>45536</v>
      </c>
      <c r="BQ13" s="95">
        <v>5500</v>
      </c>
      <c r="BR13" s="37" t="s">
        <v>1023</v>
      </c>
      <c r="BS13" s="38">
        <v>45566</v>
      </c>
      <c r="BT13" s="95">
        <v>5500</v>
      </c>
      <c r="BU13" s="37" t="s">
        <v>1055</v>
      </c>
      <c r="BV13" s="352">
        <v>45597</v>
      </c>
      <c r="BW13" s="95">
        <v>5500</v>
      </c>
      <c r="BX13" s="37" t="s">
        <v>1090</v>
      </c>
      <c r="BY13" s="38">
        <v>45627</v>
      </c>
      <c r="BZ13" s="350"/>
      <c r="CA13" s="73">
        <v>5500</v>
      </c>
      <c r="CB13" s="37" t="s">
        <v>1170</v>
      </c>
      <c r="CC13" s="38">
        <v>45658</v>
      </c>
      <c r="CD13" s="95">
        <v>5500</v>
      </c>
      <c r="CE13" s="37" t="s">
        <v>1213</v>
      </c>
      <c r="CF13" s="38">
        <v>45689</v>
      </c>
      <c r="CG13" s="95">
        <v>5500</v>
      </c>
      <c r="CH13" s="37" t="s">
        <v>1212</v>
      </c>
      <c r="CI13" s="38">
        <v>45718</v>
      </c>
      <c r="CJ13" s="95">
        <v>5500</v>
      </c>
      <c r="CK13" s="37" t="s">
        <v>1275</v>
      </c>
      <c r="CL13" s="38">
        <v>45748</v>
      </c>
      <c r="CM13" s="95">
        <v>5500</v>
      </c>
      <c r="CN13" s="37" t="s">
        <v>1297</v>
      </c>
      <c r="CO13" s="38">
        <v>45781</v>
      </c>
      <c r="CP13" s="95">
        <v>5500</v>
      </c>
      <c r="CQ13" s="37" t="s">
        <v>1319</v>
      </c>
      <c r="CR13" s="38">
        <v>45810</v>
      </c>
      <c r="CS13" s="95">
        <v>5500</v>
      </c>
      <c r="CT13" s="37" t="s">
        <v>1387</v>
      </c>
      <c r="CU13" s="38">
        <v>45839</v>
      </c>
      <c r="CV13" s="95">
        <v>5500</v>
      </c>
      <c r="CW13" s="37" t="s">
        <v>1450</v>
      </c>
      <c r="CX13" s="38">
        <v>45873</v>
      </c>
      <c r="CY13" s="95">
        <v>5500</v>
      </c>
      <c r="CZ13" s="37" t="s">
        <v>1504</v>
      </c>
      <c r="DA13" s="38">
        <v>45907</v>
      </c>
      <c r="DB13" s="95">
        <v>5500</v>
      </c>
      <c r="DC13" s="37" t="s">
        <v>1567</v>
      </c>
      <c r="DD13" s="38">
        <v>45931</v>
      </c>
      <c r="DE13" s="95">
        <v>5500</v>
      </c>
      <c r="DF13" s="37" t="s">
        <v>1640</v>
      </c>
      <c r="DG13" s="38">
        <v>45962</v>
      </c>
      <c r="DH13" s="95">
        <v>5500</v>
      </c>
      <c r="DI13" s="37" t="s">
        <v>1712</v>
      </c>
      <c r="DJ13" s="38">
        <v>45992</v>
      </c>
      <c r="DK13" s="95">
        <v>5500</v>
      </c>
      <c r="DL13" s="37" t="s">
        <v>1782</v>
      </c>
      <c r="DM13" s="38">
        <v>46028</v>
      </c>
      <c r="DN13" s="95">
        <v>5500</v>
      </c>
      <c r="DO13" s="37" t="s">
        <v>1839</v>
      </c>
      <c r="DP13" s="38">
        <v>46055</v>
      </c>
      <c r="DQ13" s="77"/>
      <c r="DR13" s="262">
        <v>201</v>
      </c>
      <c r="DS13" s="480" t="s">
        <v>1339</v>
      </c>
      <c r="DT13" s="263">
        <f>5500*12</f>
        <v>66000</v>
      </c>
      <c r="DU13" s="263">
        <f>E13+H13+K13+N13+Q13+T13+W13+Z13+AC13+AF13+AI13+AL13</f>
        <v>66000</v>
      </c>
      <c r="DV13" s="263">
        <f>DT13-DU13</f>
        <v>0</v>
      </c>
      <c r="DW13" s="263">
        <v>0</v>
      </c>
      <c r="DX13" s="276">
        <f>DV13+DW13</f>
        <v>0</v>
      </c>
      <c r="DY13" s="276">
        <f>5500*12</f>
        <v>66000</v>
      </c>
      <c r="DZ13" s="263">
        <f>+AP13+AS13+AV13+AY13+BB13+BE13+BH13+BK13+BN13+BQ13+BT13+BW13</f>
        <v>66000</v>
      </c>
      <c r="EA13" s="362">
        <f>DX13+DY13-DZ13</f>
        <v>0</v>
      </c>
      <c r="EB13" s="371">
        <f>5500*12</f>
        <v>66000</v>
      </c>
      <c r="EC13" s="263">
        <f>CA13+CD13+CG13+CJ13+CM13+CP13+CS13+CV13+CY13+DB13+DE13+DH13</f>
        <v>66000</v>
      </c>
      <c r="ED13" s="264">
        <f t="shared" ref="ED13:ED20" si="1">EA13+EB13-EC13</f>
        <v>0</v>
      </c>
      <c r="EE13" s="433"/>
      <c r="EG13" s="262">
        <v>201</v>
      </c>
      <c r="EH13" s="480" t="s">
        <v>1816</v>
      </c>
      <c r="EI13" s="371">
        <f>5500*12</f>
        <v>66000</v>
      </c>
      <c r="EJ13" s="504">
        <v>0</v>
      </c>
      <c r="EK13" s="371">
        <f>5500*2</f>
        <v>11000</v>
      </c>
      <c r="EL13" s="263">
        <f>DK13+DN13</f>
        <v>11000</v>
      </c>
      <c r="EM13" s="504">
        <f>EJ13+EK13-EL13</f>
        <v>0</v>
      </c>
    </row>
    <row r="14" spans="2:143" ht="15" customHeight="1" x14ac:dyDescent="0.3">
      <c r="B14" s="3" t="s">
        <v>1340</v>
      </c>
      <c r="C14" s="9">
        <v>202</v>
      </c>
      <c r="D14" s="96">
        <v>-1500</v>
      </c>
      <c r="E14" s="159">
        <v>7000</v>
      </c>
      <c r="F14" s="160" t="s">
        <v>181</v>
      </c>
      <c r="G14" s="161">
        <v>44937</v>
      </c>
      <c r="H14" s="159">
        <v>7000</v>
      </c>
      <c r="I14" s="160" t="s">
        <v>206</v>
      </c>
      <c r="J14" s="38">
        <v>44964</v>
      </c>
      <c r="K14" s="95">
        <v>7000</v>
      </c>
      <c r="L14" s="37" t="s">
        <v>261</v>
      </c>
      <c r="M14" s="38">
        <v>45011</v>
      </c>
      <c r="N14" s="95"/>
      <c r="O14" s="37"/>
      <c r="P14" s="38"/>
      <c r="Q14" s="95"/>
      <c r="R14" s="37"/>
      <c r="S14" s="38"/>
      <c r="T14" s="95">
        <v>21500</v>
      </c>
      <c r="U14" s="37" t="s">
        <v>440</v>
      </c>
      <c r="V14" s="38">
        <v>45091</v>
      </c>
      <c r="W14" s="95"/>
      <c r="X14" s="37"/>
      <c r="Y14" s="38"/>
      <c r="Z14" s="95"/>
      <c r="AA14" s="37"/>
      <c r="AB14" s="38"/>
      <c r="AC14" s="95"/>
      <c r="AD14" s="37"/>
      <c r="AE14" s="38"/>
      <c r="AF14" s="95"/>
      <c r="AG14" s="37"/>
      <c r="AH14" s="38"/>
      <c r="AI14" s="95">
        <v>35000</v>
      </c>
      <c r="AJ14" s="37" t="s">
        <v>625</v>
      </c>
      <c r="AK14" s="38">
        <v>45252</v>
      </c>
      <c r="AL14" s="286">
        <v>7000</v>
      </c>
      <c r="AM14" s="287" t="s">
        <v>645</v>
      </c>
      <c r="AN14" s="288">
        <v>45282</v>
      </c>
      <c r="AO14" s="258"/>
      <c r="AP14" s="95"/>
      <c r="AQ14" s="37"/>
      <c r="AR14" s="38"/>
      <c r="AS14" s="95"/>
      <c r="AT14" s="37"/>
      <c r="AU14" s="38"/>
      <c r="AV14" s="95"/>
      <c r="AW14" s="37"/>
      <c r="AX14" s="38"/>
      <c r="AY14" s="95">
        <v>28000</v>
      </c>
      <c r="AZ14" s="37" t="s">
        <v>794</v>
      </c>
      <c r="BA14" s="38">
        <v>45387</v>
      </c>
      <c r="BB14" s="95"/>
      <c r="BC14" s="37"/>
      <c r="BD14" s="38"/>
      <c r="BE14" s="95"/>
      <c r="BF14" s="37"/>
      <c r="BG14" s="38"/>
      <c r="BH14" s="95"/>
      <c r="BI14" s="37"/>
      <c r="BJ14" s="38"/>
      <c r="BK14" s="95"/>
      <c r="BL14" s="37"/>
      <c r="BM14" s="38"/>
      <c r="BN14" s="95">
        <v>35000</v>
      </c>
      <c r="BO14" s="37" t="s">
        <v>999</v>
      </c>
      <c r="BP14" s="38">
        <v>45539</v>
      </c>
      <c r="BQ14" s="95"/>
      <c r="BR14" s="37"/>
      <c r="BS14" s="38"/>
      <c r="BT14" s="95"/>
      <c r="BU14" s="37"/>
      <c r="BV14" s="352"/>
      <c r="BW14" s="95">
        <v>21000</v>
      </c>
      <c r="BX14" s="37" t="s">
        <v>1117</v>
      </c>
      <c r="BY14" s="38">
        <v>45656</v>
      </c>
      <c r="BZ14" s="350"/>
      <c r="CA14" s="73"/>
      <c r="CB14" s="37"/>
      <c r="CC14" s="38"/>
      <c r="CD14" s="95"/>
      <c r="CE14" s="37"/>
      <c r="CF14" s="38"/>
      <c r="CG14" s="95"/>
      <c r="CH14" s="37"/>
      <c r="CI14" s="38"/>
      <c r="CJ14" s="95"/>
      <c r="CK14" s="37"/>
      <c r="CL14" s="38"/>
      <c r="CM14" s="95"/>
      <c r="CN14" s="37"/>
      <c r="CO14" s="38"/>
      <c r="CP14" s="95"/>
      <c r="CQ14" s="37"/>
      <c r="CR14" s="38"/>
      <c r="CS14" s="95">
        <v>36000</v>
      </c>
      <c r="CT14" s="37" t="s">
        <v>1429</v>
      </c>
      <c r="CU14" s="38">
        <v>45853</v>
      </c>
      <c r="CV14" s="419">
        <v>26000</v>
      </c>
      <c r="CW14" s="37" t="s">
        <v>1477</v>
      </c>
      <c r="CX14" s="38">
        <v>45899</v>
      </c>
      <c r="CY14" s="95"/>
      <c r="CZ14" s="37"/>
      <c r="DA14" s="38"/>
      <c r="DB14" s="95">
        <v>14000</v>
      </c>
      <c r="DC14" s="37" t="s">
        <v>1565</v>
      </c>
      <c r="DD14" s="38">
        <v>45931</v>
      </c>
      <c r="DE14" s="95"/>
      <c r="DF14" s="37"/>
      <c r="DG14" s="38"/>
      <c r="DH14" s="95"/>
      <c r="DI14" s="37"/>
      <c r="DJ14" s="38"/>
      <c r="DK14" s="95">
        <v>21000</v>
      </c>
      <c r="DL14" s="37" t="s">
        <v>1770</v>
      </c>
      <c r="DM14" s="38">
        <v>46034</v>
      </c>
      <c r="DN14" s="95"/>
      <c r="DO14" s="37"/>
      <c r="DP14" s="38"/>
      <c r="DQ14" s="77"/>
      <c r="DR14" s="265">
        <v>202</v>
      </c>
      <c r="DS14" s="481" t="s">
        <v>1340</v>
      </c>
      <c r="DT14" s="260">
        <f>7000*12</f>
        <v>84000</v>
      </c>
      <c r="DU14" s="260">
        <f>E14+H14+K14+N14+Q14+T14+W14+Z14+AC14+AF14+AI14+AL14</f>
        <v>84500</v>
      </c>
      <c r="DV14" s="260">
        <f>DT14-DU14</f>
        <v>-500</v>
      </c>
      <c r="DW14" s="260">
        <v>500</v>
      </c>
      <c r="DX14" s="277">
        <f>DV14+DW14</f>
        <v>0</v>
      </c>
      <c r="DY14" s="277">
        <f>7000*12</f>
        <v>84000</v>
      </c>
      <c r="DZ14" s="260">
        <f>+AP14+AS14+AV14+AY14+BB14+BE14+BH14+BK14+BN14+BQ14+BT14+BW14</f>
        <v>84000</v>
      </c>
      <c r="EA14" s="363">
        <f>DX14+DY14-DZ14</f>
        <v>0</v>
      </c>
      <c r="EB14" s="369">
        <f>7000+7000+7000+9000+9000+7000+9000+7000+7000+7000+7000+7000</f>
        <v>90000</v>
      </c>
      <c r="EC14" s="260">
        <f t="shared" ref="EC14:EC16" si="2">CA14+CD14+CG14+CJ14+CM14+CP14+CS14+CV14+CY14+DB14+DE14+DH14</f>
        <v>76000</v>
      </c>
      <c r="ED14" s="338">
        <f>EA14+EB14-EC14</f>
        <v>14000</v>
      </c>
      <c r="EE14" s="434"/>
      <c r="EG14" s="265">
        <v>202</v>
      </c>
      <c r="EH14" s="481" t="s">
        <v>1340</v>
      </c>
      <c r="EI14" s="369">
        <f>7000*12</f>
        <v>84000</v>
      </c>
      <c r="EJ14" s="505">
        <v>14000</v>
      </c>
      <c r="EK14" s="369">
        <f>7000*2</f>
        <v>14000</v>
      </c>
      <c r="EL14" s="260">
        <f>DK14+DN14</f>
        <v>21000</v>
      </c>
      <c r="EM14" s="505">
        <f>EJ14+EK14-EL14</f>
        <v>7000</v>
      </c>
    </row>
    <row r="15" spans="2:143" ht="15" customHeight="1" x14ac:dyDescent="0.3">
      <c r="B15" s="3" t="s">
        <v>1341</v>
      </c>
      <c r="C15" s="9">
        <v>203</v>
      </c>
      <c r="D15" s="97">
        <v>0</v>
      </c>
      <c r="E15" s="95">
        <v>21000</v>
      </c>
      <c r="F15" s="37" t="s">
        <v>176</v>
      </c>
      <c r="G15" s="38">
        <v>44932</v>
      </c>
      <c r="H15" s="95">
        <v>7000</v>
      </c>
      <c r="I15" s="37" t="s">
        <v>209</v>
      </c>
      <c r="J15" s="38">
        <v>44965</v>
      </c>
      <c r="K15" s="95"/>
      <c r="L15" s="37"/>
      <c r="M15" s="38"/>
      <c r="N15" s="95">
        <v>14000</v>
      </c>
      <c r="O15" s="37" t="s">
        <v>338</v>
      </c>
      <c r="P15" s="38">
        <v>45040</v>
      </c>
      <c r="Q15" s="95"/>
      <c r="R15" s="37"/>
      <c r="S15" s="38"/>
      <c r="T15" s="95">
        <v>14000</v>
      </c>
      <c r="U15" s="37" t="s">
        <v>428</v>
      </c>
      <c r="V15" s="38">
        <v>45082</v>
      </c>
      <c r="W15" s="95"/>
      <c r="X15" s="37"/>
      <c r="Y15" s="38"/>
      <c r="Z15" s="95">
        <v>14000</v>
      </c>
      <c r="AA15" s="37" t="s">
        <v>507</v>
      </c>
      <c r="AB15" s="38">
        <v>45159</v>
      </c>
      <c r="AC15" s="95"/>
      <c r="AD15" s="37"/>
      <c r="AE15" s="38"/>
      <c r="AF15" s="95"/>
      <c r="AG15" s="37"/>
      <c r="AH15" s="38"/>
      <c r="AI15" s="95">
        <v>28000</v>
      </c>
      <c r="AJ15" s="37" t="s">
        <v>674</v>
      </c>
      <c r="AK15" s="38">
        <v>45248</v>
      </c>
      <c r="AL15" s="95"/>
      <c r="AM15" s="37"/>
      <c r="AN15" s="38"/>
      <c r="AO15" s="258"/>
      <c r="AP15" s="95"/>
      <c r="AQ15" s="37"/>
      <c r="AR15" s="38"/>
      <c r="AS15" s="95">
        <v>14000</v>
      </c>
      <c r="AT15" s="37" t="s">
        <v>717</v>
      </c>
      <c r="AU15" s="38">
        <v>45335</v>
      </c>
      <c r="AV15" s="95"/>
      <c r="AW15" s="37"/>
      <c r="AX15" s="38"/>
      <c r="AY15" s="95">
        <v>21000</v>
      </c>
      <c r="AZ15" s="37" t="s">
        <v>857</v>
      </c>
      <c r="BA15" s="38">
        <v>45410</v>
      </c>
      <c r="BB15" s="95"/>
      <c r="BC15" s="37"/>
      <c r="BD15" s="38"/>
      <c r="BE15" s="95">
        <v>14000</v>
      </c>
      <c r="BF15" s="37" t="s">
        <v>911</v>
      </c>
      <c r="BG15" s="38">
        <v>45456</v>
      </c>
      <c r="BH15" s="95"/>
      <c r="BI15" s="37"/>
      <c r="BJ15" s="38"/>
      <c r="BK15" s="95"/>
      <c r="BL15" s="37"/>
      <c r="BM15" s="38"/>
      <c r="BN15" s="95"/>
      <c r="BO15" s="37"/>
      <c r="BP15" s="38"/>
      <c r="BQ15" s="95"/>
      <c r="BR15" s="37"/>
      <c r="BS15" s="38"/>
      <c r="BT15" s="95">
        <v>28000</v>
      </c>
      <c r="BU15" s="37" t="s">
        <v>1061</v>
      </c>
      <c r="BV15" s="352">
        <v>45601</v>
      </c>
      <c r="BW15" s="348">
        <v>7000</v>
      </c>
      <c r="BX15" s="37" t="s">
        <v>1162</v>
      </c>
      <c r="BY15" s="38">
        <v>45657</v>
      </c>
      <c r="BZ15" s="350"/>
      <c r="CA15" s="354"/>
      <c r="CB15" s="37"/>
      <c r="CC15" s="38"/>
      <c r="CD15" s="348"/>
      <c r="CE15" s="37"/>
      <c r="CF15" s="38"/>
      <c r="CG15" s="348"/>
      <c r="CH15" s="37"/>
      <c r="CI15" s="38"/>
      <c r="CJ15" s="348"/>
      <c r="CK15" s="37"/>
      <c r="CL15" s="38"/>
      <c r="CM15" s="95">
        <v>35000</v>
      </c>
      <c r="CN15" s="37" t="s">
        <v>1300</v>
      </c>
      <c r="CO15" s="38">
        <v>45785</v>
      </c>
      <c r="CP15" s="95">
        <v>7000</v>
      </c>
      <c r="CQ15" s="37" t="s">
        <v>1325</v>
      </c>
      <c r="CR15" s="38">
        <v>45817</v>
      </c>
      <c r="CS15" s="95"/>
      <c r="CT15" s="37"/>
      <c r="CU15" s="38"/>
      <c r="CV15" s="419">
        <v>14000</v>
      </c>
      <c r="CW15" s="37" t="s">
        <v>1467</v>
      </c>
      <c r="CX15" s="38">
        <v>45892</v>
      </c>
      <c r="CY15" s="95">
        <v>7000</v>
      </c>
      <c r="CZ15" s="37" t="s">
        <v>1501</v>
      </c>
      <c r="DA15" s="38">
        <v>45905</v>
      </c>
      <c r="DB15" s="95">
        <v>7000</v>
      </c>
      <c r="DC15" s="37" t="s">
        <v>1566</v>
      </c>
      <c r="DD15" s="38">
        <v>45931</v>
      </c>
      <c r="DE15" s="95">
        <v>7000</v>
      </c>
      <c r="DF15" s="37" t="s">
        <v>1668</v>
      </c>
      <c r="DG15" s="38">
        <v>45969</v>
      </c>
      <c r="DH15" s="95">
        <v>7000</v>
      </c>
      <c r="DI15" s="37" t="s">
        <v>1802</v>
      </c>
      <c r="DJ15" s="38">
        <v>46018</v>
      </c>
      <c r="DK15" s="95">
        <v>7000</v>
      </c>
      <c r="DL15" s="37" t="s">
        <v>1776</v>
      </c>
      <c r="DM15" s="38">
        <v>46030</v>
      </c>
      <c r="DN15" s="95"/>
      <c r="DO15" s="37"/>
      <c r="DP15" s="38"/>
      <c r="DQ15" s="77"/>
      <c r="DR15" s="265">
        <v>203</v>
      </c>
      <c r="DS15" s="481" t="s">
        <v>1341</v>
      </c>
      <c r="DT15" s="260">
        <f>7000*12</f>
        <v>84000</v>
      </c>
      <c r="DU15" s="260">
        <f>E15+H15+K15+N15+Q15+T15+W15+Z15+AC15+AF15+AI15+AL15</f>
        <v>98000</v>
      </c>
      <c r="DV15" s="260">
        <f>DT15-DU15</f>
        <v>-14000</v>
      </c>
      <c r="DW15" s="260">
        <v>14000</v>
      </c>
      <c r="DX15" s="277">
        <f>DV15+DW15</f>
        <v>0</v>
      </c>
      <c r="DY15" s="277">
        <f>7000*12</f>
        <v>84000</v>
      </c>
      <c r="DZ15" s="260">
        <f>+AP15+AS15+AV15+AY15+BB15+BE15+BH15+BK15+BN15+BQ15+BT15+BW15</f>
        <v>84000</v>
      </c>
      <c r="EA15" s="363">
        <f>DX15+DY15-DZ15</f>
        <v>0</v>
      </c>
      <c r="EB15" s="369">
        <f>7000*12</f>
        <v>84000</v>
      </c>
      <c r="EC15" s="260">
        <f t="shared" si="2"/>
        <v>84000</v>
      </c>
      <c r="ED15" s="338">
        <f t="shared" si="1"/>
        <v>0</v>
      </c>
      <c r="EE15" s="434"/>
      <c r="EG15" s="265">
        <v>203</v>
      </c>
      <c r="EH15" s="481" t="s">
        <v>1341</v>
      </c>
      <c r="EI15" s="369">
        <f>7000*12</f>
        <v>84000</v>
      </c>
      <c r="EJ15" s="505">
        <v>0</v>
      </c>
      <c r="EK15" s="369">
        <f>7000*2</f>
        <v>14000</v>
      </c>
      <c r="EL15" s="260">
        <f>DK15+DN15</f>
        <v>7000</v>
      </c>
      <c r="EM15" s="505">
        <f>EJ15+EK15-EL15</f>
        <v>7000</v>
      </c>
    </row>
    <row r="16" spans="2:143" ht="15" customHeight="1" thickBot="1" x14ac:dyDescent="0.35">
      <c r="B16" s="3" t="s">
        <v>1342</v>
      </c>
      <c r="C16" s="9">
        <v>204</v>
      </c>
      <c r="D16" s="96">
        <v>-7500</v>
      </c>
      <c r="E16" s="95">
        <v>7500</v>
      </c>
      <c r="F16" s="37" t="s">
        <v>190</v>
      </c>
      <c r="G16" s="38">
        <v>44943</v>
      </c>
      <c r="H16" s="95">
        <v>7500</v>
      </c>
      <c r="I16" s="37" t="s">
        <v>197</v>
      </c>
      <c r="J16" s="38">
        <v>44960</v>
      </c>
      <c r="K16" s="95">
        <v>7500</v>
      </c>
      <c r="L16" s="37" t="s">
        <v>244</v>
      </c>
      <c r="M16" s="38">
        <v>44988</v>
      </c>
      <c r="N16" s="95">
        <v>7500</v>
      </c>
      <c r="O16" s="37" t="s">
        <v>328</v>
      </c>
      <c r="P16" s="38">
        <v>45023</v>
      </c>
      <c r="Q16" s="95">
        <v>7500</v>
      </c>
      <c r="R16" s="37" t="s">
        <v>346</v>
      </c>
      <c r="S16" s="38">
        <v>45049</v>
      </c>
      <c r="T16" s="95">
        <v>7500</v>
      </c>
      <c r="U16" s="37" t="s">
        <v>426</v>
      </c>
      <c r="V16" s="38">
        <v>45081</v>
      </c>
      <c r="W16" s="95">
        <v>7500</v>
      </c>
      <c r="X16" s="37" t="s">
        <v>464</v>
      </c>
      <c r="Y16" s="38">
        <v>45128</v>
      </c>
      <c r="Z16" s="95">
        <v>7500</v>
      </c>
      <c r="AA16" s="37" t="s">
        <v>509</v>
      </c>
      <c r="AB16" s="38">
        <v>45163</v>
      </c>
      <c r="AC16" s="95">
        <v>7500</v>
      </c>
      <c r="AD16" s="37" t="s">
        <v>572</v>
      </c>
      <c r="AE16" s="38">
        <v>45189</v>
      </c>
      <c r="AF16" s="95"/>
      <c r="AG16" s="37"/>
      <c r="AH16" s="38"/>
      <c r="AI16" s="95">
        <v>7500</v>
      </c>
      <c r="AJ16" s="37" t="s">
        <v>617</v>
      </c>
      <c r="AK16" s="38">
        <v>45240</v>
      </c>
      <c r="AL16" s="95">
        <v>7500</v>
      </c>
      <c r="AM16" s="37" t="s">
        <v>647</v>
      </c>
      <c r="AN16" s="38">
        <v>45290</v>
      </c>
      <c r="AO16" s="258"/>
      <c r="AP16" s="95">
        <v>15000</v>
      </c>
      <c r="AQ16" s="37" t="s">
        <v>662</v>
      </c>
      <c r="AR16" s="38">
        <v>45302</v>
      </c>
      <c r="AS16" s="95">
        <v>7500</v>
      </c>
      <c r="AT16" s="37" t="s">
        <v>724</v>
      </c>
      <c r="AU16" s="38">
        <v>45343</v>
      </c>
      <c r="AV16" s="95">
        <v>7500</v>
      </c>
      <c r="AW16" s="37" t="s">
        <v>781</v>
      </c>
      <c r="AX16" s="38">
        <v>45375</v>
      </c>
      <c r="AY16" s="95">
        <v>7500</v>
      </c>
      <c r="AZ16" s="37" t="s">
        <v>805</v>
      </c>
      <c r="BA16" s="38">
        <v>45407</v>
      </c>
      <c r="BB16" s="95">
        <v>7500</v>
      </c>
      <c r="BC16" s="37" t="s">
        <v>894</v>
      </c>
      <c r="BD16" s="38">
        <v>45438</v>
      </c>
      <c r="BE16" s="95">
        <v>7500</v>
      </c>
      <c r="BF16" s="37" t="s">
        <v>915</v>
      </c>
      <c r="BG16" s="38">
        <v>45471</v>
      </c>
      <c r="BH16" s="95">
        <v>7500</v>
      </c>
      <c r="BI16" s="37" t="s">
        <v>941</v>
      </c>
      <c r="BJ16" s="38">
        <v>45503</v>
      </c>
      <c r="BK16" s="95">
        <v>7500</v>
      </c>
      <c r="BL16" s="37" t="s">
        <v>992</v>
      </c>
      <c r="BM16" s="38">
        <v>45531</v>
      </c>
      <c r="BN16" s="95">
        <v>7500</v>
      </c>
      <c r="BO16" s="37" t="s">
        <v>1025</v>
      </c>
      <c r="BP16" s="38">
        <v>45565</v>
      </c>
      <c r="BQ16" s="95">
        <v>7500</v>
      </c>
      <c r="BR16" s="37" t="s">
        <v>1057</v>
      </c>
      <c r="BS16" s="38">
        <v>45596</v>
      </c>
      <c r="BT16" s="95"/>
      <c r="BU16" s="37"/>
      <c r="BV16" s="352"/>
      <c r="BW16" s="95">
        <f>7500+7500</f>
        <v>15000</v>
      </c>
      <c r="BX16" s="37" t="s">
        <v>1122</v>
      </c>
      <c r="BY16" s="38" t="s">
        <v>1123</v>
      </c>
      <c r="BZ16" s="350"/>
      <c r="CA16" s="73">
        <v>7500</v>
      </c>
      <c r="CB16" s="37" t="s">
        <v>1186</v>
      </c>
      <c r="CC16" s="38">
        <v>45683</v>
      </c>
      <c r="CD16" s="95">
        <v>7500</v>
      </c>
      <c r="CE16" s="37" t="s">
        <v>1220</v>
      </c>
      <c r="CF16" s="38">
        <v>45716</v>
      </c>
      <c r="CG16" s="95">
        <v>7500</v>
      </c>
      <c r="CH16" s="37" t="s">
        <v>1278</v>
      </c>
      <c r="CI16" s="38">
        <v>45746</v>
      </c>
      <c r="CJ16" s="95">
        <v>7500</v>
      </c>
      <c r="CK16" s="37" t="s">
        <v>1292</v>
      </c>
      <c r="CL16" s="38">
        <v>45773</v>
      </c>
      <c r="CM16" s="95"/>
      <c r="CN16" s="37"/>
      <c r="CO16" s="38"/>
      <c r="CP16" s="95"/>
      <c r="CQ16" s="37"/>
      <c r="CR16" s="38"/>
      <c r="CS16" s="95"/>
      <c r="CT16" s="37"/>
      <c r="CU16" s="38"/>
      <c r="CV16" s="419">
        <v>30000</v>
      </c>
      <c r="CW16" s="37" t="s">
        <v>1476</v>
      </c>
      <c r="CX16" s="38">
        <v>45894</v>
      </c>
      <c r="CY16" s="95">
        <v>7500</v>
      </c>
      <c r="CZ16" s="37" t="s">
        <v>1526</v>
      </c>
      <c r="DA16" s="38">
        <v>45927</v>
      </c>
      <c r="DB16" s="95">
        <v>7500</v>
      </c>
      <c r="DC16" s="37" t="s">
        <v>1620</v>
      </c>
      <c r="DD16" s="38">
        <v>45954</v>
      </c>
      <c r="DE16" s="95">
        <v>7500</v>
      </c>
      <c r="DF16" s="37" t="s">
        <v>1711</v>
      </c>
      <c r="DG16" s="38">
        <v>45987</v>
      </c>
      <c r="DH16" s="95">
        <v>7500</v>
      </c>
      <c r="DI16" s="37" t="s">
        <v>1803</v>
      </c>
      <c r="DJ16" s="38">
        <v>46017</v>
      </c>
      <c r="DK16" s="95">
        <v>7500</v>
      </c>
      <c r="DL16" s="37" t="s">
        <v>1835</v>
      </c>
      <c r="DM16" s="38">
        <v>46052</v>
      </c>
      <c r="DN16" s="95"/>
      <c r="DO16" s="37"/>
      <c r="DP16" s="38"/>
      <c r="DQ16" s="77"/>
      <c r="DR16" s="266">
        <v>204</v>
      </c>
      <c r="DS16" s="482" t="s">
        <v>1342</v>
      </c>
      <c r="DT16" s="267">
        <f>7500*12</f>
        <v>90000</v>
      </c>
      <c r="DU16" s="267">
        <f>E16+H16+K16+N16+Q16+T16+W16+Z16+AC16+AF16+AI16+AL16</f>
        <v>82500</v>
      </c>
      <c r="DV16" s="267">
        <f>DT16-DU16</f>
        <v>7500</v>
      </c>
      <c r="DW16" s="267">
        <v>0</v>
      </c>
      <c r="DX16" s="339">
        <f>DV16+DW16</f>
        <v>7500</v>
      </c>
      <c r="DY16" s="339">
        <f>7500*12</f>
        <v>90000</v>
      </c>
      <c r="DZ16" s="267">
        <f>+AP16+AS16+AV16+AY16+BB16+BE16+BH16+BK16+BN16+BQ16+BT16+BW16</f>
        <v>97500</v>
      </c>
      <c r="EA16" s="364">
        <f>DX16+DY16-DZ16</f>
        <v>0</v>
      </c>
      <c r="EB16" s="370">
        <f>7500*12</f>
        <v>90000</v>
      </c>
      <c r="EC16" s="267">
        <f t="shared" si="2"/>
        <v>90000</v>
      </c>
      <c r="ED16" s="340">
        <f>EA16+EB16-EC16</f>
        <v>0</v>
      </c>
      <c r="EE16" s="435"/>
      <c r="EG16" s="266">
        <v>204</v>
      </c>
      <c r="EH16" s="482" t="s">
        <v>1342</v>
      </c>
      <c r="EI16" s="511">
        <f>7500*12</f>
        <v>90000</v>
      </c>
      <c r="EJ16" s="506">
        <v>0</v>
      </c>
      <c r="EK16" s="511">
        <f>7500*2</f>
        <v>15000</v>
      </c>
      <c r="EL16" s="267">
        <f>DK16+DN16</f>
        <v>7500</v>
      </c>
      <c r="EM16" s="506">
        <f>EJ16+EK16-EL16</f>
        <v>7500</v>
      </c>
    </row>
    <row r="17" spans="2:143" ht="5.25" customHeight="1" thickBot="1" x14ac:dyDescent="0.35">
      <c r="B17" s="13"/>
      <c r="C17" s="14"/>
      <c r="D17" s="66"/>
      <c r="E17" s="40"/>
      <c r="F17" s="15"/>
      <c r="G17" s="16"/>
      <c r="H17" s="142"/>
      <c r="I17" s="141"/>
      <c r="J17" s="143"/>
      <c r="K17" s="142"/>
      <c r="L17" s="141"/>
      <c r="M17" s="143"/>
      <c r="N17" s="142"/>
      <c r="O17" s="141"/>
      <c r="P17" s="143"/>
      <c r="Q17" s="142"/>
      <c r="R17" s="141"/>
      <c r="S17" s="143"/>
      <c r="T17" s="142"/>
      <c r="U17" s="141"/>
      <c r="V17" s="143"/>
      <c r="W17" s="142"/>
      <c r="X17" s="141"/>
      <c r="Y17" s="143"/>
      <c r="Z17" s="142"/>
      <c r="AA17" s="141"/>
      <c r="AB17" s="143"/>
      <c r="AC17" s="142"/>
      <c r="AD17" s="141"/>
      <c r="AE17" s="143"/>
      <c r="AF17" s="142"/>
      <c r="AG17" s="141"/>
      <c r="AH17" s="143"/>
      <c r="AI17" s="142"/>
      <c r="AJ17" s="141"/>
      <c r="AK17" s="143"/>
      <c r="AL17" s="142"/>
      <c r="AM17" s="141"/>
      <c r="AN17" s="143"/>
      <c r="AO17" s="257"/>
      <c r="AP17" s="142"/>
      <c r="AQ17" s="141"/>
      <c r="AR17" s="143"/>
      <c r="AS17" s="142"/>
      <c r="AT17" s="141"/>
      <c r="AU17" s="143"/>
      <c r="AV17" s="142"/>
      <c r="AW17" s="141"/>
      <c r="AX17" s="143"/>
      <c r="AY17" s="142"/>
      <c r="AZ17" s="141"/>
      <c r="BA17" s="143"/>
      <c r="BB17" s="142"/>
      <c r="BC17" s="141"/>
      <c r="BD17" s="143"/>
      <c r="BE17" s="142"/>
      <c r="BF17" s="141"/>
      <c r="BG17" s="143"/>
      <c r="BH17" s="142"/>
      <c r="BI17" s="141"/>
      <c r="BJ17" s="143"/>
      <c r="BK17" s="142"/>
      <c r="BL17" s="141"/>
      <c r="BM17" s="143"/>
      <c r="BN17" s="142"/>
      <c r="BO17" s="141"/>
      <c r="BP17" s="143"/>
      <c r="BQ17" s="142"/>
      <c r="BR17" s="141"/>
      <c r="BS17" s="143"/>
      <c r="BT17" s="142"/>
      <c r="BU17" s="141"/>
      <c r="BV17" s="141"/>
      <c r="BW17" s="142"/>
      <c r="BX17" s="141"/>
      <c r="BY17" s="143"/>
      <c r="BZ17" s="349"/>
      <c r="CA17" s="141"/>
      <c r="CB17" s="141"/>
      <c r="CC17" s="143"/>
      <c r="CD17" s="142"/>
      <c r="CE17" s="141"/>
      <c r="CF17" s="143"/>
      <c r="CG17" s="142"/>
      <c r="CH17" s="141"/>
      <c r="CI17" s="143"/>
      <c r="CJ17" s="142"/>
      <c r="CK17" s="141"/>
      <c r="CL17" s="143"/>
      <c r="CM17" s="142"/>
      <c r="CN17" s="141"/>
      <c r="CO17" s="143"/>
      <c r="CP17" s="142"/>
      <c r="CQ17" s="141"/>
      <c r="CR17" s="143"/>
      <c r="CS17" s="142"/>
      <c r="CT17" s="141"/>
      <c r="CU17" s="143"/>
      <c r="CV17" s="142"/>
      <c r="CW17" s="141"/>
      <c r="CX17" s="143"/>
      <c r="CY17" s="142"/>
      <c r="CZ17" s="141"/>
      <c r="DA17" s="143"/>
      <c r="DB17" s="142"/>
      <c r="DC17" s="141"/>
      <c r="DD17" s="143"/>
      <c r="DE17" s="142"/>
      <c r="DF17" s="141"/>
      <c r="DG17" s="143"/>
      <c r="DH17" s="142"/>
      <c r="DI17" s="141"/>
      <c r="DJ17" s="143"/>
      <c r="DK17" s="142"/>
      <c r="DL17" s="141"/>
      <c r="DM17" s="143"/>
      <c r="DN17" s="142"/>
      <c r="DO17" s="141"/>
      <c r="DP17" s="143"/>
      <c r="DQ17" s="244"/>
      <c r="DR17" s="261"/>
      <c r="DS17" s="483"/>
      <c r="DT17" s="261"/>
      <c r="DU17" s="261"/>
      <c r="DV17" s="261"/>
      <c r="DW17" s="261"/>
      <c r="DX17" s="261"/>
      <c r="DY17" s="261"/>
      <c r="DZ17" s="261"/>
      <c r="EA17" s="261"/>
      <c r="EB17" s="261"/>
      <c r="EC17" s="261"/>
      <c r="ED17" s="261"/>
      <c r="EE17" s="432"/>
      <c r="EG17" s="261"/>
      <c r="EH17" s="483"/>
      <c r="EJ17" s="49"/>
      <c r="EM17" s="49"/>
    </row>
    <row r="18" spans="2:143" ht="15" customHeight="1" x14ac:dyDescent="0.3">
      <c r="B18" s="3" t="s">
        <v>1343</v>
      </c>
      <c r="C18" s="9">
        <v>301</v>
      </c>
      <c r="D18" s="96">
        <v>-5500</v>
      </c>
      <c r="E18" s="95">
        <v>5500</v>
      </c>
      <c r="F18" s="37" t="s">
        <v>171</v>
      </c>
      <c r="G18" s="38">
        <v>44929</v>
      </c>
      <c r="H18" s="95">
        <v>5500</v>
      </c>
      <c r="I18" s="37" t="s">
        <v>205</v>
      </c>
      <c r="J18" s="38">
        <v>44963</v>
      </c>
      <c r="K18" s="95">
        <v>5500</v>
      </c>
      <c r="L18" s="37" t="s">
        <v>254</v>
      </c>
      <c r="M18" s="38">
        <v>44994</v>
      </c>
      <c r="N18" s="95">
        <v>5500</v>
      </c>
      <c r="O18" s="37" t="s">
        <v>323</v>
      </c>
      <c r="P18" s="38">
        <v>45021</v>
      </c>
      <c r="Q18" s="95">
        <v>5500</v>
      </c>
      <c r="R18" s="37" t="s">
        <v>362</v>
      </c>
      <c r="S18" s="38">
        <v>45056</v>
      </c>
      <c r="T18" s="95">
        <v>5500</v>
      </c>
      <c r="U18" s="37" t="s">
        <v>431</v>
      </c>
      <c r="V18" s="38">
        <v>45087</v>
      </c>
      <c r="W18" s="95">
        <v>5500</v>
      </c>
      <c r="X18" s="37" t="s">
        <v>465</v>
      </c>
      <c r="Y18" s="38">
        <v>45127</v>
      </c>
      <c r="Z18" s="95">
        <v>5500</v>
      </c>
      <c r="AA18" s="37" t="s">
        <v>490</v>
      </c>
      <c r="AB18" s="38">
        <v>45144</v>
      </c>
      <c r="AC18" s="286">
        <v>5500</v>
      </c>
      <c r="AD18" s="287" t="s">
        <v>884</v>
      </c>
      <c r="AE18" s="288">
        <v>45199</v>
      </c>
      <c r="AF18" s="95">
        <v>5500</v>
      </c>
      <c r="AG18" s="37" t="s">
        <v>583</v>
      </c>
      <c r="AH18" s="38">
        <v>45207</v>
      </c>
      <c r="AI18" s="95">
        <v>5500</v>
      </c>
      <c r="AJ18" s="37" t="s">
        <v>616</v>
      </c>
      <c r="AK18" s="38">
        <v>45239</v>
      </c>
      <c r="AL18" s="95">
        <v>5500</v>
      </c>
      <c r="AM18" s="37" t="s">
        <v>636</v>
      </c>
      <c r="AN18" s="38">
        <v>45268</v>
      </c>
      <c r="AO18" s="258"/>
      <c r="AP18" s="95">
        <v>5500</v>
      </c>
      <c r="AQ18" s="37" t="s">
        <v>665</v>
      </c>
      <c r="AR18" s="38">
        <v>45305</v>
      </c>
      <c r="AS18" s="95">
        <v>5500</v>
      </c>
      <c r="AT18" s="37" t="s">
        <v>714</v>
      </c>
      <c r="AU18" s="38">
        <v>45335</v>
      </c>
      <c r="AV18" s="95">
        <v>5500</v>
      </c>
      <c r="AW18" s="37" t="s">
        <v>771</v>
      </c>
      <c r="AX18" s="38">
        <v>45362</v>
      </c>
      <c r="AY18" s="95">
        <v>5500</v>
      </c>
      <c r="AZ18" s="37" t="s">
        <v>797</v>
      </c>
      <c r="BA18" s="38">
        <v>45391</v>
      </c>
      <c r="BB18" s="95">
        <v>5500</v>
      </c>
      <c r="BC18" s="37" t="s">
        <v>870</v>
      </c>
      <c r="BD18" s="38">
        <v>45424</v>
      </c>
      <c r="BE18" s="95">
        <v>5500</v>
      </c>
      <c r="BF18" s="37" t="s">
        <v>906</v>
      </c>
      <c r="BG18" s="38">
        <v>45450</v>
      </c>
      <c r="BH18" s="95">
        <v>5500</v>
      </c>
      <c r="BI18" s="37" t="s">
        <v>930</v>
      </c>
      <c r="BJ18" s="38">
        <v>45484</v>
      </c>
      <c r="BK18" s="95">
        <v>5500</v>
      </c>
      <c r="BL18" s="37" t="s">
        <v>949</v>
      </c>
      <c r="BM18" s="38">
        <v>45513</v>
      </c>
      <c r="BN18" s="95">
        <v>5500</v>
      </c>
      <c r="BO18" s="37" t="s">
        <v>1006</v>
      </c>
      <c r="BP18" s="38">
        <v>45542</v>
      </c>
      <c r="BQ18" s="95">
        <v>5500</v>
      </c>
      <c r="BR18" s="37" t="s">
        <v>1048</v>
      </c>
      <c r="BS18" s="38">
        <v>45576</v>
      </c>
      <c r="BT18" s="95">
        <v>5500</v>
      </c>
      <c r="BU18" s="37" t="s">
        <v>1084</v>
      </c>
      <c r="BV18" s="352">
        <v>45610</v>
      </c>
      <c r="BW18" s="95">
        <v>5500</v>
      </c>
      <c r="BX18" s="37" t="s">
        <v>1100</v>
      </c>
      <c r="BY18" s="38">
        <v>45636</v>
      </c>
      <c r="BZ18" s="350"/>
      <c r="CA18" s="73">
        <v>5500</v>
      </c>
      <c r="CB18" s="37" t="s">
        <v>1184</v>
      </c>
      <c r="CC18" s="38">
        <v>45673</v>
      </c>
      <c r="CD18" s="95">
        <v>5500</v>
      </c>
      <c r="CE18" s="37" t="s">
        <v>1194</v>
      </c>
      <c r="CF18" s="38">
        <v>45693</v>
      </c>
      <c r="CG18" s="95">
        <v>5500</v>
      </c>
      <c r="CH18" s="37" t="s">
        <v>1218</v>
      </c>
      <c r="CI18" s="38">
        <v>45718</v>
      </c>
      <c r="CJ18" s="95">
        <v>5500</v>
      </c>
      <c r="CK18" s="37" t="s">
        <v>1283</v>
      </c>
      <c r="CL18" s="38">
        <v>45758</v>
      </c>
      <c r="CM18" s="95">
        <v>5500</v>
      </c>
      <c r="CN18" s="37" t="s">
        <v>1306</v>
      </c>
      <c r="CO18" s="38">
        <v>45788</v>
      </c>
      <c r="CP18" s="95">
        <v>5500</v>
      </c>
      <c r="CQ18" s="37" t="s">
        <v>1331</v>
      </c>
      <c r="CR18" s="38">
        <v>45819</v>
      </c>
      <c r="CS18" s="95">
        <v>7500</v>
      </c>
      <c r="CT18" s="37" t="s">
        <v>1399</v>
      </c>
      <c r="CU18" s="38">
        <v>45854</v>
      </c>
      <c r="CV18" s="95">
        <v>7500</v>
      </c>
      <c r="CW18" s="37" t="s">
        <v>1459</v>
      </c>
      <c r="CX18" s="38">
        <v>45884</v>
      </c>
      <c r="CY18" s="95">
        <v>5500</v>
      </c>
      <c r="CZ18" s="37" t="s">
        <v>1506</v>
      </c>
      <c r="DA18" s="38">
        <v>45907</v>
      </c>
      <c r="DB18" s="95">
        <v>5500</v>
      </c>
      <c r="DC18" s="37" t="s">
        <v>1610</v>
      </c>
      <c r="DD18" s="38">
        <v>45937</v>
      </c>
      <c r="DE18" s="95">
        <v>5500</v>
      </c>
      <c r="DF18" s="37" t="s">
        <v>1661</v>
      </c>
      <c r="DG18" s="38">
        <v>45966</v>
      </c>
      <c r="DH18" s="95">
        <v>5500</v>
      </c>
      <c r="DI18" s="37" t="s">
        <v>1716</v>
      </c>
      <c r="DJ18" s="38">
        <v>45997</v>
      </c>
      <c r="DK18" s="95">
        <v>5500</v>
      </c>
      <c r="DL18" s="37" t="s">
        <v>1784</v>
      </c>
      <c r="DM18" s="38">
        <v>46027</v>
      </c>
      <c r="DN18" s="95">
        <v>5500</v>
      </c>
      <c r="DO18" s="37" t="s">
        <v>1848</v>
      </c>
      <c r="DP18" s="38">
        <v>46059</v>
      </c>
      <c r="DQ18" s="77"/>
      <c r="DR18" s="262">
        <v>301</v>
      </c>
      <c r="DS18" s="480" t="s">
        <v>1343</v>
      </c>
      <c r="DT18" s="263">
        <f>5500*12</f>
        <v>66000</v>
      </c>
      <c r="DU18" s="263">
        <f>E18+H18+K18+N18+Q18+T18+W18+Z18+AC18+AF18+AI18+AL18</f>
        <v>66000</v>
      </c>
      <c r="DV18" s="263">
        <f>DT18-DU18</f>
        <v>0</v>
      </c>
      <c r="DW18" s="263">
        <v>0</v>
      </c>
      <c r="DX18" s="276">
        <f>DV18+DW18</f>
        <v>0</v>
      </c>
      <c r="DY18" s="276">
        <f>5500*12</f>
        <v>66000</v>
      </c>
      <c r="DZ18" s="263">
        <f>+AP18+AS18+AV18+AY18+BB18+BE18+BH18+BK18+BN18+BQ18+BT18+BW18</f>
        <v>66000</v>
      </c>
      <c r="EA18" s="362">
        <f>DX18+DY18-DZ18</f>
        <v>0</v>
      </c>
      <c r="EB18" s="371">
        <f>5500+5500+5500+5500+5500+5500+7500+7500+5500+5500+5500+5500</f>
        <v>70000</v>
      </c>
      <c r="EC18" s="263">
        <f>CA18+CD18+CG18+CJ18+CM18+CP18+CS18+CV18+CY18+DB18+DE18+DH18</f>
        <v>70000</v>
      </c>
      <c r="ED18" s="264">
        <f t="shared" si="1"/>
        <v>0</v>
      </c>
      <c r="EE18" s="433"/>
      <c r="EG18" s="262">
        <v>301</v>
      </c>
      <c r="EH18" s="480" t="s">
        <v>1343</v>
      </c>
      <c r="EI18" s="371">
        <f>5500*12</f>
        <v>66000</v>
      </c>
      <c r="EJ18" s="504">
        <v>0</v>
      </c>
      <c r="EK18" s="371">
        <f>5500*2</f>
        <v>11000</v>
      </c>
      <c r="EL18" s="263">
        <f>DK18+DN18</f>
        <v>11000</v>
      </c>
      <c r="EM18" s="504">
        <f>EJ18+EK18-EL18</f>
        <v>0</v>
      </c>
    </row>
    <row r="19" spans="2:143" ht="15" customHeight="1" x14ac:dyDescent="0.3">
      <c r="B19" s="3" t="s">
        <v>1344</v>
      </c>
      <c r="C19" s="9">
        <v>302</v>
      </c>
      <c r="D19" s="105">
        <f>45000-7500-7500-7500-7500</f>
        <v>15000</v>
      </c>
      <c r="E19" s="95"/>
      <c r="F19" s="11"/>
      <c r="G19" s="2"/>
      <c r="H19" s="95">
        <v>45000</v>
      </c>
      <c r="I19" s="37" t="s">
        <v>218</v>
      </c>
      <c r="J19" s="38">
        <v>44971</v>
      </c>
      <c r="K19" s="95"/>
      <c r="L19" s="37"/>
      <c r="M19" s="38"/>
      <c r="N19" s="95"/>
      <c r="O19" s="37"/>
      <c r="P19" s="38"/>
      <c r="Q19" s="95"/>
      <c r="R19" s="37"/>
      <c r="S19" s="38"/>
      <c r="T19" s="95"/>
      <c r="U19" s="37"/>
      <c r="V19" s="38"/>
      <c r="W19" s="95">
        <v>45000</v>
      </c>
      <c r="X19" s="37" t="s">
        <v>452</v>
      </c>
      <c r="Y19" s="38">
        <v>45117</v>
      </c>
      <c r="Z19" s="95"/>
      <c r="AA19" s="37"/>
      <c r="AB19" s="38"/>
      <c r="AC19" s="95"/>
      <c r="AD19" s="37"/>
      <c r="AE19" s="38"/>
      <c r="AF19" s="95"/>
      <c r="AG19" s="37"/>
      <c r="AH19" s="38"/>
      <c r="AI19" s="95"/>
      <c r="AJ19" s="37"/>
      <c r="AK19" s="38"/>
      <c r="AL19" s="95"/>
      <c r="AM19" s="37"/>
      <c r="AN19" s="38"/>
      <c r="AO19" s="258"/>
      <c r="AP19" s="95">
        <v>45000</v>
      </c>
      <c r="AQ19" s="37" t="s">
        <v>699</v>
      </c>
      <c r="AR19" s="38">
        <v>45311</v>
      </c>
      <c r="AS19" s="95"/>
      <c r="AT19" s="37"/>
      <c r="AU19" s="38"/>
      <c r="AV19" s="95"/>
      <c r="AW19" s="37"/>
      <c r="AX19" s="38"/>
      <c r="AY19" s="95"/>
      <c r="AZ19" s="37"/>
      <c r="BA19" s="38"/>
      <c r="BB19" s="95"/>
      <c r="BC19" s="37"/>
      <c r="BD19" s="38"/>
      <c r="BE19" s="95"/>
      <c r="BF19" s="37"/>
      <c r="BG19" s="38"/>
      <c r="BH19" s="95"/>
      <c r="BI19" s="37"/>
      <c r="BJ19" s="38"/>
      <c r="BK19" s="95"/>
      <c r="BL19" s="37"/>
      <c r="BM19" s="38"/>
      <c r="BN19" s="95"/>
      <c r="BO19" s="37"/>
      <c r="BP19" s="38"/>
      <c r="BQ19" s="95"/>
      <c r="BR19" s="37"/>
      <c r="BS19" s="38"/>
      <c r="BT19" s="95">
        <v>45000</v>
      </c>
      <c r="BU19" s="37" t="s">
        <v>1078</v>
      </c>
      <c r="BV19" s="352">
        <v>45608</v>
      </c>
      <c r="BW19" s="95"/>
      <c r="BX19" s="37"/>
      <c r="BY19" s="38"/>
      <c r="BZ19" s="350"/>
      <c r="CA19" s="73"/>
      <c r="CB19" s="37"/>
      <c r="CC19" s="38"/>
      <c r="CD19" s="95"/>
      <c r="CE19" s="37"/>
      <c r="CF19" s="38"/>
      <c r="CG19" s="95">
        <v>45000</v>
      </c>
      <c r="CH19" s="37" t="s">
        <v>1435</v>
      </c>
      <c r="CI19" s="38">
        <v>45742</v>
      </c>
      <c r="CJ19" s="95"/>
      <c r="CK19" s="37"/>
      <c r="CL19" s="38"/>
      <c r="CM19" s="95"/>
      <c r="CN19" s="37"/>
      <c r="CO19" s="38"/>
      <c r="CP19" s="95"/>
      <c r="CQ19" s="37"/>
      <c r="CR19" s="38"/>
      <c r="CS19" s="95"/>
      <c r="CT19" s="37"/>
      <c r="CU19" s="38"/>
      <c r="CV19" s="95"/>
      <c r="CW19" s="37"/>
      <c r="CX19" s="38"/>
      <c r="CY19" s="95">
        <v>33000</v>
      </c>
      <c r="CZ19" s="37" t="s">
        <v>1509</v>
      </c>
      <c r="DA19" s="38">
        <v>45905</v>
      </c>
      <c r="DB19" s="95"/>
      <c r="DC19" s="37"/>
      <c r="DD19" s="38"/>
      <c r="DE19" s="95"/>
      <c r="DF19" s="37"/>
      <c r="DG19" s="38"/>
      <c r="DH19" s="95"/>
      <c r="DI19" s="37"/>
      <c r="DJ19" s="38"/>
      <c r="DK19" s="95"/>
      <c r="DL19" s="37"/>
      <c r="DM19" s="38"/>
      <c r="DN19" s="95"/>
      <c r="DO19" s="37"/>
      <c r="DP19" s="38"/>
      <c r="DQ19" s="77"/>
      <c r="DR19" s="265">
        <v>302</v>
      </c>
      <c r="DS19" s="481" t="s">
        <v>1344</v>
      </c>
      <c r="DT19" s="260">
        <f>7500*12</f>
        <v>90000</v>
      </c>
      <c r="DU19" s="260">
        <f>E19+H19+K19+N19+Q19+T19+W19+Z19+AC19+AF19+AI19+AL19</f>
        <v>90000</v>
      </c>
      <c r="DV19" s="260">
        <f>DT19-DU19</f>
        <v>0</v>
      </c>
      <c r="DW19" s="260">
        <v>0</v>
      </c>
      <c r="DX19" s="277">
        <f>DV19+DW19</f>
        <v>0</v>
      </c>
      <c r="DY19" s="277">
        <f>7500*12</f>
        <v>90000</v>
      </c>
      <c r="DZ19" s="260">
        <f>+AP19+AS19+AV19+AY19+BB19+BE19+BH19+BK19+BN19+BQ19+BT19+BW19</f>
        <v>90000</v>
      </c>
      <c r="EA19" s="363">
        <f>DX19+DY19-DZ19</f>
        <v>0</v>
      </c>
      <c r="EB19" s="369">
        <f>7500+7500+7500+7500+7500+7500+5500+5500+5500+5500+5500+5500</f>
        <v>78000</v>
      </c>
      <c r="EC19" s="260">
        <f t="shared" ref="EC19:EC21" si="3">CA19+CD19+CG19+CJ19+CM19+CP19+CS19+CV19+CY19+DB19+DE19+DH19</f>
        <v>78000</v>
      </c>
      <c r="ED19" s="378">
        <f t="shared" si="1"/>
        <v>0</v>
      </c>
      <c r="EE19" s="434"/>
      <c r="EG19" s="265">
        <v>302</v>
      </c>
      <c r="EH19" s="481" t="s">
        <v>1344</v>
      </c>
      <c r="EI19" s="369">
        <f>5500*12</f>
        <v>66000</v>
      </c>
      <c r="EJ19" s="505">
        <v>0</v>
      </c>
      <c r="EK19" s="369">
        <f>5500*2</f>
        <v>11000</v>
      </c>
      <c r="EL19" s="260">
        <f>DK19+DN19</f>
        <v>0</v>
      </c>
      <c r="EM19" s="505">
        <f>EJ19+EK19-EL19</f>
        <v>11000</v>
      </c>
    </row>
    <row r="20" spans="2:143" ht="15" customHeight="1" x14ac:dyDescent="0.3">
      <c r="B20" s="3" t="s">
        <v>1345</v>
      </c>
      <c r="C20" s="9">
        <v>303</v>
      </c>
      <c r="D20" s="67">
        <v>0</v>
      </c>
      <c r="E20" s="95">
        <v>9000</v>
      </c>
      <c r="F20" s="37" t="s">
        <v>184</v>
      </c>
      <c r="G20" s="38">
        <v>44939</v>
      </c>
      <c r="H20" s="95">
        <v>9000</v>
      </c>
      <c r="I20" s="37" t="s">
        <v>202</v>
      </c>
      <c r="J20" s="38">
        <v>44960</v>
      </c>
      <c r="K20" s="95">
        <v>9000</v>
      </c>
      <c r="L20" s="37" t="s">
        <v>255</v>
      </c>
      <c r="M20" s="38">
        <v>44995</v>
      </c>
      <c r="N20" s="95">
        <v>9000</v>
      </c>
      <c r="O20" s="37" t="s">
        <v>322</v>
      </c>
      <c r="P20" s="38">
        <v>45027</v>
      </c>
      <c r="Q20" s="95">
        <v>9000</v>
      </c>
      <c r="R20" s="37" t="s">
        <v>363</v>
      </c>
      <c r="S20" s="38">
        <v>45057</v>
      </c>
      <c r="T20" s="95">
        <v>9000</v>
      </c>
      <c r="U20" s="37" t="s">
        <v>436</v>
      </c>
      <c r="V20" s="38">
        <v>45089</v>
      </c>
      <c r="W20" s="95">
        <v>9000</v>
      </c>
      <c r="X20" s="37" t="s">
        <v>458</v>
      </c>
      <c r="Y20" s="38">
        <v>45118</v>
      </c>
      <c r="Z20" s="95">
        <v>9000</v>
      </c>
      <c r="AA20" s="37" t="s">
        <v>502</v>
      </c>
      <c r="AB20" s="38">
        <v>45153</v>
      </c>
      <c r="AC20" s="95">
        <v>9000</v>
      </c>
      <c r="AD20" s="37" t="s">
        <v>566</v>
      </c>
      <c r="AE20" s="38">
        <v>45180</v>
      </c>
      <c r="AF20" s="95">
        <v>9000</v>
      </c>
      <c r="AG20" s="37" t="s">
        <v>584</v>
      </c>
      <c r="AH20" s="38">
        <v>45209</v>
      </c>
      <c r="AI20" s="95">
        <v>9000</v>
      </c>
      <c r="AJ20" s="37" t="s">
        <v>613</v>
      </c>
      <c r="AK20" s="38">
        <v>45236</v>
      </c>
      <c r="AL20" s="95">
        <v>9000</v>
      </c>
      <c r="AM20" s="37" t="s">
        <v>635</v>
      </c>
      <c r="AN20" s="38">
        <v>45267</v>
      </c>
      <c r="AO20" s="258"/>
      <c r="AP20" s="95">
        <v>9000</v>
      </c>
      <c r="AQ20" s="37" t="s">
        <v>658</v>
      </c>
      <c r="AR20" s="38">
        <v>45302</v>
      </c>
      <c r="AS20" s="95">
        <v>9000</v>
      </c>
      <c r="AT20" s="37" t="s">
        <v>715</v>
      </c>
      <c r="AU20" s="38">
        <v>45335</v>
      </c>
      <c r="AV20" s="95">
        <v>9000</v>
      </c>
      <c r="AW20" s="37" t="s">
        <v>774</v>
      </c>
      <c r="AX20" s="38">
        <v>45362</v>
      </c>
      <c r="AY20" s="95">
        <v>9000</v>
      </c>
      <c r="AZ20" s="37" t="s">
        <v>788</v>
      </c>
      <c r="BA20" s="38">
        <v>45386</v>
      </c>
      <c r="BB20" s="95">
        <v>9000</v>
      </c>
      <c r="BC20" s="37" t="s">
        <v>871</v>
      </c>
      <c r="BD20" s="38">
        <v>45425</v>
      </c>
      <c r="BE20" s="95">
        <v>9000</v>
      </c>
      <c r="BF20" s="37" t="s">
        <v>910</v>
      </c>
      <c r="BG20" s="38">
        <v>45456</v>
      </c>
      <c r="BH20" s="95">
        <v>9000</v>
      </c>
      <c r="BI20" s="37" t="s">
        <v>924</v>
      </c>
      <c r="BJ20" s="38">
        <v>45480</v>
      </c>
      <c r="BK20" s="95">
        <v>9000</v>
      </c>
      <c r="BL20" s="37" t="s">
        <v>947</v>
      </c>
      <c r="BM20" s="38">
        <v>45511</v>
      </c>
      <c r="BN20" s="95">
        <v>9000</v>
      </c>
      <c r="BO20" s="37" t="s">
        <v>1000</v>
      </c>
      <c r="BP20" s="38">
        <v>45540</v>
      </c>
      <c r="BQ20" s="95">
        <v>9000</v>
      </c>
      <c r="BR20" s="37" t="s">
        <v>1044</v>
      </c>
      <c r="BS20" s="38">
        <v>45571</v>
      </c>
      <c r="BT20" s="95">
        <v>9000</v>
      </c>
      <c r="BU20" s="37" t="s">
        <v>1085</v>
      </c>
      <c r="BV20" s="352">
        <v>45608</v>
      </c>
      <c r="BW20" s="95">
        <v>9000</v>
      </c>
      <c r="BX20" s="37" t="s">
        <v>1102</v>
      </c>
      <c r="BY20" s="38">
        <v>45641</v>
      </c>
      <c r="BZ20" s="350"/>
      <c r="CA20" s="73">
        <v>9000</v>
      </c>
      <c r="CB20" s="37" t="s">
        <v>1176</v>
      </c>
      <c r="CC20" s="38">
        <v>45664</v>
      </c>
      <c r="CD20" s="95">
        <v>9000</v>
      </c>
      <c r="CE20" s="37" t="s">
        <v>1195</v>
      </c>
      <c r="CF20" s="38">
        <v>45696</v>
      </c>
      <c r="CG20" s="95">
        <v>9000</v>
      </c>
      <c r="CH20" s="37" t="s">
        <v>1273</v>
      </c>
      <c r="CI20" s="38">
        <v>45727</v>
      </c>
      <c r="CJ20" s="95">
        <v>9000</v>
      </c>
      <c r="CK20" s="37" t="s">
        <v>1282</v>
      </c>
      <c r="CL20" s="38">
        <v>45758</v>
      </c>
      <c r="CM20" s="95">
        <v>9000</v>
      </c>
      <c r="CN20" s="37" t="s">
        <v>1310</v>
      </c>
      <c r="CO20" s="38">
        <v>45789</v>
      </c>
      <c r="CP20" s="95">
        <v>9000</v>
      </c>
      <c r="CQ20" s="37" t="s">
        <v>1324</v>
      </c>
      <c r="CR20" s="38">
        <v>45816</v>
      </c>
      <c r="CS20" s="95">
        <v>9000</v>
      </c>
      <c r="CT20" s="158" t="s">
        <v>1400</v>
      </c>
      <c r="CU20" s="38">
        <v>45853</v>
      </c>
      <c r="CV20" s="95">
        <v>9000</v>
      </c>
      <c r="CW20" s="37" t="s">
        <v>1455</v>
      </c>
      <c r="CX20" s="38">
        <v>45877</v>
      </c>
      <c r="CY20" s="95">
        <v>9000</v>
      </c>
      <c r="CZ20" s="37" t="s">
        <v>1507</v>
      </c>
      <c r="DA20" s="38">
        <v>45907</v>
      </c>
      <c r="DB20" s="95">
        <v>9000</v>
      </c>
      <c r="DC20" s="37" t="s">
        <v>1613</v>
      </c>
      <c r="DD20" s="38">
        <v>45938</v>
      </c>
      <c r="DE20" s="95">
        <v>9000</v>
      </c>
      <c r="DF20" s="37" t="s">
        <v>1663</v>
      </c>
      <c r="DG20" s="38">
        <v>45967</v>
      </c>
      <c r="DH20" s="95">
        <v>9000</v>
      </c>
      <c r="DI20" s="37" t="s">
        <v>1720</v>
      </c>
      <c r="DJ20" s="38">
        <v>46002</v>
      </c>
      <c r="DK20" s="95">
        <v>9000</v>
      </c>
      <c r="DL20" s="37" t="s">
        <v>1781</v>
      </c>
      <c r="DM20" s="38">
        <v>46028</v>
      </c>
      <c r="DN20" s="95">
        <v>9000</v>
      </c>
      <c r="DO20" s="37" t="s">
        <v>1851</v>
      </c>
      <c r="DP20" s="38">
        <v>46062</v>
      </c>
      <c r="DQ20" s="77"/>
      <c r="DR20" s="265">
        <v>303</v>
      </c>
      <c r="DS20" s="481" t="s">
        <v>1345</v>
      </c>
      <c r="DT20" s="260">
        <f>9000*12</f>
        <v>108000</v>
      </c>
      <c r="DU20" s="260">
        <f>E20+H20+K20+N20+Q20+T20+W20+Z20+AC20+AF20+AI20+AL20</f>
        <v>108000</v>
      </c>
      <c r="DV20" s="260">
        <f>DT20-DU20</f>
        <v>0</v>
      </c>
      <c r="DW20" s="260">
        <v>0</v>
      </c>
      <c r="DX20" s="277">
        <f>DV20+DW20</f>
        <v>0</v>
      </c>
      <c r="DY20" s="277">
        <f>9000*12</f>
        <v>108000</v>
      </c>
      <c r="DZ20" s="260">
        <f>+AP20+AS20+AV20+AY20+BB20+BE20+BH20+BK20+BN20+BQ20+BT20+BW20</f>
        <v>108000</v>
      </c>
      <c r="EA20" s="363">
        <f>DX20+DY20-DZ20</f>
        <v>0</v>
      </c>
      <c r="EB20" s="369">
        <f>9000*12</f>
        <v>108000</v>
      </c>
      <c r="EC20" s="260">
        <f t="shared" si="3"/>
        <v>108000</v>
      </c>
      <c r="ED20" s="338">
        <f t="shared" si="1"/>
        <v>0</v>
      </c>
      <c r="EE20" s="434"/>
      <c r="EG20" s="265">
        <v>303</v>
      </c>
      <c r="EH20" s="481" t="s">
        <v>1345</v>
      </c>
      <c r="EI20" s="512">
        <f>9000*12</f>
        <v>108000</v>
      </c>
      <c r="EJ20" s="505">
        <v>0</v>
      </c>
      <c r="EK20" s="512">
        <f>9000*2</f>
        <v>18000</v>
      </c>
      <c r="EL20" s="260">
        <f>DK20+DN20</f>
        <v>18000</v>
      </c>
      <c r="EM20" s="505">
        <f>EJ20+EK20-EL20</f>
        <v>0</v>
      </c>
    </row>
    <row r="21" spans="2:143" ht="15" customHeight="1" thickBot="1" x14ac:dyDescent="0.35">
      <c r="B21" s="3" t="s">
        <v>1346</v>
      </c>
      <c r="C21" s="9">
        <v>304</v>
      </c>
      <c r="D21" s="96">
        <v>-74000</v>
      </c>
      <c r="E21" s="95"/>
      <c r="F21" s="11"/>
      <c r="G21" s="38"/>
      <c r="H21" s="144"/>
      <c r="I21" s="77"/>
      <c r="J21" s="137"/>
      <c r="K21" s="95">
        <v>22000</v>
      </c>
      <c r="L21" s="37" t="s">
        <v>263</v>
      </c>
      <c r="M21" s="38">
        <v>45016</v>
      </c>
      <c r="N21" s="95"/>
      <c r="O21" s="37"/>
      <c r="P21" s="38"/>
      <c r="Q21" s="95"/>
      <c r="R21" s="37"/>
      <c r="S21" s="38"/>
      <c r="T21" s="95"/>
      <c r="U21" s="37"/>
      <c r="V21" s="38"/>
      <c r="W21" s="95"/>
      <c r="X21" s="37"/>
      <c r="Y21" s="38"/>
      <c r="Z21" s="95">
        <v>33000</v>
      </c>
      <c r="AA21" s="37" t="s">
        <v>503</v>
      </c>
      <c r="AB21" s="38">
        <v>45158</v>
      </c>
      <c r="AC21" s="95"/>
      <c r="AD21" s="37"/>
      <c r="AE21" s="38"/>
      <c r="AF21" s="95"/>
      <c r="AG21" s="37"/>
      <c r="AH21" s="38"/>
      <c r="AI21" s="95"/>
      <c r="AJ21" s="37"/>
      <c r="AK21" s="38"/>
      <c r="AL21" s="95"/>
      <c r="AM21" s="37"/>
      <c r="AN21" s="38"/>
      <c r="AO21" s="258"/>
      <c r="AP21" s="157">
        <v>33000</v>
      </c>
      <c r="AQ21" s="37" t="s">
        <v>694</v>
      </c>
      <c r="AR21" s="38">
        <v>45305</v>
      </c>
      <c r="AS21" s="157"/>
      <c r="AT21" s="37"/>
      <c r="AU21" s="38"/>
      <c r="AV21" s="157"/>
      <c r="AW21" s="37"/>
      <c r="AX21" s="38"/>
      <c r="AY21" s="157"/>
      <c r="AZ21" s="37"/>
      <c r="BA21" s="38"/>
      <c r="BB21" s="157"/>
      <c r="BC21" s="37"/>
      <c r="BD21" s="38"/>
      <c r="BE21" s="157"/>
      <c r="BF21" s="37"/>
      <c r="BG21" s="38"/>
      <c r="BH21" s="157"/>
      <c r="BI21" s="37"/>
      <c r="BJ21" s="38"/>
      <c r="BK21" s="95"/>
      <c r="BL21" s="37"/>
      <c r="BM21" s="38"/>
      <c r="BN21" s="95"/>
      <c r="BO21" s="37"/>
      <c r="BP21" s="38"/>
      <c r="BQ21" s="95">
        <v>44000</v>
      </c>
      <c r="BR21" s="37" t="s">
        <v>1067</v>
      </c>
      <c r="BS21" s="38">
        <v>45573</v>
      </c>
      <c r="BT21" s="95"/>
      <c r="BU21" s="37"/>
      <c r="BV21" s="352"/>
      <c r="BW21" s="95"/>
      <c r="BX21" s="37"/>
      <c r="BY21" s="38"/>
      <c r="BZ21" s="350"/>
      <c r="CA21" s="73"/>
      <c r="CB21" s="37"/>
      <c r="CC21" s="38"/>
      <c r="CD21" s="95"/>
      <c r="CE21" s="37"/>
      <c r="CF21" s="38"/>
      <c r="CG21" s="95"/>
      <c r="CH21" s="37"/>
      <c r="CI21" s="38"/>
      <c r="CJ21" s="95"/>
      <c r="CK21" s="37"/>
      <c r="CL21" s="38"/>
      <c r="CM21" s="95"/>
      <c r="CN21" s="37"/>
      <c r="CO21" s="38"/>
      <c r="CP21" s="95">
        <v>55000</v>
      </c>
      <c r="CQ21" s="37" t="s">
        <v>1428</v>
      </c>
      <c r="CR21" s="38">
        <v>45822</v>
      </c>
      <c r="CS21" s="95"/>
      <c r="CT21" s="37"/>
      <c r="CU21" s="38"/>
      <c r="CV21" s="95"/>
      <c r="CW21" s="37"/>
      <c r="CX21" s="38"/>
      <c r="CY21" s="95">
        <v>57500</v>
      </c>
      <c r="CZ21" s="37" t="s">
        <v>1500</v>
      </c>
      <c r="DA21" s="38">
        <v>45905</v>
      </c>
      <c r="DB21" s="95">
        <v>5500</v>
      </c>
      <c r="DC21" s="37" t="s">
        <v>1611</v>
      </c>
      <c r="DD21" s="38">
        <v>45937</v>
      </c>
      <c r="DE21" s="95">
        <v>5500</v>
      </c>
      <c r="DF21" s="37" t="s">
        <v>1666</v>
      </c>
      <c r="DG21" s="38">
        <v>45967</v>
      </c>
      <c r="DH21" s="95">
        <v>5500</v>
      </c>
      <c r="DI21" s="37" t="s">
        <v>1713</v>
      </c>
      <c r="DJ21" s="38">
        <v>45993</v>
      </c>
      <c r="DK21" s="95">
        <v>5500</v>
      </c>
      <c r="DL21" s="37" t="s">
        <v>1783</v>
      </c>
      <c r="DM21" s="38">
        <v>46028</v>
      </c>
      <c r="DN21" s="95">
        <v>5500</v>
      </c>
      <c r="DO21" s="37" t="s">
        <v>1845</v>
      </c>
      <c r="DP21" s="38">
        <v>46058</v>
      </c>
      <c r="DQ21" s="77"/>
      <c r="DR21" s="266">
        <v>304</v>
      </c>
      <c r="DS21" s="482" t="s">
        <v>1346</v>
      </c>
      <c r="DT21" s="267">
        <f>5500*12</f>
        <v>66000</v>
      </c>
      <c r="DU21" s="267">
        <f>E21+H21+K21+N21+Q21+T21+W21+Z21+AC21+AF21+AI21+AL21</f>
        <v>55000</v>
      </c>
      <c r="DV21" s="267">
        <f>DT21-DU21</f>
        <v>11000</v>
      </c>
      <c r="DW21" s="267">
        <v>63000</v>
      </c>
      <c r="DX21" s="339">
        <f>DV21+DW21</f>
        <v>74000</v>
      </c>
      <c r="DY21" s="339">
        <f>5500*12</f>
        <v>66000</v>
      </c>
      <c r="DZ21" s="267">
        <f>+AP21+AS21+AV21+AY21+BB21+BE21+BH21+BK21+BN21+BQ21+BT21+BW21</f>
        <v>77000</v>
      </c>
      <c r="EA21" s="364">
        <f>DX21+DY21-DZ21</f>
        <v>63000</v>
      </c>
      <c r="EB21" s="370">
        <f>5500*12</f>
        <v>66000</v>
      </c>
      <c r="EC21" s="267">
        <f t="shared" si="3"/>
        <v>129000</v>
      </c>
      <c r="ED21" s="340">
        <f>EA21+EB21-EC21</f>
        <v>0</v>
      </c>
      <c r="EE21" s="435"/>
      <c r="EG21" s="266">
        <v>304</v>
      </c>
      <c r="EH21" s="482" t="s">
        <v>1346</v>
      </c>
      <c r="EI21" s="370">
        <f>5500*12</f>
        <v>66000</v>
      </c>
      <c r="EJ21" s="506">
        <v>0</v>
      </c>
      <c r="EK21" s="370">
        <f>5500*2</f>
        <v>11000</v>
      </c>
      <c r="EL21" s="267">
        <f>DK21+DN21</f>
        <v>11000</v>
      </c>
      <c r="EM21" s="506">
        <f>EJ21+EK21-EL21</f>
        <v>0</v>
      </c>
    </row>
    <row r="22" spans="2:143" ht="5.25" customHeight="1" thickBot="1" x14ac:dyDescent="0.35">
      <c r="B22" s="13"/>
      <c r="C22" s="14"/>
      <c r="D22" s="66"/>
      <c r="E22" s="15"/>
      <c r="F22" s="15"/>
      <c r="G22" s="16"/>
      <c r="H22" s="142"/>
      <c r="I22" s="141"/>
      <c r="J22" s="143"/>
      <c r="K22" s="142"/>
      <c r="L22" s="141"/>
      <c r="M22" s="143"/>
      <c r="N22" s="142"/>
      <c r="O22" s="141"/>
      <c r="P22" s="143"/>
      <c r="Q22" s="142"/>
      <c r="R22" s="141"/>
      <c r="S22" s="143"/>
      <c r="T22" s="142"/>
      <c r="U22" s="141"/>
      <c r="V22" s="143"/>
      <c r="W22" s="142"/>
      <c r="X22" s="141"/>
      <c r="Y22" s="143"/>
      <c r="Z22" s="142"/>
      <c r="AA22" s="141"/>
      <c r="AB22" s="143"/>
      <c r="AC22" s="142"/>
      <c r="AD22" s="141"/>
      <c r="AE22" s="143"/>
      <c r="AF22" s="142"/>
      <c r="AG22" s="141"/>
      <c r="AH22" s="143"/>
      <c r="AI22" s="142"/>
      <c r="AJ22" s="141"/>
      <c r="AK22" s="143"/>
      <c r="AL22" s="142"/>
      <c r="AM22" s="141"/>
      <c r="AN22" s="143"/>
      <c r="AO22" s="257"/>
      <c r="AP22" s="142"/>
      <c r="AQ22" s="141"/>
      <c r="AR22" s="143"/>
      <c r="AS22" s="142"/>
      <c r="AT22" s="141"/>
      <c r="AU22" s="143"/>
      <c r="AV22" s="142"/>
      <c r="AW22" s="141"/>
      <c r="AX22" s="143"/>
      <c r="AY22" s="142"/>
      <c r="AZ22" s="141"/>
      <c r="BA22" s="143"/>
      <c r="BB22" s="142"/>
      <c r="BC22" s="141"/>
      <c r="BD22" s="143"/>
      <c r="BE22" s="142"/>
      <c r="BF22" s="141"/>
      <c r="BG22" s="143"/>
      <c r="BH22" s="142"/>
      <c r="BI22" s="141"/>
      <c r="BJ22" s="143"/>
      <c r="BK22" s="142"/>
      <c r="BL22" s="141"/>
      <c r="BM22" s="143"/>
      <c r="BN22" s="142"/>
      <c r="BO22" s="141"/>
      <c r="BP22" s="143"/>
      <c r="BQ22" s="142"/>
      <c r="BR22" s="141"/>
      <c r="BS22" s="143"/>
      <c r="BT22" s="142"/>
      <c r="BU22" s="141"/>
      <c r="BV22" s="141"/>
      <c r="BW22" s="142"/>
      <c r="BX22" s="141"/>
      <c r="BY22" s="143"/>
      <c r="BZ22" s="349"/>
      <c r="CA22" s="141"/>
      <c r="CB22" s="141"/>
      <c r="CC22" s="143"/>
      <c r="CD22" s="142"/>
      <c r="CE22" s="141"/>
      <c r="CF22" s="143"/>
      <c r="CG22" s="142"/>
      <c r="CH22" s="141"/>
      <c r="CI22" s="143"/>
      <c r="CJ22" s="142"/>
      <c r="CK22" s="141"/>
      <c r="CL22" s="143"/>
      <c r="CM22" s="142"/>
      <c r="CN22" s="141"/>
      <c r="CO22" s="143"/>
      <c r="CP22" s="142"/>
      <c r="CQ22" s="141"/>
      <c r="CR22" s="143"/>
      <c r="CS22" s="142"/>
      <c r="CT22" s="141"/>
      <c r="CU22" s="143"/>
      <c r="CV22" s="142"/>
      <c r="CW22" s="141"/>
      <c r="CX22" s="143"/>
      <c r="CY22" s="142"/>
      <c r="CZ22" s="141"/>
      <c r="DA22" s="143"/>
      <c r="DB22" s="142"/>
      <c r="DC22" s="141"/>
      <c r="DD22" s="143"/>
      <c r="DE22" s="142"/>
      <c r="DF22" s="141"/>
      <c r="DG22" s="143"/>
      <c r="DH22" s="142"/>
      <c r="DI22" s="141"/>
      <c r="DJ22" s="143"/>
      <c r="DK22" s="142"/>
      <c r="DL22" s="141"/>
      <c r="DM22" s="143"/>
      <c r="DN22" s="142"/>
      <c r="DO22" s="141"/>
      <c r="DP22" s="143"/>
      <c r="DQ22" s="244"/>
      <c r="DR22" s="261"/>
      <c r="DS22" s="483"/>
      <c r="DT22" s="261"/>
      <c r="DU22" s="261"/>
      <c r="DV22" s="261"/>
      <c r="DW22" s="261"/>
      <c r="DX22" s="261"/>
      <c r="DY22" s="261"/>
      <c r="DZ22" s="261"/>
      <c r="EA22" s="261"/>
      <c r="EB22" s="261"/>
      <c r="EC22" s="261"/>
      <c r="ED22" s="261"/>
      <c r="EE22" s="432"/>
      <c r="EG22" s="261"/>
      <c r="EH22" s="483"/>
      <c r="EJ22" s="49"/>
      <c r="EM22" s="49"/>
    </row>
    <row r="23" spans="2:143" x14ac:dyDescent="0.3">
      <c r="B23" s="3" t="s">
        <v>37</v>
      </c>
      <c r="C23" s="9">
        <v>401</v>
      </c>
      <c r="D23" s="97">
        <v>0</v>
      </c>
      <c r="E23" s="95">
        <v>7500</v>
      </c>
      <c r="F23" s="37" t="s">
        <v>175</v>
      </c>
      <c r="G23" s="38">
        <v>44931</v>
      </c>
      <c r="H23" s="95">
        <v>7500</v>
      </c>
      <c r="I23" s="37" t="s">
        <v>200</v>
      </c>
      <c r="J23" s="38">
        <v>44960</v>
      </c>
      <c r="K23" s="95">
        <v>7500</v>
      </c>
      <c r="L23" s="37" t="s">
        <v>241</v>
      </c>
      <c r="M23" s="38">
        <v>44988</v>
      </c>
      <c r="N23" s="95">
        <v>7500</v>
      </c>
      <c r="O23" s="37" t="s">
        <v>322</v>
      </c>
      <c r="P23" s="38">
        <v>45021</v>
      </c>
      <c r="Q23" s="95">
        <v>7500</v>
      </c>
      <c r="R23" s="37" t="s">
        <v>342</v>
      </c>
      <c r="S23" s="38">
        <v>45047</v>
      </c>
      <c r="T23" s="95">
        <v>7500</v>
      </c>
      <c r="U23" s="37" t="s">
        <v>427</v>
      </c>
      <c r="V23" s="38">
        <v>45080</v>
      </c>
      <c r="W23" s="95">
        <v>7500</v>
      </c>
      <c r="X23" s="37" t="s">
        <v>449</v>
      </c>
      <c r="Y23" s="38">
        <v>45114</v>
      </c>
      <c r="Z23" s="95">
        <v>7500</v>
      </c>
      <c r="AA23" s="37" t="s">
        <v>469</v>
      </c>
      <c r="AB23" s="38">
        <v>45140</v>
      </c>
      <c r="AC23" s="95">
        <v>7500</v>
      </c>
      <c r="AD23" s="37" t="s">
        <v>555</v>
      </c>
      <c r="AE23" s="38">
        <v>45171</v>
      </c>
      <c r="AF23" s="95">
        <v>7500</v>
      </c>
      <c r="AG23" s="37" t="s">
        <v>578</v>
      </c>
      <c r="AH23" s="38">
        <v>45201</v>
      </c>
      <c r="AI23" s="95">
        <v>7500</v>
      </c>
      <c r="AJ23" s="37" t="s">
        <v>611</v>
      </c>
      <c r="AK23" s="38">
        <v>45232</v>
      </c>
      <c r="AL23" s="95">
        <v>7500</v>
      </c>
      <c r="AM23" s="37" t="s">
        <v>630</v>
      </c>
      <c r="AN23" s="38">
        <v>45261</v>
      </c>
      <c r="AO23" s="258"/>
      <c r="AP23" s="95">
        <v>7500</v>
      </c>
      <c r="AQ23" s="37" t="s">
        <v>653</v>
      </c>
      <c r="AR23" s="38">
        <v>45295</v>
      </c>
      <c r="AS23" s="95">
        <v>7500</v>
      </c>
      <c r="AT23" s="37" t="s">
        <v>706</v>
      </c>
      <c r="AU23" s="38">
        <v>45325</v>
      </c>
      <c r="AV23" s="286">
        <v>7500</v>
      </c>
      <c r="AW23" s="287" t="s">
        <v>883</v>
      </c>
      <c r="AX23" s="288">
        <v>45382</v>
      </c>
      <c r="AY23" s="95">
        <v>7500</v>
      </c>
      <c r="AZ23" s="37" t="s">
        <v>787</v>
      </c>
      <c r="BA23" s="38">
        <v>45386</v>
      </c>
      <c r="BB23" s="95">
        <v>7500</v>
      </c>
      <c r="BC23" s="37" t="s">
        <v>861</v>
      </c>
      <c r="BD23" s="38">
        <v>45414</v>
      </c>
      <c r="BE23" s="95">
        <v>7500</v>
      </c>
      <c r="BF23" s="37" t="s">
        <v>899</v>
      </c>
      <c r="BG23" s="38">
        <v>45445</v>
      </c>
      <c r="BH23" s="95">
        <v>7500</v>
      </c>
      <c r="BI23" s="37" t="s">
        <v>920</v>
      </c>
      <c r="BJ23" s="38">
        <v>45477</v>
      </c>
      <c r="BK23" s="95">
        <v>7500</v>
      </c>
      <c r="BL23" s="37" t="s">
        <v>939</v>
      </c>
      <c r="BM23" s="38">
        <v>45505</v>
      </c>
      <c r="BN23" s="95">
        <v>7500</v>
      </c>
      <c r="BO23" s="37" t="s">
        <v>993</v>
      </c>
      <c r="BP23" s="38">
        <v>45536</v>
      </c>
      <c r="BQ23" s="95">
        <v>7500</v>
      </c>
      <c r="BR23" s="37" t="s">
        <v>1031</v>
      </c>
      <c r="BS23" s="38">
        <v>45568</v>
      </c>
      <c r="BT23" s="95">
        <v>7500</v>
      </c>
      <c r="BU23" s="37" t="s">
        <v>1054</v>
      </c>
      <c r="BV23" s="352">
        <v>45597</v>
      </c>
      <c r="BW23" s="95">
        <v>7500</v>
      </c>
      <c r="BX23" s="37" t="s">
        <v>1092</v>
      </c>
      <c r="BY23" s="38">
        <v>45628</v>
      </c>
      <c r="BZ23" s="350"/>
      <c r="CA23" s="73">
        <v>7500</v>
      </c>
      <c r="CB23" s="37" t="s">
        <v>1173</v>
      </c>
      <c r="CC23" s="38">
        <v>45662</v>
      </c>
      <c r="CD23" s="95">
        <v>7500</v>
      </c>
      <c r="CE23" s="37" t="s">
        <v>1216</v>
      </c>
      <c r="CF23" s="38">
        <v>45690</v>
      </c>
      <c r="CG23" s="95">
        <v>7500</v>
      </c>
      <c r="CH23" s="37" t="s">
        <v>1217</v>
      </c>
      <c r="CI23" s="38">
        <v>45718</v>
      </c>
      <c r="CJ23" s="95">
        <v>7500</v>
      </c>
      <c r="CK23" s="37" t="s">
        <v>1277</v>
      </c>
      <c r="CL23" s="38">
        <v>45749</v>
      </c>
      <c r="CM23" s="95">
        <v>7500</v>
      </c>
      <c r="CN23" s="37" t="s">
        <v>1301</v>
      </c>
      <c r="CO23" s="38">
        <v>45786</v>
      </c>
      <c r="CP23" s="95">
        <v>7500</v>
      </c>
      <c r="CQ23" s="37" t="s">
        <v>1321</v>
      </c>
      <c r="CR23" s="38">
        <v>45812</v>
      </c>
      <c r="CS23" s="95">
        <v>7500</v>
      </c>
      <c r="CT23" s="37" t="s">
        <v>1392</v>
      </c>
      <c r="CU23" s="38">
        <v>45842</v>
      </c>
      <c r="CV23" s="436">
        <f>7500+16000</f>
        <v>23500</v>
      </c>
      <c r="CW23" s="420" t="s">
        <v>1469</v>
      </c>
      <c r="CX23" s="38" t="s">
        <v>1470</v>
      </c>
      <c r="CY23" s="95">
        <v>9500</v>
      </c>
      <c r="CZ23" s="37" t="s">
        <v>1514</v>
      </c>
      <c r="DA23" s="38">
        <v>45910</v>
      </c>
      <c r="DB23" s="95">
        <v>9500</v>
      </c>
      <c r="DC23" s="160" t="s">
        <v>1569</v>
      </c>
      <c r="DD23" s="38">
        <v>45934</v>
      </c>
      <c r="DE23" s="95">
        <v>9500</v>
      </c>
      <c r="DF23" s="37" t="s">
        <v>1662</v>
      </c>
      <c r="DG23" s="38">
        <v>45966</v>
      </c>
      <c r="DH23" s="95">
        <v>9500</v>
      </c>
      <c r="DI23" s="37" t="s">
        <v>1717</v>
      </c>
      <c r="DJ23" s="38">
        <v>45998</v>
      </c>
      <c r="DK23" s="95">
        <v>9500</v>
      </c>
      <c r="DL23" s="37" t="s">
        <v>1787</v>
      </c>
      <c r="DM23" s="38">
        <v>46026</v>
      </c>
      <c r="DN23" s="95">
        <v>9500</v>
      </c>
      <c r="DO23" s="37" t="s">
        <v>1841</v>
      </c>
      <c r="DP23" s="38">
        <v>46058</v>
      </c>
      <c r="DQ23" s="77"/>
      <c r="DR23" s="262">
        <v>401</v>
      </c>
      <c r="DS23" s="480" t="s">
        <v>37</v>
      </c>
      <c r="DT23" s="263">
        <f>7500*12</f>
        <v>90000</v>
      </c>
      <c r="DU23" s="263">
        <f>E23+H23+K23+N23+Q23+T23+W23+Z23+AC23+AF23+AI23+AL23</f>
        <v>90000</v>
      </c>
      <c r="DV23" s="263">
        <f>DT23-DU23</f>
        <v>0</v>
      </c>
      <c r="DW23" s="263">
        <v>0</v>
      </c>
      <c r="DX23" s="276">
        <f>DV23+DW23</f>
        <v>0</v>
      </c>
      <c r="DY23" s="276">
        <f>7500*12</f>
        <v>90000</v>
      </c>
      <c r="DZ23" s="263">
        <f>+AP23+AS23+AV23+AY23+BB23+BE23+BH23+BK23+BN23+BQ23+BT23+BW23</f>
        <v>90000</v>
      </c>
      <c r="EA23" s="362">
        <f>DX23+DY23-DZ23</f>
        <v>0</v>
      </c>
      <c r="EB23" s="368">
        <f>9500*12</f>
        <v>114000</v>
      </c>
      <c r="EC23" s="263">
        <f>CA23+CD23+CG23+CJ23+CM23+CP23+CS23+CV23+CY23+DB23+DE23+DH23</f>
        <v>114000</v>
      </c>
      <c r="ED23" s="264">
        <f>EA23+EB23-EC23</f>
        <v>0</v>
      </c>
      <c r="EE23" s="433"/>
      <c r="EG23" s="262">
        <v>401</v>
      </c>
      <c r="EH23" s="480" t="s">
        <v>37</v>
      </c>
      <c r="EI23" s="368">
        <f>9500*12</f>
        <v>114000</v>
      </c>
      <c r="EJ23" s="504">
        <v>0</v>
      </c>
      <c r="EK23" s="368">
        <f>9500*2</f>
        <v>19000</v>
      </c>
      <c r="EL23" s="263">
        <f>DK23+DN23</f>
        <v>19000</v>
      </c>
      <c r="EM23" s="504">
        <f>EJ23+EK23-EL23</f>
        <v>0</v>
      </c>
    </row>
    <row r="24" spans="2:143" ht="15" customHeight="1" x14ac:dyDescent="0.3">
      <c r="B24" s="3" t="s">
        <v>1347</v>
      </c>
      <c r="C24" s="9">
        <v>402</v>
      </c>
      <c r="D24" s="96">
        <v>-30000</v>
      </c>
      <c r="E24" s="95"/>
      <c r="F24" s="37"/>
      <c r="G24" s="38"/>
      <c r="H24" s="144"/>
      <c r="I24" s="77"/>
      <c r="J24" s="137"/>
      <c r="K24" s="144"/>
      <c r="L24" s="77"/>
      <c r="M24" s="137"/>
      <c r="N24" s="95">
        <v>44000</v>
      </c>
      <c r="O24" s="37" t="s">
        <v>339</v>
      </c>
      <c r="P24" s="38">
        <v>45043</v>
      </c>
      <c r="Q24" s="95"/>
      <c r="R24" s="37"/>
      <c r="S24" s="38"/>
      <c r="T24" s="95"/>
      <c r="U24" s="37"/>
      <c r="V24" s="38"/>
      <c r="W24" s="95"/>
      <c r="X24" s="37"/>
      <c r="Y24" s="38"/>
      <c r="Z24" s="95"/>
      <c r="AA24" s="37"/>
      <c r="AB24" s="38"/>
      <c r="AC24" s="95"/>
      <c r="AD24" s="37"/>
      <c r="AE24" s="38"/>
      <c r="AF24" s="95"/>
      <c r="AG24" s="37"/>
      <c r="AH24" s="38"/>
      <c r="AI24" s="95"/>
      <c r="AJ24" s="37"/>
      <c r="AK24" s="38"/>
      <c r="AL24" s="95"/>
      <c r="AM24" s="37"/>
      <c r="AN24" s="38"/>
      <c r="AO24" s="258"/>
      <c r="AP24" s="95"/>
      <c r="AQ24" s="37"/>
      <c r="AR24" s="38"/>
      <c r="AS24" s="95"/>
      <c r="AT24" s="37"/>
      <c r="AU24" s="38"/>
      <c r="AV24" s="95"/>
      <c r="AW24" s="37"/>
      <c r="AX24" s="38"/>
      <c r="AY24" s="157">
        <v>56500</v>
      </c>
      <c r="AZ24" s="37" t="s">
        <v>795</v>
      </c>
      <c r="BA24" s="38">
        <v>45387</v>
      </c>
      <c r="BB24" s="157"/>
      <c r="BC24" s="37"/>
      <c r="BD24" s="38"/>
      <c r="BE24" s="157"/>
      <c r="BF24" s="37"/>
      <c r="BG24" s="38"/>
      <c r="BH24" s="157"/>
      <c r="BI24" s="37"/>
      <c r="BJ24" s="38"/>
      <c r="BK24" s="157"/>
      <c r="BL24" s="37"/>
      <c r="BM24" s="38"/>
      <c r="BN24" s="157"/>
      <c r="BO24" s="37"/>
      <c r="BP24" s="38"/>
      <c r="BQ24" s="157"/>
      <c r="BR24" s="37"/>
      <c r="BS24" s="38"/>
      <c r="BT24" s="157"/>
      <c r="BU24" s="37"/>
      <c r="BV24" s="352"/>
      <c r="BW24" s="95">
        <f>27500+33000</f>
        <v>60500</v>
      </c>
      <c r="BX24" s="37" t="s">
        <v>1104</v>
      </c>
      <c r="BY24" s="38">
        <v>45644</v>
      </c>
      <c r="BZ24" s="350"/>
      <c r="CA24" s="73"/>
      <c r="CB24" s="37"/>
      <c r="CC24" s="38"/>
      <c r="CD24" s="95"/>
      <c r="CE24" s="37"/>
      <c r="CF24" s="38"/>
      <c r="CG24" s="95"/>
      <c r="CH24" s="37"/>
      <c r="CI24" s="38"/>
      <c r="CJ24" s="95"/>
      <c r="CK24" s="37"/>
      <c r="CL24" s="38"/>
      <c r="CM24" s="95"/>
      <c r="CN24" s="37"/>
      <c r="CO24" s="38"/>
      <c r="CP24" s="95">
        <v>33000</v>
      </c>
      <c r="CQ24" s="37" t="s">
        <v>1384</v>
      </c>
      <c r="CR24" s="38">
        <v>45837</v>
      </c>
      <c r="CS24" s="95"/>
      <c r="CT24" s="37"/>
      <c r="CU24" s="38"/>
      <c r="CV24" s="95"/>
      <c r="CW24" s="37"/>
      <c r="CX24" s="38"/>
      <c r="CY24" s="95"/>
      <c r="CZ24" s="37"/>
      <c r="DA24" s="38"/>
      <c r="DB24" s="95"/>
      <c r="DC24" s="37"/>
      <c r="DD24" s="38"/>
      <c r="DE24" s="95"/>
      <c r="DF24" s="37"/>
      <c r="DG24" s="38"/>
      <c r="DH24" s="95"/>
      <c r="DI24" s="37"/>
      <c r="DJ24" s="38"/>
      <c r="DK24" s="95">
        <v>33000</v>
      </c>
      <c r="DL24" s="37" t="s">
        <v>1793</v>
      </c>
      <c r="DM24" s="38">
        <v>46023</v>
      </c>
      <c r="DN24" s="95"/>
      <c r="DO24" s="37"/>
      <c r="DP24" s="38"/>
      <c r="DQ24" s="77"/>
      <c r="DR24" s="265">
        <v>402</v>
      </c>
      <c r="DS24" s="481" t="s">
        <v>1347</v>
      </c>
      <c r="DT24" s="260">
        <f>55500+4500</f>
        <v>60000</v>
      </c>
      <c r="DU24" s="260">
        <f>E24+H24+K24+N24+Q24+T24+W24+Z24+AC24+AF24+AI24+AL24</f>
        <v>44000</v>
      </c>
      <c r="DV24" s="260">
        <f>DT24-DU24</f>
        <v>16000</v>
      </c>
      <c r="DW24" s="260">
        <v>18500</v>
      </c>
      <c r="DX24" s="346">
        <f>DV24+DW24+1500</f>
        <v>36000</v>
      </c>
      <c r="DY24" s="346">
        <f>4000*12</f>
        <v>48000</v>
      </c>
      <c r="DZ24" s="260">
        <f>+AP24+AS24+AV24+AY24+BB24+BE24+BH24+BK24+BN24+BQ24+BT24+BW24</f>
        <v>117000</v>
      </c>
      <c r="EA24" s="374">
        <f>DX24+DY24-DZ24</f>
        <v>-33000</v>
      </c>
      <c r="EB24" s="375">
        <f>5500*12</f>
        <v>66000</v>
      </c>
      <c r="EC24" s="260">
        <f t="shared" ref="EC24:EC26" si="4">CA24+CD24+CG24+CJ24+CM24+CP24+CS24+CV24+CY24+DB24+DE24+DH24</f>
        <v>33000</v>
      </c>
      <c r="ED24" s="378">
        <f>EA24+EB24-EC24</f>
        <v>0</v>
      </c>
      <c r="EE24" s="434"/>
      <c r="EG24" s="265">
        <v>402</v>
      </c>
      <c r="EH24" s="481" t="s">
        <v>1858</v>
      </c>
      <c r="EI24" s="375">
        <f>5500*12</f>
        <v>66000</v>
      </c>
      <c r="EJ24" s="505">
        <v>0</v>
      </c>
      <c r="EK24" s="375">
        <f>5500*2</f>
        <v>11000</v>
      </c>
      <c r="EL24" s="260">
        <f>DK24+DN24</f>
        <v>33000</v>
      </c>
      <c r="EM24" s="540">
        <f>EJ24+EK24-EL24</f>
        <v>-22000</v>
      </c>
    </row>
    <row r="25" spans="2:143" ht="15" customHeight="1" x14ac:dyDescent="0.3">
      <c r="B25" s="3" t="s">
        <v>1348</v>
      </c>
      <c r="C25" s="9">
        <v>403</v>
      </c>
      <c r="D25" s="96">
        <v>-35000</v>
      </c>
      <c r="E25" s="95">
        <v>7000</v>
      </c>
      <c r="F25" s="37" t="s">
        <v>187</v>
      </c>
      <c r="G25" s="38">
        <v>44941</v>
      </c>
      <c r="H25" s="159">
        <v>14000</v>
      </c>
      <c r="I25" s="37" t="s">
        <v>212</v>
      </c>
      <c r="J25" s="38">
        <v>44967</v>
      </c>
      <c r="K25" s="159">
        <v>14000</v>
      </c>
      <c r="L25" s="37" t="s">
        <v>245</v>
      </c>
      <c r="M25" s="38">
        <v>44989</v>
      </c>
      <c r="N25" s="159"/>
      <c r="O25" s="37"/>
      <c r="P25" s="38"/>
      <c r="Q25" s="159"/>
      <c r="R25" s="37"/>
      <c r="S25" s="38"/>
      <c r="T25" s="95">
        <v>14000</v>
      </c>
      <c r="U25" s="37" t="s">
        <v>424</v>
      </c>
      <c r="V25" s="38">
        <v>45081</v>
      </c>
      <c r="W25" s="159"/>
      <c r="X25" s="37"/>
      <c r="Y25" s="38"/>
      <c r="Z25" s="95">
        <v>14000</v>
      </c>
      <c r="AA25" s="37" t="s">
        <v>491</v>
      </c>
      <c r="AB25" s="38">
        <v>45145</v>
      </c>
      <c r="AC25" s="159"/>
      <c r="AD25" s="37"/>
      <c r="AE25" s="38"/>
      <c r="AF25" s="159"/>
      <c r="AG25" s="37"/>
      <c r="AH25" s="38"/>
      <c r="AI25" s="159"/>
      <c r="AJ25" s="37"/>
      <c r="AK25" s="38"/>
      <c r="AL25" s="159"/>
      <c r="AM25" s="37"/>
      <c r="AN25" s="38"/>
      <c r="AO25" s="258"/>
      <c r="AP25" s="159"/>
      <c r="AQ25" s="37"/>
      <c r="AR25" s="38"/>
      <c r="AS25" s="159"/>
      <c r="AT25" s="37"/>
      <c r="AU25" s="38"/>
      <c r="AV25" s="159"/>
      <c r="AW25" s="37"/>
      <c r="AX25" s="38"/>
      <c r="AY25" s="285">
        <v>63000</v>
      </c>
      <c r="AZ25" s="37" t="s">
        <v>882</v>
      </c>
      <c r="BA25" s="38">
        <v>45411</v>
      </c>
      <c r="BB25" s="159"/>
      <c r="BC25" s="37"/>
      <c r="BD25" s="38"/>
      <c r="BE25" s="159"/>
      <c r="BF25" s="37"/>
      <c r="BG25" s="38"/>
      <c r="BH25" s="159"/>
      <c r="BI25" s="37"/>
      <c r="BJ25" s="38"/>
      <c r="BK25" s="159"/>
      <c r="BL25" s="37"/>
      <c r="BM25" s="38"/>
      <c r="BN25" s="159"/>
      <c r="BO25" s="37"/>
      <c r="BP25" s="38"/>
      <c r="BQ25" s="159"/>
      <c r="BR25" s="37"/>
      <c r="BS25" s="38"/>
      <c r="BT25" s="159"/>
      <c r="BU25" s="37"/>
      <c r="BV25" s="352"/>
      <c r="BW25" s="159"/>
      <c r="BX25" s="37"/>
      <c r="BY25" s="38"/>
      <c r="BZ25" s="350"/>
      <c r="CA25" s="106"/>
      <c r="CB25" s="37"/>
      <c r="CC25" s="38"/>
      <c r="CD25" s="159"/>
      <c r="CE25" s="37"/>
      <c r="CF25" s="38"/>
      <c r="CG25" s="159"/>
      <c r="CH25" s="37"/>
      <c r="CI25" s="38"/>
      <c r="CJ25" s="159"/>
      <c r="CK25" s="37"/>
      <c r="CL25" s="38"/>
      <c r="CM25" s="159"/>
      <c r="CN25" s="37"/>
      <c r="CO25" s="38"/>
      <c r="CP25" s="159"/>
      <c r="CQ25" s="37"/>
      <c r="CR25" s="38"/>
      <c r="CS25" s="159"/>
      <c r="CT25" s="37"/>
      <c r="CU25" s="38"/>
      <c r="CV25" s="421">
        <v>112000</v>
      </c>
      <c r="CW25" s="37" t="s">
        <v>1483</v>
      </c>
      <c r="CX25" s="38">
        <v>45900</v>
      </c>
      <c r="CY25" s="159"/>
      <c r="CZ25" s="37"/>
      <c r="DA25" s="38"/>
      <c r="DB25" s="159"/>
      <c r="DC25" s="37"/>
      <c r="DD25" s="38"/>
      <c r="DE25" s="95">
        <v>21000</v>
      </c>
      <c r="DF25" s="37" t="s">
        <v>1665</v>
      </c>
      <c r="DG25" s="38">
        <v>45966</v>
      </c>
      <c r="DH25" s="95"/>
      <c r="DI25" s="37"/>
      <c r="DJ25" s="38"/>
      <c r="DK25" s="95"/>
      <c r="DL25" s="37"/>
      <c r="DM25" s="38"/>
      <c r="DN25" s="95"/>
      <c r="DO25" s="37"/>
      <c r="DP25" s="38"/>
      <c r="DQ25" s="77"/>
      <c r="DR25" s="265">
        <v>403</v>
      </c>
      <c r="DS25" s="481" t="s">
        <v>1348</v>
      </c>
      <c r="DT25" s="260">
        <f>7000*12</f>
        <v>84000</v>
      </c>
      <c r="DU25" s="260">
        <f>E25+H25+K25+N25+Q25+T25+W25+Z25+AC25+AF25+AI25+AL25</f>
        <v>63000</v>
      </c>
      <c r="DV25" s="260">
        <f>DT25-DU25</f>
        <v>21000</v>
      </c>
      <c r="DW25" s="260">
        <v>14000</v>
      </c>
      <c r="DX25" s="277">
        <f>DV25+DW25</f>
        <v>35000</v>
      </c>
      <c r="DY25" s="277">
        <f>7000*12</f>
        <v>84000</v>
      </c>
      <c r="DZ25" s="260">
        <f>+AP25+AS25+AV25+AY25+BB25+BE25+BH25+BK25+BN25+BQ25+BT25+BW25</f>
        <v>63000</v>
      </c>
      <c r="EA25" s="363">
        <f>DX25+DY25-DZ25</f>
        <v>56000</v>
      </c>
      <c r="EB25" s="369">
        <f>7000*12</f>
        <v>84000</v>
      </c>
      <c r="EC25" s="260">
        <f t="shared" si="4"/>
        <v>133000</v>
      </c>
      <c r="ED25" s="338">
        <f>EA25+EB25-EC25</f>
        <v>7000</v>
      </c>
      <c r="EE25" s="434"/>
      <c r="EG25" s="265">
        <v>403</v>
      </c>
      <c r="EH25" s="481" t="s">
        <v>1348</v>
      </c>
      <c r="EI25" s="369">
        <f>7000*12</f>
        <v>84000</v>
      </c>
      <c r="EJ25" s="505">
        <v>7000</v>
      </c>
      <c r="EK25" s="369">
        <f>7000*2</f>
        <v>14000</v>
      </c>
      <c r="EL25" s="260">
        <f>DK25+DN25</f>
        <v>0</v>
      </c>
      <c r="EM25" s="505">
        <f>EJ25+EK25-EL25</f>
        <v>21000</v>
      </c>
    </row>
    <row r="26" spans="2:143" ht="15" customHeight="1" thickBot="1" x14ac:dyDescent="0.35">
      <c r="B26" s="3" t="s">
        <v>1349</v>
      </c>
      <c r="C26" s="9">
        <v>404</v>
      </c>
      <c r="D26" s="96">
        <v>-127500</v>
      </c>
      <c r="E26" s="95"/>
      <c r="F26" s="11"/>
      <c r="G26" s="2"/>
      <c r="H26" s="145"/>
      <c r="J26" s="146"/>
      <c r="K26" s="145"/>
      <c r="M26" s="146"/>
      <c r="N26" s="145"/>
      <c r="P26" s="146"/>
      <c r="Q26" s="145"/>
      <c r="S26" s="146"/>
      <c r="T26" s="145"/>
      <c r="V26" s="146"/>
      <c r="W26" s="145"/>
      <c r="Y26" s="146"/>
      <c r="Z26" s="145"/>
      <c r="AB26" s="146"/>
      <c r="AC26" s="145"/>
      <c r="AE26" s="146"/>
      <c r="AF26" s="145"/>
      <c r="AH26" s="146"/>
      <c r="AI26" s="145"/>
      <c r="AK26" s="146"/>
      <c r="AL26" s="145"/>
      <c r="AN26" s="146"/>
      <c r="AO26" s="257"/>
      <c r="AP26" s="157">
        <f>7500*14</f>
        <v>105000</v>
      </c>
      <c r="AQ26" s="272" t="s">
        <v>692</v>
      </c>
      <c r="AR26" s="38">
        <v>45311</v>
      </c>
      <c r="AS26" s="268"/>
      <c r="AT26" s="272"/>
      <c r="AU26" s="38"/>
      <c r="AV26" s="268"/>
      <c r="AW26" s="272"/>
      <c r="AX26" s="38"/>
      <c r="AY26" s="268"/>
      <c r="AZ26" s="272"/>
      <c r="BA26" s="38"/>
      <c r="BB26" s="268"/>
      <c r="BC26" s="272"/>
      <c r="BD26" s="38"/>
      <c r="BE26" s="268"/>
      <c r="BF26" s="272"/>
      <c r="BG26" s="38"/>
      <c r="BH26" s="268"/>
      <c r="BI26" s="272"/>
      <c r="BJ26" s="38"/>
      <c r="BK26" s="268"/>
      <c r="BL26" s="272"/>
      <c r="BM26" s="38"/>
      <c r="BN26" s="268"/>
      <c r="BO26" s="272"/>
      <c r="BP26" s="38"/>
      <c r="BQ26" s="268"/>
      <c r="BR26" s="272"/>
      <c r="BS26" s="38"/>
      <c r="BT26" s="268"/>
      <c r="BU26" s="272"/>
      <c r="BV26" s="352"/>
      <c r="BW26" s="268"/>
      <c r="BX26" s="272"/>
      <c r="BY26" s="38"/>
      <c r="BZ26" s="350"/>
      <c r="CA26" s="92"/>
      <c r="CB26" s="272"/>
      <c r="CC26" s="38"/>
      <c r="CD26" s="268"/>
      <c r="CE26" s="272"/>
      <c r="CF26" s="38"/>
      <c r="CG26" s="268"/>
      <c r="CH26" s="272"/>
      <c r="CI26" s="38"/>
      <c r="CJ26" s="268"/>
      <c r="CK26" s="272"/>
      <c r="CL26" s="38"/>
      <c r="CM26" s="268"/>
      <c r="CN26" s="272"/>
      <c r="CO26" s="38"/>
      <c r="CP26" s="268"/>
      <c r="CQ26" s="272"/>
      <c r="CR26" s="38"/>
      <c r="CS26" s="268"/>
      <c r="CT26" s="272"/>
      <c r="CU26" s="38"/>
      <c r="CV26" s="421">
        <v>172500</v>
      </c>
      <c r="CW26" s="37" t="s">
        <v>1484</v>
      </c>
      <c r="CX26" s="38">
        <v>45900</v>
      </c>
      <c r="CY26" s="159">
        <v>7500</v>
      </c>
      <c r="CZ26" s="37" t="s">
        <v>1497</v>
      </c>
      <c r="DA26" s="38">
        <v>45902</v>
      </c>
      <c r="DB26" s="159"/>
      <c r="DC26" s="37"/>
      <c r="DD26" s="38"/>
      <c r="DE26" s="159"/>
      <c r="DF26" s="37"/>
      <c r="DG26" s="38"/>
      <c r="DH26" s="159"/>
      <c r="DI26" s="37"/>
      <c r="DJ26" s="38"/>
      <c r="DK26" s="159"/>
      <c r="DL26" s="37"/>
      <c r="DM26" s="38"/>
      <c r="DN26" s="159"/>
      <c r="DO26" s="37"/>
      <c r="DP26" s="38"/>
      <c r="DR26" s="266">
        <v>404</v>
      </c>
      <c r="DS26" s="482" t="s">
        <v>1349</v>
      </c>
      <c r="DT26" s="267">
        <f>7500*12</f>
        <v>90000</v>
      </c>
      <c r="DU26" s="267">
        <f>E26+H26+K26+N26+Q26+T26+W26+Z26+AC26+AF26+AI26+AL26</f>
        <v>0</v>
      </c>
      <c r="DV26" s="267">
        <f>DT26-DU26</f>
        <v>90000</v>
      </c>
      <c r="DW26" s="267">
        <v>37500</v>
      </c>
      <c r="DX26" s="339">
        <f>DV26+DW26</f>
        <v>127500</v>
      </c>
      <c r="DY26" s="339">
        <f>7500*12</f>
        <v>90000</v>
      </c>
      <c r="DZ26" s="267">
        <f>+AP26+AS26+AV26+AY26+BB26+BE26+BH26+BK26+BN26+BQ26+BT26+BW26</f>
        <v>105000</v>
      </c>
      <c r="EA26" s="364">
        <f>DX26+DY26-DZ26</f>
        <v>112500</v>
      </c>
      <c r="EB26" s="370">
        <f>7500*12</f>
        <v>90000</v>
      </c>
      <c r="EC26" s="267">
        <f t="shared" si="4"/>
        <v>180000</v>
      </c>
      <c r="ED26" s="340">
        <f>EA26+EB26-EC26</f>
        <v>22500</v>
      </c>
      <c r="EE26" s="435"/>
      <c r="EG26" s="266">
        <v>404</v>
      </c>
      <c r="EH26" s="482" t="s">
        <v>1349</v>
      </c>
      <c r="EI26" s="511">
        <f>7500*12</f>
        <v>90000</v>
      </c>
      <c r="EJ26" s="506">
        <v>22500</v>
      </c>
      <c r="EK26" s="511">
        <f>7500*2</f>
        <v>15000</v>
      </c>
      <c r="EL26" s="267">
        <f>DK26+DN26</f>
        <v>0</v>
      </c>
      <c r="EM26" s="506">
        <f>EJ26+EK26-EL26</f>
        <v>37500</v>
      </c>
    </row>
    <row r="27" spans="2:143" ht="5.25" customHeight="1" thickBot="1" x14ac:dyDescent="0.35">
      <c r="B27" s="13"/>
      <c r="C27" s="14"/>
      <c r="D27" s="66"/>
      <c r="E27" s="40"/>
      <c r="F27" s="15"/>
      <c r="G27" s="16"/>
      <c r="H27" s="142"/>
      <c r="I27" s="141"/>
      <c r="J27" s="143"/>
      <c r="K27" s="142"/>
      <c r="L27" s="141"/>
      <c r="M27" s="143"/>
      <c r="N27" s="142"/>
      <c r="O27" s="141"/>
      <c r="P27" s="143"/>
      <c r="Q27" s="142"/>
      <c r="R27" s="141"/>
      <c r="S27" s="143"/>
      <c r="T27" s="142"/>
      <c r="U27" s="141"/>
      <c r="V27" s="143"/>
      <c r="W27" s="142"/>
      <c r="X27" s="141"/>
      <c r="Y27" s="143"/>
      <c r="Z27" s="142"/>
      <c r="AA27" s="141"/>
      <c r="AB27" s="143"/>
      <c r="AC27" s="142"/>
      <c r="AD27" s="141"/>
      <c r="AE27" s="143"/>
      <c r="AF27" s="142"/>
      <c r="AG27" s="141"/>
      <c r="AH27" s="143"/>
      <c r="AI27" s="142"/>
      <c r="AJ27" s="141"/>
      <c r="AK27" s="143"/>
      <c r="AL27" s="142"/>
      <c r="AM27" s="141"/>
      <c r="AN27" s="143"/>
      <c r="AO27" s="257"/>
      <c r="AP27" s="142"/>
      <c r="AQ27" s="141"/>
      <c r="AR27" s="143"/>
      <c r="AS27" s="142"/>
      <c r="AT27" s="141"/>
      <c r="AU27" s="143"/>
      <c r="AV27" s="142"/>
      <c r="AW27" s="141"/>
      <c r="AX27" s="143"/>
      <c r="AY27" s="142"/>
      <c r="AZ27" s="141"/>
      <c r="BA27" s="143"/>
      <c r="BB27" s="142"/>
      <c r="BC27" s="141"/>
      <c r="BD27" s="143"/>
      <c r="BE27" s="142"/>
      <c r="BF27" s="141"/>
      <c r="BG27" s="143"/>
      <c r="BH27" s="142"/>
      <c r="BI27" s="141"/>
      <c r="BJ27" s="143"/>
      <c r="BK27" s="142"/>
      <c r="BL27" s="141"/>
      <c r="BM27" s="143"/>
      <c r="BN27" s="142"/>
      <c r="BO27" s="141"/>
      <c r="BP27" s="143"/>
      <c r="BQ27" s="142"/>
      <c r="BR27" s="141"/>
      <c r="BS27" s="143"/>
      <c r="BT27" s="142"/>
      <c r="BU27" s="141"/>
      <c r="BV27" s="141"/>
      <c r="BW27" s="142"/>
      <c r="BX27" s="141"/>
      <c r="BY27" s="143"/>
      <c r="BZ27" s="349"/>
      <c r="CA27" s="141"/>
      <c r="CB27" s="141"/>
      <c r="CC27" s="143"/>
      <c r="CD27" s="142"/>
      <c r="CE27" s="141"/>
      <c r="CF27" s="143"/>
      <c r="CG27" s="142"/>
      <c r="CH27" s="141"/>
      <c r="CI27" s="143"/>
      <c r="CJ27" s="142"/>
      <c r="CK27" s="141"/>
      <c r="CL27" s="143"/>
      <c r="CM27" s="142"/>
      <c r="CN27" s="141"/>
      <c r="CO27" s="143"/>
      <c r="CP27" s="142"/>
      <c r="CQ27" s="141"/>
      <c r="CR27" s="143"/>
      <c r="CS27" s="142"/>
      <c r="CT27" s="141"/>
      <c r="CU27" s="143"/>
      <c r="CV27" s="142"/>
      <c r="CW27" s="141"/>
      <c r="CX27" s="143"/>
      <c r="CY27" s="142"/>
      <c r="CZ27" s="141"/>
      <c r="DA27" s="143"/>
      <c r="DB27" s="142"/>
      <c r="DC27" s="141"/>
      <c r="DD27" s="143"/>
      <c r="DE27" s="142"/>
      <c r="DF27" s="141"/>
      <c r="DG27" s="143"/>
      <c r="DH27" s="142"/>
      <c r="DI27" s="141"/>
      <c r="DJ27" s="143"/>
      <c r="DK27" s="142"/>
      <c r="DL27" s="141"/>
      <c r="DM27" s="143"/>
      <c r="DN27" s="142"/>
      <c r="DO27" s="141"/>
      <c r="DP27" s="143"/>
      <c r="DQ27" s="244"/>
      <c r="DR27" s="261"/>
      <c r="DS27" s="483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432"/>
      <c r="EG27" s="261"/>
      <c r="EH27" s="483"/>
      <c r="EI27" s="261"/>
      <c r="EJ27" s="49"/>
      <c r="EM27" s="49"/>
    </row>
    <row r="28" spans="2:143" ht="15" customHeight="1" x14ac:dyDescent="0.3">
      <c r="B28" s="3" t="s">
        <v>1350</v>
      </c>
      <c r="C28" s="9">
        <v>501</v>
      </c>
      <c r="D28" s="113">
        <v>-18500</v>
      </c>
      <c r="E28" s="95"/>
      <c r="F28" s="37"/>
      <c r="G28" s="38"/>
      <c r="H28" s="144"/>
      <c r="I28" s="77"/>
      <c r="J28" s="137"/>
      <c r="K28" s="144"/>
      <c r="L28" s="77"/>
      <c r="M28" s="137"/>
      <c r="N28" s="95">
        <v>16000</v>
      </c>
      <c r="O28" s="37" t="s">
        <v>331</v>
      </c>
      <c r="P28" s="38">
        <v>45027</v>
      </c>
      <c r="Q28" s="95">
        <v>5500</v>
      </c>
      <c r="R28" s="37" t="s">
        <v>367</v>
      </c>
      <c r="S28" s="38">
        <v>45057</v>
      </c>
      <c r="T28" s="95"/>
      <c r="U28" s="37"/>
      <c r="V28" s="38"/>
      <c r="W28" s="95">
        <v>5500</v>
      </c>
      <c r="X28" s="37" t="s">
        <v>460</v>
      </c>
      <c r="Y28" s="38">
        <v>45118</v>
      </c>
      <c r="Z28" s="95"/>
      <c r="AA28" s="37"/>
      <c r="AB28" s="38"/>
      <c r="AC28" s="95"/>
      <c r="AD28" s="37"/>
      <c r="AE28" s="38"/>
      <c r="AF28" s="95">
        <v>16500</v>
      </c>
      <c r="AG28" s="37" t="s">
        <v>587</v>
      </c>
      <c r="AH28" s="38">
        <v>45214</v>
      </c>
      <c r="AI28" s="95">
        <v>6000</v>
      </c>
      <c r="AJ28" s="37" t="s">
        <v>621</v>
      </c>
      <c r="AK28" s="38">
        <v>45246</v>
      </c>
      <c r="AL28" s="95"/>
      <c r="AM28" s="37"/>
      <c r="AN28" s="38"/>
      <c r="AO28" s="258"/>
      <c r="AP28" s="95">
        <v>16500</v>
      </c>
      <c r="AQ28" s="272" t="s">
        <v>695</v>
      </c>
      <c r="AR28" s="38">
        <v>45306</v>
      </c>
      <c r="AS28" s="303">
        <v>6000</v>
      </c>
      <c r="AT28" s="333" t="s">
        <v>972</v>
      </c>
      <c r="AU28" s="332">
        <v>45342</v>
      </c>
      <c r="AV28" s="95"/>
      <c r="AW28" s="272"/>
      <c r="AX28" s="38"/>
      <c r="AY28" s="95"/>
      <c r="AZ28" s="272"/>
      <c r="BA28" s="38"/>
      <c r="BB28" s="95"/>
      <c r="BC28" s="272"/>
      <c r="BD28" s="38"/>
      <c r="BE28" s="286">
        <v>5500</v>
      </c>
      <c r="BF28" s="347" t="s">
        <v>950</v>
      </c>
      <c r="BG28" s="290">
        <v>45473</v>
      </c>
      <c r="BH28" s="159">
        <v>33000</v>
      </c>
      <c r="BI28" s="160" t="s">
        <v>969</v>
      </c>
      <c r="BJ28" s="161">
        <v>45502</v>
      </c>
      <c r="BK28" s="159">
        <v>12000</v>
      </c>
      <c r="BL28" s="37" t="s">
        <v>1118</v>
      </c>
      <c r="BM28" s="38">
        <v>45523</v>
      </c>
      <c r="BN28" s="159"/>
      <c r="BO28" s="37"/>
      <c r="BP28" s="38"/>
      <c r="BQ28" s="159"/>
      <c r="BR28" s="37"/>
      <c r="BS28" s="38"/>
      <c r="BT28" s="159"/>
      <c r="BU28" s="37"/>
      <c r="BV28" s="352"/>
      <c r="BW28" s="159"/>
      <c r="BX28" s="37"/>
      <c r="BY28" s="38"/>
      <c r="BZ28" s="350"/>
      <c r="CA28" s="106"/>
      <c r="CB28" s="37"/>
      <c r="CC28" s="38"/>
      <c r="CD28" s="159"/>
      <c r="CE28" s="37"/>
      <c r="CF28" s="38"/>
      <c r="CG28" s="159">
        <v>33000</v>
      </c>
      <c r="CH28" s="37" t="s">
        <v>1224</v>
      </c>
      <c r="CI28" s="38">
        <v>45719</v>
      </c>
      <c r="CJ28" s="159"/>
      <c r="CK28" s="37"/>
      <c r="CL28" s="38"/>
      <c r="CM28" s="159"/>
      <c r="CN28" s="37"/>
      <c r="CO28" s="38"/>
      <c r="CP28" s="159"/>
      <c r="CQ28" s="37"/>
      <c r="CR28" s="38"/>
      <c r="CS28" s="159"/>
      <c r="CT28" s="37"/>
      <c r="CU28" s="38"/>
      <c r="CV28" s="421">
        <f>20000+5500+5500+5500+5500</f>
        <v>42000</v>
      </c>
      <c r="CW28" s="37" t="s">
        <v>1488</v>
      </c>
      <c r="CX28" s="38">
        <v>45900</v>
      </c>
      <c r="CY28" s="159"/>
      <c r="CZ28" s="37"/>
      <c r="DA28" s="38"/>
      <c r="DB28" s="95">
        <v>16500</v>
      </c>
      <c r="DC28" s="37" t="s">
        <v>1621</v>
      </c>
      <c r="DD28" s="38">
        <v>45956</v>
      </c>
      <c r="DE28" s="95">
        <v>20500</v>
      </c>
      <c r="DF28" s="37" t="s">
        <v>1674</v>
      </c>
      <c r="DG28" s="38">
        <v>45983</v>
      </c>
      <c r="DH28" s="95"/>
      <c r="DI28" s="37"/>
      <c r="DJ28" s="38"/>
      <c r="DK28" s="95"/>
      <c r="DL28" s="37"/>
      <c r="DM28" s="38"/>
      <c r="DN28" s="95"/>
      <c r="DO28" s="37"/>
      <c r="DP28" s="38"/>
      <c r="DQ28" s="77"/>
      <c r="DR28" s="262">
        <v>501</v>
      </c>
      <c r="DS28" s="480" t="s">
        <v>1350</v>
      </c>
      <c r="DT28" s="263">
        <f>16000+44000+8000</f>
        <v>68000</v>
      </c>
      <c r="DU28" s="263">
        <f>E28+H28+K28+N28+Q28+T28+W28+Z28+AC28+AF28+AI28+AL28</f>
        <v>49500</v>
      </c>
      <c r="DV28" s="263">
        <f>DT28-DU28</f>
        <v>18500</v>
      </c>
      <c r="DW28" s="263">
        <v>0</v>
      </c>
      <c r="DX28" s="276">
        <f>DV28+DW28</f>
        <v>18500</v>
      </c>
      <c r="DY28" s="276">
        <f>7500*12</f>
        <v>90000</v>
      </c>
      <c r="DZ28" s="263">
        <f>+AP28+AS28+AV28+AY28+BB28+BE28+BH28+BK28+BN28+BQ28+BT28+BW28</f>
        <v>73000</v>
      </c>
      <c r="EA28" s="362">
        <f>DX28+DY28-DZ28</f>
        <v>35500</v>
      </c>
      <c r="EB28" s="371">
        <f>7500+7500+7500+7500+7500+7500+5500+5500+5500+7500+7500+7500</f>
        <v>84000</v>
      </c>
      <c r="EC28" s="263">
        <f>CA28+CD28+CG28+CJ28+CM28+CP28+CS28+CV28+CY28+DB28+DE28+DH28</f>
        <v>112000</v>
      </c>
      <c r="ED28" s="264">
        <f>EA28+EB28-EC28</f>
        <v>7500</v>
      </c>
      <c r="EE28" s="433"/>
      <c r="EG28" s="262">
        <v>501</v>
      </c>
      <c r="EH28" s="480" t="s">
        <v>1817</v>
      </c>
      <c r="EI28" s="513">
        <f>7500*12</f>
        <v>90000</v>
      </c>
      <c r="EJ28" s="504">
        <v>7500</v>
      </c>
      <c r="EK28" s="513">
        <f>7500*2</f>
        <v>15000</v>
      </c>
      <c r="EL28" s="263">
        <f>DK28+DN28</f>
        <v>0</v>
      </c>
      <c r="EM28" s="504">
        <f>EJ28+EK28-EL28</f>
        <v>22500</v>
      </c>
    </row>
    <row r="29" spans="2:143" ht="15" customHeight="1" x14ac:dyDescent="0.3">
      <c r="B29" s="3" t="s">
        <v>1351</v>
      </c>
      <c r="C29" s="9">
        <v>502</v>
      </c>
      <c r="D29" s="97">
        <v>0</v>
      </c>
      <c r="E29" s="95"/>
      <c r="F29" s="37"/>
      <c r="G29" s="38"/>
      <c r="H29" s="95">
        <v>11000</v>
      </c>
      <c r="I29" s="37" t="s">
        <v>221</v>
      </c>
      <c r="J29" s="38">
        <v>44983</v>
      </c>
      <c r="K29" s="95">
        <v>5500</v>
      </c>
      <c r="L29" s="37" t="s">
        <v>276</v>
      </c>
      <c r="M29" s="38">
        <v>45016</v>
      </c>
      <c r="N29" s="95"/>
      <c r="O29" s="37"/>
      <c r="P29" s="38"/>
      <c r="Q29" s="95">
        <v>11000</v>
      </c>
      <c r="R29" s="37" t="s">
        <v>373</v>
      </c>
      <c r="S29" s="38">
        <v>45066</v>
      </c>
      <c r="T29" s="95"/>
      <c r="U29" s="37"/>
      <c r="V29" s="38"/>
      <c r="W29" s="95"/>
      <c r="X29" s="37"/>
      <c r="Y29" s="38"/>
      <c r="Z29" s="95"/>
      <c r="AA29" s="37"/>
      <c r="AB29" s="38"/>
      <c r="AC29" s="95">
        <v>22000</v>
      </c>
      <c r="AD29" s="37" t="s">
        <v>550</v>
      </c>
      <c r="AE29" s="38">
        <v>45199</v>
      </c>
      <c r="AF29" s="95"/>
      <c r="AG29" s="37"/>
      <c r="AH29" s="38"/>
      <c r="AI29" s="95"/>
      <c r="AJ29" s="37"/>
      <c r="AK29" s="38"/>
      <c r="AL29" s="95">
        <f>5500*3</f>
        <v>16500</v>
      </c>
      <c r="AM29" s="37" t="s">
        <v>671</v>
      </c>
      <c r="AN29" s="38">
        <v>45291</v>
      </c>
      <c r="AO29" s="258"/>
      <c r="AP29" s="95"/>
      <c r="AQ29" s="37"/>
      <c r="AR29" s="38"/>
      <c r="AS29" s="95"/>
      <c r="AT29" s="37"/>
      <c r="AU29" s="38"/>
      <c r="AV29" s="95">
        <v>16500</v>
      </c>
      <c r="AW29" s="37" t="s">
        <v>808</v>
      </c>
      <c r="AX29" s="38">
        <v>45382</v>
      </c>
      <c r="AY29" s="157">
        <v>0</v>
      </c>
      <c r="AZ29" s="37"/>
      <c r="BA29" s="38"/>
      <c r="BB29" s="157"/>
      <c r="BC29" s="37"/>
      <c r="BD29" s="38"/>
      <c r="BE29" s="303">
        <f>5500*3</f>
        <v>16500</v>
      </c>
      <c r="BF29" s="331" t="s">
        <v>1111</v>
      </c>
      <c r="BG29" s="332">
        <v>45473</v>
      </c>
      <c r="BH29" s="157"/>
      <c r="BI29" s="37"/>
      <c r="BJ29" s="38"/>
      <c r="BK29" s="157"/>
      <c r="BL29" s="37"/>
      <c r="BM29" s="38"/>
      <c r="BN29" s="157"/>
      <c r="BO29" s="37"/>
      <c r="BP29" s="273"/>
      <c r="BQ29" s="157"/>
      <c r="BR29" s="37"/>
      <c r="BS29" s="38"/>
      <c r="BT29" s="157"/>
      <c r="BU29" s="37"/>
      <c r="BV29" s="352"/>
      <c r="BW29" s="303">
        <v>33000</v>
      </c>
      <c r="BX29" s="331" t="s">
        <v>1113</v>
      </c>
      <c r="BY29" s="332">
        <v>45656</v>
      </c>
      <c r="BZ29" s="357"/>
      <c r="CA29" s="106"/>
      <c r="CB29" s="160"/>
      <c r="CC29" s="161"/>
      <c r="CD29" s="159"/>
      <c r="CE29" s="160"/>
      <c r="CF29" s="161"/>
      <c r="CG29" s="159"/>
      <c r="CH29" s="160"/>
      <c r="CI29" s="161"/>
      <c r="CJ29" s="159"/>
      <c r="CK29" s="160"/>
      <c r="CL29" s="161"/>
      <c r="CM29" s="159"/>
      <c r="CN29" s="160"/>
      <c r="CO29" s="161"/>
      <c r="CP29" s="159"/>
      <c r="CQ29" s="160"/>
      <c r="CR29" s="161"/>
      <c r="CS29" s="159">
        <v>38500</v>
      </c>
      <c r="CT29" s="37" t="s">
        <v>1430</v>
      </c>
      <c r="CU29" s="38">
        <v>45869</v>
      </c>
      <c r="CV29" s="421">
        <v>5500</v>
      </c>
      <c r="CW29" s="37" t="s">
        <v>1491</v>
      </c>
      <c r="CX29" s="38">
        <v>45900</v>
      </c>
      <c r="CY29" s="159">
        <v>5500</v>
      </c>
      <c r="CZ29" s="37" t="s">
        <v>1531</v>
      </c>
      <c r="DA29" s="38">
        <v>45930</v>
      </c>
      <c r="DB29" s="159"/>
      <c r="DC29" s="37"/>
      <c r="DD29" s="38"/>
      <c r="DE29" s="159"/>
      <c r="DF29" s="37"/>
      <c r="DG29" s="38"/>
      <c r="DH29" s="159"/>
      <c r="DI29" s="37"/>
      <c r="DJ29" s="38"/>
      <c r="DK29" s="159"/>
      <c r="DL29" s="37"/>
      <c r="DM29" s="38"/>
      <c r="DN29" s="159"/>
      <c r="DO29" s="37"/>
      <c r="DP29" s="38"/>
      <c r="DQ29" s="77"/>
      <c r="DR29" s="265">
        <v>502</v>
      </c>
      <c r="DS29" s="481" t="s">
        <v>1351</v>
      </c>
      <c r="DT29" s="260">
        <f>5500*12</f>
        <v>66000</v>
      </c>
      <c r="DU29" s="260">
        <f>E29+H29+K29+N29+Q29+T29+W29+Z29+AC29+AF29+AI29+AL29</f>
        <v>66000</v>
      </c>
      <c r="DV29" s="260">
        <f>DT29-DU29</f>
        <v>0</v>
      </c>
      <c r="DW29" s="260">
        <v>0</v>
      </c>
      <c r="DX29" s="277">
        <f>DV29+DW29</f>
        <v>0</v>
      </c>
      <c r="DY29" s="277">
        <f>5500*12</f>
        <v>66000</v>
      </c>
      <c r="DZ29" s="260">
        <f>+AP29+AS29+AV29+AY29+BB29+BE29+BH29+BK29+BN29+BQ29+BT29+BW29</f>
        <v>66000</v>
      </c>
      <c r="EA29" s="363">
        <f>DX29+DY29-DZ29</f>
        <v>0</v>
      </c>
      <c r="EB29" s="369">
        <f>5500*12</f>
        <v>66000</v>
      </c>
      <c r="EC29" s="260">
        <f t="shared" ref="EC29:EC31" si="5">CA29+CD29+CG29+CJ29+CM29+CP29+CS29+CV29+CY29+DB29+DE29+DH29</f>
        <v>49500</v>
      </c>
      <c r="ED29" s="338">
        <f>EA29+EB29-EC29</f>
        <v>16500</v>
      </c>
      <c r="EE29" s="434"/>
      <c r="EG29" s="265">
        <v>502</v>
      </c>
      <c r="EH29" s="481" t="s">
        <v>1351</v>
      </c>
      <c r="EI29" s="512">
        <f>5500*12</f>
        <v>66000</v>
      </c>
      <c r="EJ29" s="505">
        <v>16500</v>
      </c>
      <c r="EK29" s="512">
        <f>5500*2</f>
        <v>11000</v>
      </c>
      <c r="EL29" s="260">
        <f>DK29+DN29</f>
        <v>0</v>
      </c>
      <c r="EM29" s="505">
        <f>EJ29+EK29-EL29</f>
        <v>27500</v>
      </c>
    </row>
    <row r="30" spans="2:143" ht="15" customHeight="1" x14ac:dyDescent="0.3">
      <c r="B30" s="3" t="s">
        <v>1352</v>
      </c>
      <c r="C30" s="9">
        <v>503</v>
      </c>
      <c r="D30" s="96">
        <v>-28000</v>
      </c>
      <c r="E30" s="95"/>
      <c r="F30" s="37"/>
      <c r="G30" s="38"/>
      <c r="H30" s="95">
        <v>14000</v>
      </c>
      <c r="I30" s="37" t="s">
        <v>210</v>
      </c>
      <c r="J30" s="38">
        <v>44966</v>
      </c>
      <c r="K30" s="95"/>
      <c r="L30" s="37"/>
      <c r="M30" s="38" t="s">
        <v>274</v>
      </c>
      <c r="N30" s="95"/>
      <c r="O30" s="37"/>
      <c r="P30" s="38"/>
      <c r="Q30" s="95"/>
      <c r="R30" s="37"/>
      <c r="S30" s="38"/>
      <c r="T30" s="95"/>
      <c r="U30" s="37"/>
      <c r="V30" s="38"/>
      <c r="W30" s="95"/>
      <c r="X30" s="37"/>
      <c r="Y30" s="38"/>
      <c r="Z30" s="95">
        <v>33000</v>
      </c>
      <c r="AA30" s="37" t="s">
        <v>500</v>
      </c>
      <c r="AB30" s="38">
        <v>45149</v>
      </c>
      <c r="AC30" s="95"/>
      <c r="AD30" s="37"/>
      <c r="AE30" s="38"/>
      <c r="AF30" s="95"/>
      <c r="AG30" s="37"/>
      <c r="AH30" s="38"/>
      <c r="AI30" s="95"/>
      <c r="AJ30" s="37"/>
      <c r="AK30" s="38"/>
      <c r="AL30" s="95"/>
      <c r="AM30" s="37"/>
      <c r="AN30" s="38"/>
      <c r="AO30" s="258"/>
      <c r="AP30" s="95">
        <v>28000</v>
      </c>
      <c r="AQ30" s="272" t="s">
        <v>693</v>
      </c>
      <c r="AR30" s="38">
        <v>45309</v>
      </c>
      <c r="AS30" s="95"/>
      <c r="AT30" s="272"/>
      <c r="AU30" s="38"/>
      <c r="AV30" s="95"/>
      <c r="AW30" s="272"/>
      <c r="AX30" s="38"/>
      <c r="AY30" s="95"/>
      <c r="AZ30" s="272"/>
      <c r="BA30" s="38"/>
      <c r="BB30" s="95"/>
      <c r="BC30" s="272"/>
      <c r="BD30" s="38"/>
      <c r="BE30" s="95"/>
      <c r="BF30" s="272"/>
      <c r="BG30" s="38"/>
      <c r="BH30" s="95"/>
      <c r="BI30" s="272"/>
      <c r="BJ30" s="38"/>
      <c r="BK30" s="95"/>
      <c r="BL30" s="272"/>
      <c r="BM30" s="38"/>
      <c r="BN30" s="95"/>
      <c r="BO30" s="272"/>
      <c r="BP30" s="38"/>
      <c r="BQ30" s="95">
        <v>70000</v>
      </c>
      <c r="BR30" s="37" t="s">
        <v>1068</v>
      </c>
      <c r="BS30" s="38">
        <v>45573</v>
      </c>
      <c r="BT30" s="95"/>
      <c r="BU30" s="272"/>
      <c r="BV30" s="352"/>
      <c r="BW30" s="95"/>
      <c r="BX30" s="272"/>
      <c r="BY30" s="38"/>
      <c r="BZ30" s="350"/>
      <c r="CA30" s="73"/>
      <c r="CB30" s="272"/>
      <c r="CC30" s="38"/>
      <c r="CD30" s="95"/>
      <c r="CE30" s="272"/>
      <c r="CF30" s="38"/>
      <c r="CG30" s="95"/>
      <c r="CH30" s="272"/>
      <c r="CI30" s="38"/>
      <c r="CJ30" s="95"/>
      <c r="CK30" s="272"/>
      <c r="CL30" s="38"/>
      <c r="CM30" s="95"/>
      <c r="CN30" s="272"/>
      <c r="CO30" s="38"/>
      <c r="CP30" s="95"/>
      <c r="CQ30" s="272"/>
      <c r="CR30" s="38"/>
      <c r="CS30" s="95"/>
      <c r="CT30" s="272"/>
      <c r="CU30" s="38"/>
      <c r="CV30" s="419">
        <v>70000</v>
      </c>
      <c r="CW30" s="37" t="s">
        <v>1471</v>
      </c>
      <c r="CX30" s="38">
        <v>45893</v>
      </c>
      <c r="CY30" s="95"/>
      <c r="CZ30" s="37"/>
      <c r="DA30" s="38"/>
      <c r="DB30" s="95">
        <v>14000</v>
      </c>
      <c r="DC30" s="37" t="s">
        <v>1561</v>
      </c>
      <c r="DD30" s="38">
        <v>45932</v>
      </c>
      <c r="DE30" s="95"/>
      <c r="DF30" s="37"/>
      <c r="DG30" s="38"/>
      <c r="DH30" s="95">
        <v>14000</v>
      </c>
      <c r="DI30" s="37" t="s">
        <v>1800</v>
      </c>
      <c r="DJ30" s="38">
        <v>46021</v>
      </c>
      <c r="DK30" s="95"/>
      <c r="DL30" s="37"/>
      <c r="DM30" s="38"/>
      <c r="DN30" s="95"/>
      <c r="DO30" s="37"/>
      <c r="DP30" s="38"/>
      <c r="DQ30" s="77"/>
      <c r="DR30" s="265">
        <v>503</v>
      </c>
      <c r="DS30" s="481" t="s">
        <v>1352</v>
      </c>
      <c r="DT30" s="260">
        <f>63000+12000</f>
        <v>75000</v>
      </c>
      <c r="DU30" s="260">
        <f>E30+H30+K30+N30+Q30+T30+W30+Z30+AC30+AF30+AI30+AL30</f>
        <v>47000</v>
      </c>
      <c r="DV30" s="260">
        <f>DT30-DU30</f>
        <v>28000</v>
      </c>
      <c r="DW30" s="260">
        <v>0</v>
      </c>
      <c r="DX30" s="277">
        <f>DV30+DW30</f>
        <v>28000</v>
      </c>
      <c r="DY30" s="277">
        <f>7000*12</f>
        <v>84000</v>
      </c>
      <c r="DZ30" s="260">
        <f>+AP30+AS30+AV30+AY30+BB30+BE30+BH30+BK30+BN30+BQ30+BT30+BW30</f>
        <v>98000</v>
      </c>
      <c r="EA30" s="363">
        <f>DX30+DY30-DZ30</f>
        <v>14000</v>
      </c>
      <c r="EB30" s="369">
        <f>7000*12</f>
        <v>84000</v>
      </c>
      <c r="EC30" s="260">
        <f t="shared" si="5"/>
        <v>98000</v>
      </c>
      <c r="ED30" s="338">
        <f>EA30+EB30-EC30</f>
        <v>0</v>
      </c>
      <c r="EE30" s="434"/>
      <c r="EG30" s="265">
        <v>503</v>
      </c>
      <c r="EH30" s="481" t="s">
        <v>1352</v>
      </c>
      <c r="EI30" s="369">
        <f>7000*12</f>
        <v>84000</v>
      </c>
      <c r="EJ30" s="505">
        <v>0</v>
      </c>
      <c r="EK30" s="369">
        <f>7000*2</f>
        <v>14000</v>
      </c>
      <c r="EL30" s="260">
        <f>DK30+DN30</f>
        <v>0</v>
      </c>
      <c r="EM30" s="505">
        <f>EJ30+EK30-EL30</f>
        <v>14000</v>
      </c>
    </row>
    <row r="31" spans="2:143" ht="15" customHeight="1" thickBot="1" x14ac:dyDescent="0.35">
      <c r="B31" s="3" t="s">
        <v>1353</v>
      </c>
      <c r="C31" s="9">
        <v>504</v>
      </c>
      <c r="D31" s="67">
        <f>-5500-5500-5500-5500+22000</f>
        <v>0</v>
      </c>
      <c r="E31" s="95">
        <v>7500</v>
      </c>
      <c r="F31" s="37" t="s">
        <v>188</v>
      </c>
      <c r="G31" s="38">
        <v>44942</v>
      </c>
      <c r="H31" s="95">
        <v>7500</v>
      </c>
      <c r="I31" s="37" t="s">
        <v>208</v>
      </c>
      <c r="J31" s="38">
        <v>44965</v>
      </c>
      <c r="K31" s="95">
        <v>7500</v>
      </c>
      <c r="L31" s="37" t="s">
        <v>253</v>
      </c>
      <c r="M31" s="38">
        <v>44992</v>
      </c>
      <c r="N31" s="95">
        <v>7500</v>
      </c>
      <c r="O31" s="37" t="s">
        <v>334</v>
      </c>
      <c r="P31" s="38">
        <v>45028</v>
      </c>
      <c r="Q31" s="95">
        <v>7500</v>
      </c>
      <c r="R31" s="37" t="s">
        <v>356</v>
      </c>
      <c r="S31" s="38">
        <v>45056</v>
      </c>
      <c r="T31" s="95"/>
      <c r="U31" s="37"/>
      <c r="V31" s="38"/>
      <c r="W31" s="95"/>
      <c r="X31" s="37"/>
      <c r="Y31" s="38"/>
      <c r="Z31" s="95"/>
      <c r="AA31" s="37"/>
      <c r="AB31" s="38"/>
      <c r="AC31" s="95">
        <v>22000</v>
      </c>
      <c r="AD31" s="37" t="s">
        <v>551</v>
      </c>
      <c r="AE31" s="38">
        <v>45199</v>
      </c>
      <c r="AF31" s="95"/>
      <c r="AG31" s="37"/>
      <c r="AH31" s="38"/>
      <c r="AI31" s="95"/>
      <c r="AJ31" s="37"/>
      <c r="AK31" s="38"/>
      <c r="AL31" s="95">
        <v>16500</v>
      </c>
      <c r="AM31" s="37" t="s">
        <v>675</v>
      </c>
      <c r="AN31" s="38">
        <v>45291</v>
      </c>
      <c r="AO31" s="258"/>
      <c r="AP31" s="95"/>
      <c r="AQ31" s="37"/>
      <c r="AR31" s="38"/>
      <c r="AS31" s="95"/>
      <c r="AT31" s="37"/>
      <c r="AU31" s="38"/>
      <c r="AV31" s="95"/>
      <c r="AW31" s="37"/>
      <c r="AX31" s="38"/>
      <c r="AY31" s="303">
        <v>22000</v>
      </c>
      <c r="AZ31" s="331" t="s">
        <v>974</v>
      </c>
      <c r="BA31" s="332">
        <v>45411</v>
      </c>
      <c r="BB31" s="157"/>
      <c r="BC31" s="158"/>
      <c r="BD31" s="273"/>
      <c r="BE31" s="157"/>
      <c r="BF31" s="158"/>
      <c r="BG31" s="273"/>
      <c r="BH31" s="95">
        <v>11000</v>
      </c>
      <c r="BI31" s="37" t="s">
        <v>931</v>
      </c>
      <c r="BJ31" s="38">
        <v>45483</v>
      </c>
      <c r="BK31" s="95">
        <v>5500</v>
      </c>
      <c r="BL31" s="37" t="s">
        <v>948</v>
      </c>
      <c r="BM31" s="38">
        <v>45511</v>
      </c>
      <c r="BN31" s="95">
        <v>5500</v>
      </c>
      <c r="BO31" s="37" t="s">
        <v>1005</v>
      </c>
      <c r="BP31" s="38">
        <v>45541</v>
      </c>
      <c r="BQ31" s="95">
        <v>5500</v>
      </c>
      <c r="BR31" s="37" t="s">
        <v>1047</v>
      </c>
      <c r="BS31" s="38">
        <v>45573</v>
      </c>
      <c r="BT31" s="95">
        <v>11000</v>
      </c>
      <c r="BU31" s="37" t="s">
        <v>1079</v>
      </c>
      <c r="BV31" s="352">
        <v>45607</v>
      </c>
      <c r="BW31" s="95">
        <v>5500</v>
      </c>
      <c r="BX31" s="37" t="s">
        <v>1095</v>
      </c>
      <c r="BY31" s="38">
        <v>45631</v>
      </c>
      <c r="BZ31" s="350"/>
      <c r="CA31" s="73">
        <v>5500</v>
      </c>
      <c r="CB31" s="37" t="s">
        <v>1172</v>
      </c>
      <c r="CC31" s="38">
        <v>45660</v>
      </c>
      <c r="CD31" s="95">
        <v>5500</v>
      </c>
      <c r="CE31" s="37" t="s">
        <v>1203</v>
      </c>
      <c r="CF31" s="38">
        <v>45708</v>
      </c>
      <c r="CG31" s="95">
        <v>5500</v>
      </c>
      <c r="CH31" s="37" t="s">
        <v>1228</v>
      </c>
      <c r="CI31" s="38">
        <v>45723</v>
      </c>
      <c r="CJ31" s="95">
        <v>5500</v>
      </c>
      <c r="CK31" s="37" t="s">
        <v>1281</v>
      </c>
      <c r="CL31" s="38">
        <v>45756</v>
      </c>
      <c r="CM31" s="95">
        <v>5500</v>
      </c>
      <c r="CN31" s="37" t="s">
        <v>1304</v>
      </c>
      <c r="CO31" s="38">
        <v>45788</v>
      </c>
      <c r="CP31" s="95">
        <v>5500</v>
      </c>
      <c r="CQ31" s="37" t="s">
        <v>1332</v>
      </c>
      <c r="CR31" s="38">
        <v>45820</v>
      </c>
      <c r="CS31" s="95">
        <v>5500</v>
      </c>
      <c r="CT31" s="37" t="s">
        <v>1394</v>
      </c>
      <c r="CU31" s="38">
        <v>45846</v>
      </c>
      <c r="CV31" s="95">
        <v>5500</v>
      </c>
      <c r="CW31" s="37" t="s">
        <v>1454</v>
      </c>
      <c r="CX31" s="38">
        <v>45876</v>
      </c>
      <c r="CY31" s="95">
        <v>5500</v>
      </c>
      <c r="CZ31" s="37" t="s">
        <v>1521</v>
      </c>
      <c r="DA31" s="38">
        <v>45914</v>
      </c>
      <c r="DB31" s="95">
        <v>5500</v>
      </c>
      <c r="DC31" s="37" t="s">
        <v>1541</v>
      </c>
      <c r="DD31" s="38">
        <v>45932</v>
      </c>
      <c r="DE31" s="95">
        <v>5500</v>
      </c>
      <c r="DF31" s="37" t="s">
        <v>1636</v>
      </c>
      <c r="DG31" s="38">
        <v>45964</v>
      </c>
      <c r="DH31" s="95">
        <v>5500</v>
      </c>
      <c r="DI31" s="37" t="s">
        <v>1724</v>
      </c>
      <c r="DJ31" s="38">
        <v>45995</v>
      </c>
      <c r="DK31" s="95">
        <v>5500</v>
      </c>
      <c r="DL31" s="37" t="s">
        <v>1792</v>
      </c>
      <c r="DM31" s="38">
        <v>46027</v>
      </c>
      <c r="DN31" s="95">
        <v>5500</v>
      </c>
      <c r="DO31" s="37" t="s">
        <v>1843</v>
      </c>
      <c r="DP31" s="38">
        <v>46058</v>
      </c>
      <c r="DQ31" s="77"/>
      <c r="DR31" s="266">
        <v>504</v>
      </c>
      <c r="DS31" s="482" t="s">
        <v>1353</v>
      </c>
      <c r="DT31" s="267">
        <f>37500+38500</f>
        <v>76000</v>
      </c>
      <c r="DU31" s="267">
        <f>E31+H31+K31+N31+Q31+T31+W31+Z31+AC31+AF31+AI31+AL31</f>
        <v>76000</v>
      </c>
      <c r="DV31" s="267">
        <f>DT31-DU31</f>
        <v>0</v>
      </c>
      <c r="DW31" s="267">
        <v>0</v>
      </c>
      <c r="DX31" s="339">
        <f>DV31+DW31</f>
        <v>0</v>
      </c>
      <c r="DY31" s="339">
        <f>5500*12</f>
        <v>66000</v>
      </c>
      <c r="DZ31" s="267">
        <f>+AP31+AS31+AV31+AY31+BB31+BE31+BH31+BK31+BN31+BQ31+BT31+BW31</f>
        <v>66000</v>
      </c>
      <c r="EA31" s="364">
        <f>DX31+DY31-DZ31</f>
        <v>0</v>
      </c>
      <c r="EB31" s="370">
        <f>5500*12</f>
        <v>66000</v>
      </c>
      <c r="EC31" s="267">
        <f t="shared" si="5"/>
        <v>66000</v>
      </c>
      <c r="ED31" s="340">
        <f>EA31+EB31-EC31</f>
        <v>0</v>
      </c>
      <c r="EE31" s="435"/>
      <c r="EG31" s="266">
        <v>504</v>
      </c>
      <c r="EH31" s="482" t="s">
        <v>1353</v>
      </c>
      <c r="EI31" s="370">
        <f>5500*12</f>
        <v>66000</v>
      </c>
      <c r="EJ31" s="506">
        <v>0</v>
      </c>
      <c r="EK31" s="370">
        <f>5500*2</f>
        <v>11000</v>
      </c>
      <c r="EL31" s="267">
        <f>DK31+DN31</f>
        <v>11000</v>
      </c>
      <c r="EM31" s="506">
        <f>EJ31+EK31-EL31</f>
        <v>0</v>
      </c>
    </row>
    <row r="32" spans="2:143" ht="5.25" customHeight="1" thickBot="1" x14ac:dyDescent="0.35">
      <c r="B32" s="13"/>
      <c r="C32" s="14"/>
      <c r="D32" s="66"/>
      <c r="E32" s="40"/>
      <c r="F32" s="15"/>
      <c r="G32" s="16"/>
      <c r="H32" s="142"/>
      <c r="I32" s="141"/>
      <c r="J32" s="143"/>
      <c r="K32" s="142"/>
      <c r="L32" s="141"/>
      <c r="M32" s="143"/>
      <c r="N32" s="142"/>
      <c r="O32" s="141"/>
      <c r="P32" s="143"/>
      <c r="Q32" s="142"/>
      <c r="R32" s="141"/>
      <c r="S32" s="143"/>
      <c r="T32" s="142"/>
      <c r="U32" s="141"/>
      <c r="V32" s="143"/>
      <c r="W32" s="142"/>
      <c r="X32" s="141"/>
      <c r="Y32" s="143"/>
      <c r="Z32" s="142"/>
      <c r="AA32" s="141"/>
      <c r="AB32" s="143"/>
      <c r="AC32" s="142"/>
      <c r="AD32" s="141"/>
      <c r="AE32" s="143"/>
      <c r="AF32" s="142"/>
      <c r="AG32" s="141"/>
      <c r="AH32" s="143"/>
      <c r="AI32" s="142"/>
      <c r="AJ32" s="141"/>
      <c r="AK32" s="143"/>
      <c r="AL32" s="142"/>
      <c r="AM32" s="141"/>
      <c r="AN32" s="143"/>
      <c r="AO32" s="257"/>
      <c r="AP32" s="142"/>
      <c r="AQ32" s="141"/>
      <c r="AR32" s="143"/>
      <c r="AS32" s="142"/>
      <c r="AT32" s="141"/>
      <c r="AU32" s="143"/>
      <c r="AV32" s="142"/>
      <c r="AW32" s="141"/>
      <c r="AX32" s="143"/>
      <c r="AY32" s="142"/>
      <c r="AZ32" s="141"/>
      <c r="BA32" s="143"/>
      <c r="BB32" s="142"/>
      <c r="BC32" s="141"/>
      <c r="BD32" s="143"/>
      <c r="BE32" s="142"/>
      <c r="BF32" s="141"/>
      <c r="BG32" s="143"/>
      <c r="BH32" s="142"/>
      <c r="BI32" s="141"/>
      <c r="BJ32" s="143"/>
      <c r="BK32" s="142"/>
      <c r="BL32" s="141"/>
      <c r="BM32" s="143"/>
      <c r="BN32" s="142"/>
      <c r="BO32" s="141"/>
      <c r="BP32" s="143"/>
      <c r="BQ32" s="142"/>
      <c r="BR32" s="141"/>
      <c r="BS32" s="143"/>
      <c r="BT32" s="142"/>
      <c r="BU32" s="141"/>
      <c r="BV32" s="141"/>
      <c r="BW32" s="142"/>
      <c r="BX32" s="141"/>
      <c r="BY32" s="143"/>
      <c r="BZ32" s="349"/>
      <c r="CA32" s="141"/>
      <c r="CB32" s="141"/>
      <c r="CC32" s="143"/>
      <c r="CD32" s="142"/>
      <c r="CE32" s="141"/>
      <c r="CF32" s="143"/>
      <c r="CG32" s="142"/>
      <c r="CH32" s="141"/>
      <c r="CI32" s="143"/>
      <c r="CJ32" s="142"/>
      <c r="CK32" s="141"/>
      <c r="CL32" s="143"/>
      <c r="CM32" s="142"/>
      <c r="CN32" s="141"/>
      <c r="CO32" s="143"/>
      <c r="CP32" s="142"/>
      <c r="CQ32" s="141"/>
      <c r="CR32" s="143"/>
      <c r="CS32" s="142"/>
      <c r="CT32" s="141"/>
      <c r="CU32" s="143"/>
      <c r="CV32" s="142"/>
      <c r="CW32" s="141"/>
      <c r="CX32" s="143"/>
      <c r="CY32" s="142"/>
      <c r="CZ32" s="141"/>
      <c r="DA32" s="143"/>
      <c r="DB32" s="142"/>
      <c r="DC32" s="141"/>
      <c r="DD32" s="143"/>
      <c r="DE32" s="142"/>
      <c r="DF32" s="141"/>
      <c r="DG32" s="143"/>
      <c r="DH32" s="142"/>
      <c r="DI32" s="141"/>
      <c r="DJ32" s="143"/>
      <c r="DK32" s="142"/>
      <c r="DL32" s="141"/>
      <c r="DM32" s="143"/>
      <c r="DN32" s="142"/>
      <c r="DO32" s="141"/>
      <c r="DP32" s="143"/>
      <c r="DQ32" s="244"/>
      <c r="DR32" s="261"/>
      <c r="DS32" s="483"/>
      <c r="DT32" s="261"/>
      <c r="DU32" s="261"/>
      <c r="DV32" s="261"/>
      <c r="DW32" s="261"/>
      <c r="DX32" s="261"/>
      <c r="DY32" s="261"/>
      <c r="DZ32" s="261"/>
      <c r="EA32" s="261"/>
      <c r="EB32" s="261"/>
      <c r="EC32" s="261"/>
      <c r="ED32" s="261"/>
      <c r="EE32" s="432"/>
      <c r="EG32" s="261"/>
      <c r="EH32" s="483"/>
      <c r="EJ32" s="49"/>
      <c r="EM32" s="49"/>
    </row>
    <row r="33" spans="2:143" ht="15" customHeight="1" x14ac:dyDescent="0.3">
      <c r="B33" s="3" t="s">
        <v>1354</v>
      </c>
      <c r="C33" s="9">
        <v>601</v>
      </c>
      <c r="D33" s="96">
        <v>-5500</v>
      </c>
      <c r="E33" s="95">
        <v>5500</v>
      </c>
      <c r="F33" s="37" t="s">
        <v>191</v>
      </c>
      <c r="G33" s="38">
        <v>44944</v>
      </c>
      <c r="H33" s="95">
        <v>5500</v>
      </c>
      <c r="I33" s="37" t="s">
        <v>211</v>
      </c>
      <c r="J33" s="38">
        <v>44967</v>
      </c>
      <c r="K33" s="95">
        <v>5500</v>
      </c>
      <c r="L33" s="37" t="s">
        <v>257</v>
      </c>
      <c r="M33" s="38">
        <v>44996</v>
      </c>
      <c r="N33" s="95">
        <v>5500</v>
      </c>
      <c r="O33" s="37" t="s">
        <v>329</v>
      </c>
      <c r="P33" s="38">
        <v>45027</v>
      </c>
      <c r="Q33" s="95">
        <v>5500</v>
      </c>
      <c r="R33" s="37" t="s">
        <v>364</v>
      </c>
      <c r="S33" s="38">
        <v>45057</v>
      </c>
      <c r="T33" s="95">
        <v>5500</v>
      </c>
      <c r="U33" s="37" t="s">
        <v>438</v>
      </c>
      <c r="V33" s="38">
        <v>45087</v>
      </c>
      <c r="W33" s="95">
        <v>5500</v>
      </c>
      <c r="X33" s="37" t="s">
        <v>459</v>
      </c>
      <c r="Y33" s="38">
        <v>45111</v>
      </c>
      <c r="Z33" s="95">
        <v>5500</v>
      </c>
      <c r="AA33" s="37" t="s">
        <v>496</v>
      </c>
      <c r="AB33" s="38">
        <v>45149</v>
      </c>
      <c r="AC33" s="95">
        <v>5500</v>
      </c>
      <c r="AD33" s="37" t="s">
        <v>569</v>
      </c>
      <c r="AE33" s="38">
        <v>45182</v>
      </c>
      <c r="AF33" s="95">
        <v>5500</v>
      </c>
      <c r="AG33" s="37" t="s">
        <v>588</v>
      </c>
      <c r="AH33" s="38">
        <v>45215</v>
      </c>
      <c r="AI33" s="95">
        <v>5500</v>
      </c>
      <c r="AJ33" s="37" t="s">
        <v>624</v>
      </c>
      <c r="AK33" s="38">
        <v>45248</v>
      </c>
      <c r="AL33" s="95">
        <v>5500</v>
      </c>
      <c r="AM33" s="37" t="s">
        <v>642</v>
      </c>
      <c r="AN33" s="38">
        <v>45276</v>
      </c>
      <c r="AO33" s="258"/>
      <c r="AP33" s="95">
        <v>5500</v>
      </c>
      <c r="AQ33" s="37" t="s">
        <v>666</v>
      </c>
      <c r="AR33" s="38">
        <v>45306</v>
      </c>
      <c r="AS33" s="95">
        <v>5500</v>
      </c>
      <c r="AT33" s="37" t="s">
        <v>716</v>
      </c>
      <c r="AU33" s="38">
        <v>45335</v>
      </c>
      <c r="AV33" s="95">
        <v>5500</v>
      </c>
      <c r="AW33" s="37" t="s">
        <v>779</v>
      </c>
      <c r="AX33" s="38">
        <v>45365</v>
      </c>
      <c r="AY33" s="95">
        <v>5500</v>
      </c>
      <c r="AZ33" s="37" t="s">
        <v>803</v>
      </c>
      <c r="BA33" s="38">
        <v>45405</v>
      </c>
      <c r="BB33" s="95">
        <v>5500</v>
      </c>
      <c r="BC33" s="37" t="s">
        <v>893</v>
      </c>
      <c r="BD33" s="38">
        <v>45441</v>
      </c>
      <c r="BE33" s="95">
        <v>5500</v>
      </c>
      <c r="BF33" s="37" t="s">
        <v>914</v>
      </c>
      <c r="BG33" s="38">
        <v>45468</v>
      </c>
      <c r="BH33" s="95">
        <v>5500</v>
      </c>
      <c r="BI33" s="37" t="s">
        <v>934</v>
      </c>
      <c r="BJ33" s="38">
        <v>45494</v>
      </c>
      <c r="BK33" s="95">
        <v>5500</v>
      </c>
      <c r="BL33" s="37" t="s">
        <v>970</v>
      </c>
      <c r="BM33" s="38">
        <v>45524</v>
      </c>
      <c r="BN33" s="95">
        <v>5500</v>
      </c>
      <c r="BO33" s="37" t="s">
        <v>1022</v>
      </c>
      <c r="BP33" s="38">
        <v>45555</v>
      </c>
      <c r="BQ33" s="95">
        <v>5500</v>
      </c>
      <c r="BR33" s="37" t="s">
        <v>1053</v>
      </c>
      <c r="BS33" s="38">
        <v>45586</v>
      </c>
      <c r="BT33" s="95">
        <v>5500</v>
      </c>
      <c r="BU33" s="37" t="s">
        <v>1087</v>
      </c>
      <c r="BV33" s="352">
        <v>45614</v>
      </c>
      <c r="BW33" s="95">
        <v>5500</v>
      </c>
      <c r="BX33" s="37" t="s">
        <v>1121</v>
      </c>
      <c r="BY33" s="38">
        <v>45651</v>
      </c>
      <c r="BZ33" s="350"/>
      <c r="CA33" s="73">
        <v>5500</v>
      </c>
      <c r="CB33" s="37" t="s">
        <v>1188</v>
      </c>
      <c r="CC33" s="38">
        <v>45686</v>
      </c>
      <c r="CD33" s="95">
        <v>5500</v>
      </c>
      <c r="CE33" s="37" t="s">
        <v>1205</v>
      </c>
      <c r="CF33" s="38">
        <v>45713</v>
      </c>
      <c r="CG33" s="95">
        <v>5500</v>
      </c>
      <c r="CH33" s="37" t="s">
        <v>1271</v>
      </c>
      <c r="CI33" s="38">
        <v>45730</v>
      </c>
      <c r="CJ33" s="95">
        <v>5500</v>
      </c>
      <c r="CK33" s="37" t="s">
        <v>1290</v>
      </c>
      <c r="CL33" s="38">
        <v>45769</v>
      </c>
      <c r="CM33" s="95">
        <v>5500</v>
      </c>
      <c r="CN33" s="37" t="s">
        <v>1317</v>
      </c>
      <c r="CO33" s="38">
        <v>45803</v>
      </c>
      <c r="CP33" s="95">
        <v>5500</v>
      </c>
      <c r="CQ33" s="37" t="s">
        <v>1385</v>
      </c>
      <c r="CR33" s="38">
        <v>45835</v>
      </c>
      <c r="CS33" s="95">
        <v>5500</v>
      </c>
      <c r="CT33" s="37" t="s">
        <v>1403</v>
      </c>
      <c r="CU33" s="38">
        <v>45865</v>
      </c>
      <c r="CV33" s="436">
        <f>5500+5500</f>
        <v>11000</v>
      </c>
      <c r="CW33" s="420" t="s">
        <v>1474</v>
      </c>
      <c r="CX33" s="38"/>
      <c r="CY33" s="95">
        <v>5500</v>
      </c>
      <c r="CZ33" s="37" t="s">
        <v>1524</v>
      </c>
      <c r="DA33" s="38">
        <v>45919</v>
      </c>
      <c r="DB33" s="95">
        <v>5500</v>
      </c>
      <c r="DC33" s="37" t="s">
        <v>1618</v>
      </c>
      <c r="DD33" s="38">
        <v>45948</v>
      </c>
      <c r="DE33" s="95">
        <v>5500</v>
      </c>
      <c r="DF33" s="37" t="s">
        <v>1707</v>
      </c>
      <c r="DG33" s="38">
        <v>45986</v>
      </c>
      <c r="DH33" s="95">
        <v>5500</v>
      </c>
      <c r="DI33" s="37" t="s">
        <v>1796</v>
      </c>
      <c r="DJ33" s="38">
        <v>46015</v>
      </c>
      <c r="DK33" s="95">
        <v>5500</v>
      </c>
      <c r="DL33" s="37" t="s">
        <v>1842</v>
      </c>
      <c r="DM33" s="38">
        <v>46048</v>
      </c>
      <c r="DN33" s="95"/>
      <c r="DO33" s="37"/>
      <c r="DP33" s="38"/>
      <c r="DQ33" s="77"/>
      <c r="DR33" s="262">
        <v>601</v>
      </c>
      <c r="DS33" s="480" t="s">
        <v>1354</v>
      </c>
      <c r="DT33" s="263">
        <f>5500*12</f>
        <v>66000</v>
      </c>
      <c r="DU33" s="263">
        <f>E33+H33+K33+N33+Q33+T33+W33+Z33+AC33+AF33+AI33+AL33</f>
        <v>66000</v>
      </c>
      <c r="DV33" s="263">
        <f>DT33-DU33</f>
        <v>0</v>
      </c>
      <c r="DW33" s="263">
        <v>5500</v>
      </c>
      <c r="DX33" s="276">
        <f>DV33+DW33</f>
        <v>5500</v>
      </c>
      <c r="DY33" s="276">
        <f>5500*12</f>
        <v>66000</v>
      </c>
      <c r="DZ33" s="263">
        <f>+AP33+AS33+AV33+AY33+BB33+BE33+BH33+BK33+BN33+BQ33+BT33+BW33</f>
        <v>66000</v>
      </c>
      <c r="EA33" s="365">
        <f>DX33+DY33-DZ33</f>
        <v>5500</v>
      </c>
      <c r="EB33" s="371">
        <f>5500*12</f>
        <v>66000</v>
      </c>
      <c r="EC33" s="263">
        <f>CA33+CD33+CG33+CJ33+CM33+CP33+CS33+CV33+CY33+DB33+DE33+DH33</f>
        <v>71500</v>
      </c>
      <c r="ED33" s="264">
        <f>EA33+EB33-EC33</f>
        <v>0</v>
      </c>
      <c r="EE33" s="433"/>
      <c r="EG33" s="262">
        <v>601</v>
      </c>
      <c r="EH33" s="480" t="s">
        <v>1354</v>
      </c>
      <c r="EI33" s="371">
        <f>5500*12</f>
        <v>66000</v>
      </c>
      <c r="EJ33" s="504">
        <v>0</v>
      </c>
      <c r="EK33" s="371">
        <f>5500*2</f>
        <v>11000</v>
      </c>
      <c r="EL33" s="263">
        <f>DK33+DN33</f>
        <v>5500</v>
      </c>
      <c r="EM33" s="504">
        <f>EJ33+EK33-EL33</f>
        <v>5500</v>
      </c>
    </row>
    <row r="34" spans="2:143" ht="15" customHeight="1" x14ac:dyDescent="0.3">
      <c r="B34" s="3" t="s">
        <v>1355</v>
      </c>
      <c r="C34" s="9">
        <v>602</v>
      </c>
      <c r="D34" s="67">
        <v>0</v>
      </c>
      <c r="E34" s="95">
        <v>5500</v>
      </c>
      <c r="F34" s="37" t="s">
        <v>180</v>
      </c>
      <c r="G34" s="38">
        <v>44937</v>
      </c>
      <c r="H34" s="95">
        <v>5500</v>
      </c>
      <c r="I34" s="37" t="s">
        <v>213</v>
      </c>
      <c r="J34" s="38">
        <v>44967</v>
      </c>
      <c r="K34" s="95">
        <v>5500</v>
      </c>
      <c r="L34" s="37" t="s">
        <v>256</v>
      </c>
      <c r="M34" s="38">
        <v>44995</v>
      </c>
      <c r="N34" s="95">
        <v>5500</v>
      </c>
      <c r="O34" s="37" t="s">
        <v>330</v>
      </c>
      <c r="P34" s="38">
        <v>45027</v>
      </c>
      <c r="Q34" s="95">
        <v>5500</v>
      </c>
      <c r="R34" s="37" t="s">
        <v>359</v>
      </c>
      <c r="S34" s="38">
        <v>45056</v>
      </c>
      <c r="T34" s="95">
        <v>5500</v>
      </c>
      <c r="U34" s="37" t="s">
        <v>432</v>
      </c>
      <c r="V34" s="38">
        <v>45087</v>
      </c>
      <c r="W34" s="95">
        <v>5500</v>
      </c>
      <c r="X34" s="37" t="s">
        <v>457</v>
      </c>
      <c r="Y34" s="38">
        <v>45118</v>
      </c>
      <c r="Z34" s="95">
        <v>5500</v>
      </c>
      <c r="AA34" s="37" t="s">
        <v>495</v>
      </c>
      <c r="AB34" s="38">
        <v>45148</v>
      </c>
      <c r="AC34" s="95">
        <v>5500</v>
      </c>
      <c r="AD34" s="37" t="s">
        <v>560</v>
      </c>
      <c r="AE34" s="38">
        <v>45175</v>
      </c>
      <c r="AF34" s="95">
        <v>5500</v>
      </c>
      <c r="AG34" s="37" t="s">
        <v>585</v>
      </c>
      <c r="AH34" s="38">
        <v>45209</v>
      </c>
      <c r="AI34" s="95">
        <v>5500</v>
      </c>
      <c r="AJ34" s="37" t="s">
        <v>619</v>
      </c>
      <c r="AK34" s="38">
        <v>45241</v>
      </c>
      <c r="AL34" s="95">
        <v>5500</v>
      </c>
      <c r="AM34" s="37" t="s">
        <v>637</v>
      </c>
      <c r="AN34" s="38">
        <v>45270</v>
      </c>
      <c r="AO34" s="258"/>
      <c r="AP34" s="95">
        <v>5500</v>
      </c>
      <c r="AQ34" s="37" t="s">
        <v>696</v>
      </c>
      <c r="AR34" s="38">
        <v>45307</v>
      </c>
      <c r="AS34" s="95">
        <v>5500</v>
      </c>
      <c r="AT34" s="37" t="s">
        <v>712</v>
      </c>
      <c r="AU34" s="38">
        <v>45334</v>
      </c>
      <c r="AV34" s="95">
        <v>5500</v>
      </c>
      <c r="AW34" s="37" t="s">
        <v>776</v>
      </c>
      <c r="AX34" s="38">
        <v>45364</v>
      </c>
      <c r="AY34" s="95">
        <v>5500</v>
      </c>
      <c r="AZ34" s="37" t="s">
        <v>789</v>
      </c>
      <c r="BA34" s="38">
        <v>45386</v>
      </c>
      <c r="BB34" s="95">
        <v>5500</v>
      </c>
      <c r="BC34" s="37" t="s">
        <v>873</v>
      </c>
      <c r="BD34" s="38">
        <v>45426</v>
      </c>
      <c r="BE34" s="95">
        <v>5500</v>
      </c>
      <c r="BF34" s="37" t="s">
        <v>912</v>
      </c>
      <c r="BG34" s="38">
        <v>45457</v>
      </c>
      <c r="BH34" s="95">
        <v>5500</v>
      </c>
      <c r="BI34" s="37" t="s">
        <v>936</v>
      </c>
      <c r="BJ34" s="38">
        <v>45495</v>
      </c>
      <c r="BK34" s="95">
        <v>5500</v>
      </c>
      <c r="BL34" s="37" t="s">
        <v>1042</v>
      </c>
      <c r="BM34" s="38">
        <v>45520</v>
      </c>
      <c r="BN34" s="95">
        <v>5500</v>
      </c>
      <c r="BO34" s="37" t="s">
        <v>1021</v>
      </c>
      <c r="BP34" s="38">
        <v>45555</v>
      </c>
      <c r="BQ34" s="95">
        <v>5500</v>
      </c>
      <c r="BR34" s="37" t="s">
        <v>1046</v>
      </c>
      <c r="BS34" s="38">
        <v>45573</v>
      </c>
      <c r="BT34" s="95">
        <v>5500</v>
      </c>
      <c r="BU34" s="37" t="s">
        <v>1086</v>
      </c>
      <c r="BV34" s="352">
        <v>45611</v>
      </c>
      <c r="BW34" s="95">
        <v>5500</v>
      </c>
      <c r="BX34" s="37" t="s">
        <v>1099</v>
      </c>
      <c r="BY34" s="38">
        <v>45638</v>
      </c>
      <c r="BZ34" s="350"/>
      <c r="CA34" s="73">
        <v>5500</v>
      </c>
      <c r="CB34" s="37" t="s">
        <v>1185</v>
      </c>
      <c r="CC34" s="38">
        <v>45673</v>
      </c>
      <c r="CD34" s="95">
        <v>5500</v>
      </c>
      <c r="CE34" s="37" t="s">
        <v>1199</v>
      </c>
      <c r="CF34" s="38">
        <v>45700</v>
      </c>
      <c r="CG34" s="95">
        <v>5500</v>
      </c>
      <c r="CH34" s="37" t="s">
        <v>1272</v>
      </c>
      <c r="CI34" s="38">
        <v>45722</v>
      </c>
      <c r="CJ34" s="95">
        <v>5500</v>
      </c>
      <c r="CK34" s="37" t="s">
        <v>1313</v>
      </c>
      <c r="CL34" s="38">
        <v>45752</v>
      </c>
      <c r="CM34" s="95">
        <v>5500</v>
      </c>
      <c r="CN34" s="37" t="s">
        <v>1308</v>
      </c>
      <c r="CO34" s="38">
        <v>45789</v>
      </c>
      <c r="CP34" s="95">
        <v>5500</v>
      </c>
      <c r="CQ34" s="37" t="s">
        <v>1335</v>
      </c>
      <c r="CR34" s="38">
        <v>45821</v>
      </c>
      <c r="CS34" s="95">
        <v>5500</v>
      </c>
      <c r="CT34" s="37" t="s">
        <v>1398</v>
      </c>
      <c r="CU34" s="38">
        <v>45852</v>
      </c>
      <c r="CV34" s="95">
        <v>5500</v>
      </c>
      <c r="CW34" s="37" t="s">
        <v>1461</v>
      </c>
      <c r="CX34" s="38">
        <v>45885</v>
      </c>
      <c r="CY34" s="95">
        <v>5500</v>
      </c>
      <c r="CZ34" s="37" t="s">
        <v>1523</v>
      </c>
      <c r="DA34" s="38">
        <v>45914</v>
      </c>
      <c r="DB34" s="95">
        <v>5500</v>
      </c>
      <c r="DC34" s="37" t="s">
        <v>1616</v>
      </c>
      <c r="DD34" s="38">
        <v>45941</v>
      </c>
      <c r="DE34" s="95">
        <v>5500</v>
      </c>
      <c r="DF34" s="37" t="s">
        <v>1671</v>
      </c>
      <c r="DG34" s="38">
        <v>45977</v>
      </c>
      <c r="DH34" s="95">
        <v>5500</v>
      </c>
      <c r="DI34" s="37" t="s">
        <v>1725</v>
      </c>
      <c r="DJ34" s="38">
        <v>46000</v>
      </c>
      <c r="DK34" s="95">
        <v>5500</v>
      </c>
      <c r="DL34" s="37" t="s">
        <v>1772</v>
      </c>
      <c r="DM34" s="38">
        <v>46037</v>
      </c>
      <c r="DN34" s="95">
        <v>5500</v>
      </c>
      <c r="DO34" s="37" t="s">
        <v>1855</v>
      </c>
      <c r="DP34" s="38">
        <v>46060</v>
      </c>
      <c r="DQ34" s="77"/>
      <c r="DR34" s="265">
        <v>602</v>
      </c>
      <c r="DS34" s="481" t="s">
        <v>1355</v>
      </c>
      <c r="DT34" s="260">
        <f>5500*12</f>
        <v>66000</v>
      </c>
      <c r="DU34" s="260">
        <f>E34+H34+K34+N34+Q34+T34+W34+Z34+AC34+AF34+AI34+AL34</f>
        <v>66000</v>
      </c>
      <c r="DV34" s="260">
        <f>DT34-DU34</f>
        <v>0</v>
      </c>
      <c r="DW34" s="260">
        <v>0</v>
      </c>
      <c r="DX34" s="277">
        <f>DV34+DW34</f>
        <v>0</v>
      </c>
      <c r="DY34" s="277">
        <f>5500*12</f>
        <v>66000</v>
      </c>
      <c r="DZ34" s="260">
        <f>+AP34+AS34+AV34+AY34+BB34+BE34+BH34+BK34+BN34+BQ34+BT34+BW34</f>
        <v>66000</v>
      </c>
      <c r="EA34" s="363">
        <f>DX34+DY34-DZ34</f>
        <v>0</v>
      </c>
      <c r="EB34" s="369">
        <f>5500*12</f>
        <v>66000</v>
      </c>
      <c r="EC34" s="260">
        <f t="shared" ref="EC34:EC36" si="6">CA34+CD34+CG34+CJ34+CM34+CP34+CS34+CV34+CY34+DB34+DE34+DH34</f>
        <v>66000</v>
      </c>
      <c r="ED34" s="338">
        <f>EA34+EB34-EC34</f>
        <v>0</v>
      </c>
      <c r="EE34" s="434"/>
      <c r="EG34" s="265">
        <v>602</v>
      </c>
      <c r="EH34" s="481" t="s">
        <v>1355</v>
      </c>
      <c r="EI34" s="369">
        <f>5500*12</f>
        <v>66000</v>
      </c>
      <c r="EJ34" s="505">
        <v>0</v>
      </c>
      <c r="EK34" s="369">
        <f>5500*2</f>
        <v>11000</v>
      </c>
      <c r="EL34" s="260">
        <f>DK34+DN34</f>
        <v>11000</v>
      </c>
      <c r="EM34" s="505">
        <f>EJ34+EK34-EL34</f>
        <v>0</v>
      </c>
    </row>
    <row r="35" spans="2:143" ht="15" customHeight="1" x14ac:dyDescent="0.3">
      <c r="B35" s="3" t="s">
        <v>1356</v>
      </c>
      <c r="C35" s="9">
        <v>603</v>
      </c>
      <c r="D35" s="67">
        <f>9000+8000+8000+8000-33000</f>
        <v>0</v>
      </c>
      <c r="E35" s="95"/>
      <c r="F35" s="37"/>
      <c r="G35" s="38"/>
      <c r="H35" s="144"/>
      <c r="I35" s="77"/>
      <c r="J35" s="137"/>
      <c r="K35" s="95">
        <v>33000</v>
      </c>
      <c r="L35" s="37" t="s">
        <v>262</v>
      </c>
      <c r="M35" s="38">
        <v>45012</v>
      </c>
      <c r="N35" s="95"/>
      <c r="O35" s="37"/>
      <c r="P35" s="38"/>
      <c r="Q35" s="95">
        <v>16000</v>
      </c>
      <c r="R35" s="37" t="s">
        <v>369</v>
      </c>
      <c r="S35" s="38">
        <v>45061</v>
      </c>
      <c r="T35" s="95">
        <v>8000</v>
      </c>
      <c r="U35" s="37" t="s">
        <v>439</v>
      </c>
      <c r="V35" s="38">
        <v>45091</v>
      </c>
      <c r="W35" s="95">
        <v>8000</v>
      </c>
      <c r="X35" s="37" t="s">
        <v>463</v>
      </c>
      <c r="Y35" s="38">
        <v>45128</v>
      </c>
      <c r="Z35" s="95">
        <v>8000</v>
      </c>
      <c r="AA35" s="37" t="s">
        <v>505</v>
      </c>
      <c r="AB35" s="38">
        <v>45158</v>
      </c>
      <c r="AC35" s="95">
        <v>8000</v>
      </c>
      <c r="AD35" s="37" t="s">
        <v>573</v>
      </c>
      <c r="AE35" s="38">
        <v>45189</v>
      </c>
      <c r="AF35" s="95">
        <v>8000</v>
      </c>
      <c r="AG35" s="37" t="s">
        <v>608</v>
      </c>
      <c r="AH35" s="38">
        <v>45230</v>
      </c>
      <c r="AI35" s="95"/>
      <c r="AJ35" s="37"/>
      <c r="AK35" s="38"/>
      <c r="AL35" s="95">
        <v>16000</v>
      </c>
      <c r="AM35" s="37" t="s">
        <v>640</v>
      </c>
      <c r="AN35" s="38">
        <v>45275</v>
      </c>
      <c r="AO35" s="258"/>
      <c r="AP35" s="95"/>
      <c r="AQ35" s="37"/>
      <c r="AR35" s="38"/>
      <c r="AS35" s="95">
        <v>16000</v>
      </c>
      <c r="AT35" s="37" t="s">
        <v>719</v>
      </c>
      <c r="AU35" s="38">
        <v>45343</v>
      </c>
      <c r="AV35" s="95"/>
      <c r="AW35" s="37"/>
      <c r="AX35" s="38"/>
      <c r="AY35" s="95"/>
      <c r="AZ35" s="37"/>
      <c r="BA35" s="38"/>
      <c r="BB35" s="95">
        <v>24000</v>
      </c>
      <c r="BC35" s="37" t="s">
        <v>874</v>
      </c>
      <c r="BD35" s="38">
        <v>45431</v>
      </c>
      <c r="BE35" s="95"/>
      <c r="BF35" s="37"/>
      <c r="BG35" s="38"/>
      <c r="BH35" s="95"/>
      <c r="BI35" s="37"/>
      <c r="BJ35" s="38"/>
      <c r="BK35" s="95"/>
      <c r="BL35" s="37"/>
      <c r="BM35" s="38"/>
      <c r="BN35" s="95">
        <v>16000</v>
      </c>
      <c r="BO35" s="37" t="s">
        <v>1018</v>
      </c>
      <c r="BP35" s="38">
        <v>45549</v>
      </c>
      <c r="BQ35" s="95"/>
      <c r="BR35" s="37"/>
      <c r="BS35" s="38"/>
      <c r="BT35" s="95"/>
      <c r="BU35" s="37"/>
      <c r="BV35" s="352"/>
      <c r="BW35" s="95"/>
      <c r="BX35" s="37"/>
      <c r="BY35" s="38"/>
      <c r="BZ35" s="350"/>
      <c r="CA35" s="73"/>
      <c r="CB35" s="37"/>
      <c r="CC35" s="38"/>
      <c r="CD35" s="95"/>
      <c r="CE35" s="37"/>
      <c r="CF35" s="38"/>
      <c r="CG35" s="95">
        <v>40000</v>
      </c>
      <c r="CH35" s="37" t="s">
        <v>1372</v>
      </c>
      <c r="CI35" s="38">
        <v>45747</v>
      </c>
      <c r="CJ35" s="95"/>
      <c r="CK35" s="37"/>
      <c r="CL35" s="38"/>
      <c r="CM35" s="95"/>
      <c r="CN35" s="37"/>
      <c r="CO35" s="38"/>
      <c r="CP35" s="95"/>
      <c r="CQ35" s="37"/>
      <c r="CR35" s="38"/>
      <c r="CS35" s="95"/>
      <c r="CT35" s="37"/>
      <c r="CU35" s="38"/>
      <c r="CV35" s="419">
        <f>9000*8</f>
        <v>72000</v>
      </c>
      <c r="CW35" s="37" t="s">
        <v>1473</v>
      </c>
      <c r="CX35" s="38">
        <v>45899</v>
      </c>
      <c r="CY35" s="95">
        <v>9000</v>
      </c>
      <c r="CZ35" s="37" t="s">
        <v>1529</v>
      </c>
      <c r="DA35" s="38">
        <v>45930</v>
      </c>
      <c r="DB35" s="95"/>
      <c r="DC35" s="37"/>
      <c r="DD35" s="38"/>
      <c r="DE35" s="95"/>
      <c r="DF35" s="37"/>
      <c r="DG35" s="38"/>
      <c r="DH35" s="95"/>
      <c r="DI35" s="37"/>
      <c r="DJ35" s="38"/>
      <c r="DK35" s="95"/>
      <c r="DL35" s="37"/>
      <c r="DM35" s="38"/>
      <c r="DN35" s="95">
        <v>18000</v>
      </c>
      <c r="DO35" s="37" t="s">
        <v>1849</v>
      </c>
      <c r="DP35" s="38">
        <v>46061</v>
      </c>
      <c r="DQ35" s="77"/>
      <c r="DR35" s="265">
        <v>603</v>
      </c>
      <c r="DS35" s="481" t="s">
        <v>1356</v>
      </c>
      <c r="DT35" s="260">
        <f>8000*12</f>
        <v>96000</v>
      </c>
      <c r="DU35" s="260">
        <f>E35+H35+K35+N35+Q35+T35+W35+Z35+AC35+AF35+AI35+AL35</f>
        <v>105000</v>
      </c>
      <c r="DV35" s="260">
        <f>DT35-DU35</f>
        <v>-9000</v>
      </c>
      <c r="DW35" s="260">
        <v>9000</v>
      </c>
      <c r="DX35" s="277">
        <f>DV35+DW35</f>
        <v>0</v>
      </c>
      <c r="DY35" s="277">
        <f>8000*12</f>
        <v>96000</v>
      </c>
      <c r="DZ35" s="260">
        <f>+AP35+AS35+AV35+AY35+BB35+BE35+BH35+BK35+BN35+BQ35+BT35+BW35</f>
        <v>56000</v>
      </c>
      <c r="EA35" s="363">
        <f>DX35+DY35-DZ35</f>
        <v>40000</v>
      </c>
      <c r="EB35" s="369">
        <f>9000*12</f>
        <v>108000</v>
      </c>
      <c r="EC35" s="260">
        <f t="shared" si="6"/>
        <v>121000</v>
      </c>
      <c r="ED35" s="338">
        <f>EA35+EB35-EC35</f>
        <v>27000</v>
      </c>
      <c r="EE35" s="434"/>
      <c r="EG35" s="265">
        <v>603</v>
      </c>
      <c r="EH35" s="481" t="s">
        <v>1356</v>
      </c>
      <c r="EI35" s="512">
        <f>9000*12</f>
        <v>108000</v>
      </c>
      <c r="EJ35" s="505">
        <v>27000</v>
      </c>
      <c r="EK35" s="512">
        <f>9000*2</f>
        <v>18000</v>
      </c>
      <c r="EL35" s="260">
        <f>DK35+DN35</f>
        <v>18000</v>
      </c>
      <c r="EM35" s="505">
        <f>EJ35+EK35-EL35</f>
        <v>27000</v>
      </c>
    </row>
    <row r="36" spans="2:143" ht="15" customHeight="1" thickBot="1" x14ac:dyDescent="0.35">
      <c r="B36" s="3" t="s">
        <v>1357</v>
      </c>
      <c r="C36" s="9">
        <v>604</v>
      </c>
      <c r="D36" s="67">
        <f>-44000-5500-5500+49500-5500+5500-5500+11000-5500-5500-5500-5500+22000</f>
        <v>0</v>
      </c>
      <c r="E36" s="95"/>
      <c r="F36" s="37"/>
      <c r="G36" s="38"/>
      <c r="H36" s="95">
        <v>49500</v>
      </c>
      <c r="I36" s="37" t="s">
        <v>207</v>
      </c>
      <c r="J36" s="38">
        <v>44964</v>
      </c>
      <c r="K36" s="95">
        <v>5500</v>
      </c>
      <c r="L36" s="37" t="s">
        <v>251</v>
      </c>
      <c r="M36" s="38">
        <v>44990</v>
      </c>
      <c r="N36" s="95">
        <v>11000</v>
      </c>
      <c r="O36" s="37" t="s">
        <v>325</v>
      </c>
      <c r="P36" s="38">
        <v>45022</v>
      </c>
      <c r="Q36" s="95"/>
      <c r="R36" s="37"/>
      <c r="S36" s="38"/>
      <c r="T36" s="95"/>
      <c r="U36" s="37"/>
      <c r="V36" s="38"/>
      <c r="W36" s="95"/>
      <c r="X36" s="37"/>
      <c r="Y36" s="38"/>
      <c r="Z36" s="95">
        <v>22000</v>
      </c>
      <c r="AA36" s="37" t="s">
        <v>511</v>
      </c>
      <c r="AB36" s="38">
        <v>45165</v>
      </c>
      <c r="AC36" s="95">
        <v>5500</v>
      </c>
      <c r="AD36" s="37" t="s">
        <v>574</v>
      </c>
      <c r="AE36" s="38">
        <v>45191</v>
      </c>
      <c r="AF36" s="95"/>
      <c r="AG36" s="37"/>
      <c r="AH36" s="38"/>
      <c r="AI36" s="95"/>
      <c r="AJ36" s="37"/>
      <c r="AK36" s="38"/>
      <c r="AL36" s="95">
        <v>16500</v>
      </c>
      <c r="AM36" s="37" t="s">
        <v>643</v>
      </c>
      <c r="AN36" s="38">
        <v>45281</v>
      </c>
      <c r="AO36" s="258"/>
      <c r="AP36" s="95">
        <v>5500</v>
      </c>
      <c r="AQ36" s="37" t="s">
        <v>702</v>
      </c>
      <c r="AR36" s="38">
        <v>45318</v>
      </c>
      <c r="AS36" s="95">
        <v>5500</v>
      </c>
      <c r="AT36" s="37" t="s">
        <v>723</v>
      </c>
      <c r="AU36" s="38">
        <v>45351</v>
      </c>
      <c r="AV36" s="95">
        <v>5500</v>
      </c>
      <c r="AW36" s="37" t="s">
        <v>783</v>
      </c>
      <c r="AX36" s="38">
        <v>45380</v>
      </c>
      <c r="AY36" s="95">
        <v>5500</v>
      </c>
      <c r="AZ36" s="37" t="s">
        <v>858</v>
      </c>
      <c r="BA36" s="38">
        <v>45412</v>
      </c>
      <c r="BB36" s="95">
        <v>5500</v>
      </c>
      <c r="BC36" s="37" t="s">
        <v>892</v>
      </c>
      <c r="BD36" s="38">
        <v>45442</v>
      </c>
      <c r="BE36" s="95">
        <v>5500</v>
      </c>
      <c r="BF36" s="37" t="s">
        <v>916</v>
      </c>
      <c r="BG36" s="38">
        <v>45473</v>
      </c>
      <c r="BH36" s="95">
        <v>5500</v>
      </c>
      <c r="BI36" s="37" t="s">
        <v>935</v>
      </c>
      <c r="BJ36" s="38">
        <v>45503</v>
      </c>
      <c r="BK36" s="95"/>
      <c r="BL36" s="37"/>
      <c r="BM36" s="38"/>
      <c r="BN36" s="95">
        <v>11000</v>
      </c>
      <c r="BO36" s="37" t="s">
        <v>1024</v>
      </c>
      <c r="BP36" s="38">
        <v>45564</v>
      </c>
      <c r="BQ36" s="95">
        <v>5500</v>
      </c>
      <c r="BR36" s="37" t="s">
        <v>1059</v>
      </c>
      <c r="BS36" s="38">
        <v>45596</v>
      </c>
      <c r="BT36" s="95">
        <v>5500</v>
      </c>
      <c r="BU36" s="37" t="s">
        <v>1088</v>
      </c>
      <c r="BV36" s="352">
        <v>45624</v>
      </c>
      <c r="BW36" s="95">
        <v>5500</v>
      </c>
      <c r="BX36" s="37" t="s">
        <v>1161</v>
      </c>
      <c r="BY36" s="38">
        <v>45657</v>
      </c>
      <c r="BZ36" s="350"/>
      <c r="CA36" s="73">
        <v>5500</v>
      </c>
      <c r="CB36" s="37" t="s">
        <v>1190</v>
      </c>
      <c r="CC36" s="38">
        <v>45688</v>
      </c>
      <c r="CD36" s="95"/>
      <c r="CE36" s="37"/>
      <c r="CF36" s="38"/>
      <c r="CG36" s="95">
        <v>11000</v>
      </c>
      <c r="CH36" s="37" t="s">
        <v>1274</v>
      </c>
      <c r="CI36" s="38">
        <v>45744</v>
      </c>
      <c r="CJ36" s="95">
        <v>5500</v>
      </c>
      <c r="CK36" s="37" t="s">
        <v>1298</v>
      </c>
      <c r="CL36" s="38">
        <v>45775</v>
      </c>
      <c r="CM36" s="95">
        <v>5500</v>
      </c>
      <c r="CN36" s="37" t="s">
        <v>1320</v>
      </c>
      <c r="CO36" s="38">
        <v>45808</v>
      </c>
      <c r="CP36" s="95">
        <v>5500</v>
      </c>
      <c r="CQ36" s="37" t="s">
        <v>1388</v>
      </c>
      <c r="CR36" s="38">
        <v>45838</v>
      </c>
      <c r="CS36" s="95">
        <v>5500</v>
      </c>
      <c r="CT36" s="37" t="s">
        <v>1452</v>
      </c>
      <c r="CU36" s="38">
        <v>45869</v>
      </c>
      <c r="CV36" s="95">
        <v>5500</v>
      </c>
      <c r="CW36" s="37" t="s">
        <v>1475</v>
      </c>
      <c r="CX36" s="38">
        <v>45886</v>
      </c>
      <c r="CY36" s="95">
        <v>5500</v>
      </c>
      <c r="CZ36" s="37" t="s">
        <v>1528</v>
      </c>
      <c r="DA36" s="38">
        <v>45928</v>
      </c>
      <c r="DB36" s="95">
        <v>5500</v>
      </c>
      <c r="DC36" s="37" t="s">
        <v>1624</v>
      </c>
      <c r="DD36" s="38">
        <v>45961</v>
      </c>
      <c r="DE36" s="95">
        <v>5500</v>
      </c>
      <c r="DF36" s="37" t="s">
        <v>1708</v>
      </c>
      <c r="DG36" s="38">
        <v>45991</v>
      </c>
      <c r="DH36" s="95">
        <v>5500</v>
      </c>
      <c r="DI36" s="37" t="s">
        <v>1804</v>
      </c>
      <c r="DJ36" s="38">
        <v>46016</v>
      </c>
      <c r="DK36" s="95">
        <v>5500</v>
      </c>
      <c r="DL36" s="37" t="s">
        <v>1844</v>
      </c>
      <c r="DM36" s="38">
        <v>46051</v>
      </c>
      <c r="DN36" s="95"/>
      <c r="DO36" s="37"/>
      <c r="DP36" s="38"/>
      <c r="DQ36" s="77"/>
      <c r="DR36" s="266">
        <v>604</v>
      </c>
      <c r="DS36" s="482" t="s">
        <v>1357</v>
      </c>
      <c r="DT36" s="267">
        <f>5500*12</f>
        <v>66000</v>
      </c>
      <c r="DU36" s="267">
        <f>E36+H36+K36+N36+Q36+T36+W36+Z36+AC36+AF36+AI36+AL36</f>
        <v>110000</v>
      </c>
      <c r="DV36" s="267">
        <f>DT36-DU36</f>
        <v>-44000</v>
      </c>
      <c r="DW36" s="267">
        <v>44000</v>
      </c>
      <c r="DX36" s="339">
        <f>DV36+DW36</f>
        <v>0</v>
      </c>
      <c r="DY36" s="339">
        <f>5500*12</f>
        <v>66000</v>
      </c>
      <c r="DZ36" s="267">
        <f>+AP36+AS36+AV36+AY36+BB36+BE36+BH36+BK36+BN36+BQ36+BT36+BW36</f>
        <v>66000</v>
      </c>
      <c r="EA36" s="364">
        <f>DX36+DY36-DZ36</f>
        <v>0</v>
      </c>
      <c r="EB36" s="370">
        <f>5500*12</f>
        <v>66000</v>
      </c>
      <c r="EC36" s="267">
        <f t="shared" si="6"/>
        <v>66000</v>
      </c>
      <c r="ED36" s="340">
        <f>EA36+EB36-EC36</f>
        <v>0</v>
      </c>
      <c r="EE36" s="435"/>
      <c r="EG36" s="266">
        <v>604</v>
      </c>
      <c r="EH36" s="482" t="s">
        <v>1357</v>
      </c>
      <c r="EI36" s="370">
        <f>5500*12</f>
        <v>66000</v>
      </c>
      <c r="EJ36" s="506">
        <v>0</v>
      </c>
      <c r="EK36" s="370">
        <f>5500*2</f>
        <v>11000</v>
      </c>
      <c r="EL36" s="267">
        <f>DK36+DN36</f>
        <v>5500</v>
      </c>
      <c r="EM36" s="506">
        <f>EJ36+EK36-EL36</f>
        <v>5500</v>
      </c>
    </row>
    <row r="37" spans="2:143" ht="5.25" customHeight="1" thickBot="1" x14ac:dyDescent="0.35">
      <c r="B37" s="13"/>
      <c r="C37" s="14"/>
      <c r="D37" s="66"/>
      <c r="E37" s="40"/>
      <c r="F37" s="15"/>
      <c r="G37" s="16"/>
      <c r="H37" s="142"/>
      <c r="I37" s="141"/>
      <c r="J37" s="143"/>
      <c r="K37" s="142"/>
      <c r="L37" s="141"/>
      <c r="M37" s="143"/>
      <c r="N37" s="142"/>
      <c r="O37" s="141"/>
      <c r="P37" s="143"/>
      <c r="Q37" s="142"/>
      <c r="R37" s="141"/>
      <c r="S37" s="143"/>
      <c r="T37" s="142"/>
      <c r="U37" s="141"/>
      <c r="V37" s="143"/>
      <c r="W37" s="142"/>
      <c r="X37" s="141"/>
      <c r="Y37" s="143"/>
      <c r="Z37" s="142"/>
      <c r="AA37" s="141"/>
      <c r="AB37" s="143"/>
      <c r="AC37" s="142"/>
      <c r="AD37" s="141"/>
      <c r="AE37" s="143"/>
      <c r="AF37" s="142"/>
      <c r="AG37" s="141"/>
      <c r="AH37" s="143"/>
      <c r="AI37" s="142"/>
      <c r="AJ37" s="141"/>
      <c r="AK37" s="143"/>
      <c r="AL37" s="142"/>
      <c r="AM37" s="244"/>
      <c r="AN37" s="143"/>
      <c r="AO37" s="257"/>
      <c r="AP37" s="142"/>
      <c r="AQ37" s="141"/>
      <c r="AR37" s="143"/>
      <c r="AS37" s="142"/>
      <c r="AT37" s="141"/>
      <c r="AU37" s="143"/>
      <c r="AV37" s="142"/>
      <c r="AW37" s="141"/>
      <c r="AX37" s="143"/>
      <c r="AY37" s="142"/>
      <c r="AZ37" s="141"/>
      <c r="BA37" s="143"/>
      <c r="BB37" s="142"/>
      <c r="BC37" s="141"/>
      <c r="BD37" s="143"/>
      <c r="BE37" s="142"/>
      <c r="BF37" s="141"/>
      <c r="BG37" s="143"/>
      <c r="BH37" s="142"/>
      <c r="BI37" s="141"/>
      <c r="BJ37" s="143"/>
      <c r="BK37" s="142"/>
      <c r="BL37" s="141"/>
      <c r="BM37" s="143"/>
      <c r="BN37" s="142"/>
      <c r="BO37" s="141"/>
      <c r="BP37" s="143"/>
      <c r="BQ37" s="142"/>
      <c r="BR37" s="141"/>
      <c r="BS37" s="143"/>
      <c r="BT37" s="142"/>
      <c r="BU37" s="141"/>
      <c r="BV37" s="141"/>
      <c r="BW37" s="142"/>
      <c r="BX37" s="141"/>
      <c r="BY37" s="143"/>
      <c r="BZ37" s="349"/>
      <c r="CA37" s="141"/>
      <c r="CB37" s="141"/>
      <c r="CC37" s="143"/>
      <c r="CD37" s="142"/>
      <c r="CE37" s="141"/>
      <c r="CF37" s="143"/>
      <c r="CG37" s="142"/>
      <c r="CH37" s="141"/>
      <c r="CI37" s="143"/>
      <c r="CJ37" s="142"/>
      <c r="CK37" s="141"/>
      <c r="CL37" s="143"/>
      <c r="CM37" s="142"/>
      <c r="CN37" s="141"/>
      <c r="CO37" s="143"/>
      <c r="CP37" s="142"/>
      <c r="CQ37" s="141"/>
      <c r="CR37" s="143"/>
      <c r="CS37" s="142"/>
      <c r="CT37" s="141"/>
      <c r="CU37" s="143"/>
      <c r="CV37" s="142"/>
      <c r="CW37" s="141"/>
      <c r="CX37" s="143"/>
      <c r="CY37" s="142"/>
      <c r="CZ37" s="141"/>
      <c r="DA37" s="143"/>
      <c r="DB37" s="142"/>
      <c r="DC37" s="141"/>
      <c r="DD37" s="143"/>
      <c r="DE37" s="142"/>
      <c r="DF37" s="141"/>
      <c r="DG37" s="143"/>
      <c r="DH37" s="142"/>
      <c r="DI37" s="141"/>
      <c r="DJ37" s="143"/>
      <c r="DK37" s="142"/>
      <c r="DL37" s="141"/>
      <c r="DM37" s="143"/>
      <c r="DN37" s="142"/>
      <c r="DO37" s="141"/>
      <c r="DP37" s="143"/>
      <c r="DQ37" s="244"/>
      <c r="DR37" s="261"/>
      <c r="DS37" s="483"/>
      <c r="DT37" s="261"/>
      <c r="DU37" s="261"/>
      <c r="DV37" s="261"/>
      <c r="DW37" s="261"/>
      <c r="DX37" s="261"/>
      <c r="DY37" s="261"/>
      <c r="DZ37" s="261"/>
      <c r="EA37" s="261"/>
      <c r="EB37" s="261"/>
      <c r="EC37" s="261"/>
      <c r="ED37" s="261"/>
      <c r="EE37" s="432"/>
      <c r="EG37" s="261"/>
      <c r="EH37" s="483"/>
      <c r="EI37" s="261"/>
      <c r="EJ37" s="49"/>
      <c r="EM37" s="49"/>
    </row>
    <row r="38" spans="2:143" ht="15" customHeight="1" x14ac:dyDescent="0.3">
      <c r="B38" s="3" t="s">
        <v>1358</v>
      </c>
      <c r="C38" s="9">
        <v>701</v>
      </c>
      <c r="D38" s="97"/>
      <c r="E38" s="95"/>
      <c r="F38" s="37"/>
      <c r="G38" s="38"/>
      <c r="H38" s="95">
        <v>7500</v>
      </c>
      <c r="I38" s="37" t="s">
        <v>217</v>
      </c>
      <c r="J38" s="38">
        <v>44970</v>
      </c>
      <c r="K38" s="95">
        <v>7500</v>
      </c>
      <c r="L38" s="37" t="s">
        <v>252</v>
      </c>
      <c r="M38" s="38">
        <v>44992</v>
      </c>
      <c r="N38" s="95">
        <v>7500</v>
      </c>
      <c r="O38" s="37" t="s">
        <v>324</v>
      </c>
      <c r="P38" s="38">
        <v>45022</v>
      </c>
      <c r="Q38" s="95">
        <v>7500</v>
      </c>
      <c r="R38" s="37" t="s">
        <v>360</v>
      </c>
      <c r="S38" s="38">
        <v>45056</v>
      </c>
      <c r="T38" s="95">
        <v>7500</v>
      </c>
      <c r="U38" s="37" t="s">
        <v>430</v>
      </c>
      <c r="V38" s="38">
        <v>45085</v>
      </c>
      <c r="W38" s="95">
        <v>7500</v>
      </c>
      <c r="X38" s="37" t="s">
        <v>456</v>
      </c>
      <c r="Y38" s="38">
        <v>45118</v>
      </c>
      <c r="Z38" s="95">
        <v>7500</v>
      </c>
      <c r="AA38" s="37" t="s">
        <v>492</v>
      </c>
      <c r="AB38" s="38">
        <v>45146</v>
      </c>
      <c r="AC38" s="95">
        <v>7500</v>
      </c>
      <c r="AD38" s="37" t="s">
        <v>564</v>
      </c>
      <c r="AE38" s="38">
        <v>45180</v>
      </c>
      <c r="AF38" s="95">
        <v>7500</v>
      </c>
      <c r="AG38" s="37" t="s">
        <v>586</v>
      </c>
      <c r="AH38" s="38">
        <v>45209</v>
      </c>
      <c r="AI38" s="95">
        <v>7500</v>
      </c>
      <c r="AJ38" s="37" t="s">
        <v>618</v>
      </c>
      <c r="AK38" s="38">
        <v>45241</v>
      </c>
      <c r="AL38" s="95">
        <v>7500</v>
      </c>
      <c r="AM38" s="37" t="s">
        <v>639</v>
      </c>
      <c r="AN38" s="38">
        <v>45272</v>
      </c>
      <c r="AO38" s="258"/>
      <c r="AP38" s="95">
        <v>7500</v>
      </c>
      <c r="AQ38" s="37" t="s">
        <v>660</v>
      </c>
      <c r="AR38" s="38">
        <v>45301</v>
      </c>
      <c r="AS38" s="95">
        <v>7500</v>
      </c>
      <c r="AT38" s="37" t="s">
        <v>711</v>
      </c>
      <c r="AU38" s="38">
        <v>45333</v>
      </c>
      <c r="AV38" s="95">
        <v>7500</v>
      </c>
      <c r="AW38" s="37" t="s">
        <v>777</v>
      </c>
      <c r="AX38" s="38">
        <v>45364</v>
      </c>
      <c r="AY38" s="95">
        <v>7500</v>
      </c>
      <c r="AZ38" s="37" t="s">
        <v>800</v>
      </c>
      <c r="BA38" s="38">
        <v>45394</v>
      </c>
      <c r="BB38" s="95">
        <v>7500</v>
      </c>
      <c r="BC38" s="37" t="s">
        <v>872</v>
      </c>
      <c r="BD38" s="38">
        <v>45426</v>
      </c>
      <c r="BE38" s="95">
        <v>7500</v>
      </c>
      <c r="BF38" s="37" t="s">
        <v>913</v>
      </c>
      <c r="BG38" s="38">
        <v>45460</v>
      </c>
      <c r="BH38" s="95">
        <v>7500</v>
      </c>
      <c r="BI38" s="37" t="s">
        <v>933</v>
      </c>
      <c r="BJ38" s="38">
        <v>45486</v>
      </c>
      <c r="BK38" s="95">
        <v>7500</v>
      </c>
      <c r="BL38" s="37" t="s">
        <v>1041</v>
      </c>
      <c r="BM38" s="38">
        <v>45519</v>
      </c>
      <c r="BN38" s="95">
        <v>7500</v>
      </c>
      <c r="BO38" s="37" t="s">
        <v>1020</v>
      </c>
      <c r="BP38" s="38">
        <v>45554</v>
      </c>
      <c r="BQ38" s="95"/>
      <c r="BR38" s="37"/>
      <c r="BS38" s="38"/>
      <c r="BT38" s="95">
        <v>15000</v>
      </c>
      <c r="BU38" s="37" t="s">
        <v>1080</v>
      </c>
      <c r="BV38" s="352">
        <v>45607</v>
      </c>
      <c r="BW38" s="95">
        <v>7500</v>
      </c>
      <c r="BX38" s="37" t="s">
        <v>1105</v>
      </c>
      <c r="BY38" s="38">
        <v>45653</v>
      </c>
      <c r="BZ38" s="350"/>
      <c r="CA38" s="73">
        <v>7500</v>
      </c>
      <c r="CB38" s="37" t="s">
        <v>1187</v>
      </c>
      <c r="CC38" s="38">
        <v>45683</v>
      </c>
      <c r="CD38" s="95">
        <v>5500</v>
      </c>
      <c r="CE38" s="37" t="s">
        <v>1204</v>
      </c>
      <c r="CF38" s="38">
        <v>45711</v>
      </c>
      <c r="CG38" s="95">
        <v>5500</v>
      </c>
      <c r="CH38" s="37" t="s">
        <v>1286</v>
      </c>
      <c r="CI38" s="38">
        <v>45744</v>
      </c>
      <c r="CJ38" s="95">
        <v>5500</v>
      </c>
      <c r="CK38" s="37" t="s">
        <v>1287</v>
      </c>
      <c r="CL38" s="38">
        <v>45762</v>
      </c>
      <c r="CM38" s="95">
        <v>7500</v>
      </c>
      <c r="CN38" s="37" t="s">
        <v>1315</v>
      </c>
      <c r="CO38" s="38">
        <v>45795</v>
      </c>
      <c r="CP38" s="95">
        <v>5500</v>
      </c>
      <c r="CQ38" s="37" t="s">
        <v>1327</v>
      </c>
      <c r="CR38" s="38">
        <v>45818</v>
      </c>
      <c r="CS38" s="95"/>
      <c r="CT38" s="37"/>
      <c r="CU38" s="38"/>
      <c r="CV38" s="95">
        <v>11000</v>
      </c>
      <c r="CW38" s="37" t="s">
        <v>1458</v>
      </c>
      <c r="CX38" s="38">
        <v>45884</v>
      </c>
      <c r="CY38" s="95"/>
      <c r="CZ38" s="37"/>
      <c r="DA38" s="38"/>
      <c r="DB38" s="95">
        <v>15000</v>
      </c>
      <c r="DC38" s="37" t="s">
        <v>1562</v>
      </c>
      <c r="DD38" s="38">
        <v>45932</v>
      </c>
      <c r="DE38" s="95">
        <v>5500</v>
      </c>
      <c r="DF38" s="37" t="s">
        <v>1673</v>
      </c>
      <c r="DG38" s="38">
        <v>45980</v>
      </c>
      <c r="DH38" s="95">
        <v>5501</v>
      </c>
      <c r="DI38" s="37" t="s">
        <v>1719</v>
      </c>
      <c r="DJ38" s="38">
        <v>46000</v>
      </c>
      <c r="DK38" s="95">
        <v>5500</v>
      </c>
      <c r="DL38" s="37" t="s">
        <v>1771</v>
      </c>
      <c r="DM38" s="38">
        <v>46033</v>
      </c>
      <c r="DN38" s="95"/>
      <c r="DO38" s="37"/>
      <c r="DP38" s="38"/>
      <c r="DQ38" s="77"/>
      <c r="DR38" s="262">
        <v>701</v>
      </c>
      <c r="DS38" s="480" t="s">
        <v>1358</v>
      </c>
      <c r="DT38" s="263">
        <f>7500*12</f>
        <v>90000</v>
      </c>
      <c r="DU38" s="263">
        <f>E38+H38+K38+N38+Q38+T38+W38+Z38+AC38+AF38+AI38+AL38</f>
        <v>82500</v>
      </c>
      <c r="DV38" s="263">
        <f>DT38-DU38</f>
        <v>7500</v>
      </c>
      <c r="DW38" s="263">
        <v>-7500</v>
      </c>
      <c r="DX38" s="276">
        <f>DV38+DW38</f>
        <v>0</v>
      </c>
      <c r="DY38" s="276">
        <f>7500*12</f>
        <v>90000</v>
      </c>
      <c r="DZ38" s="263">
        <f>+AP38+AS38+AV38+AY38+BB38+BE38+BH38+BK38+BN38+BQ38+BT38+BW38</f>
        <v>90000</v>
      </c>
      <c r="EA38" s="362">
        <f>DX38+DY38-DZ38</f>
        <v>0</v>
      </c>
      <c r="EB38" s="276">
        <f>7500+5500+5500+5500+7500+5500+5500+5500+7500+7500+5501+5500</f>
        <v>74001</v>
      </c>
      <c r="EC38" s="263">
        <f>CA38+CD38+CG38+CJ38+CM38+CP38+CS38+CV38+CY38+DB38+DE38+DH38</f>
        <v>74001</v>
      </c>
      <c r="ED38" s="264">
        <f>EA38+EB38-EC38</f>
        <v>0</v>
      </c>
      <c r="EE38" s="433"/>
      <c r="EG38" s="262">
        <v>701</v>
      </c>
      <c r="EH38" s="480" t="s">
        <v>1358</v>
      </c>
      <c r="EI38" s="276">
        <f>5500*12</f>
        <v>66000</v>
      </c>
      <c r="EJ38" s="504">
        <v>0</v>
      </c>
      <c r="EK38" s="276">
        <f>5500*2</f>
        <v>11000</v>
      </c>
      <c r="EL38" s="263">
        <f>DK38+DN38</f>
        <v>5500</v>
      </c>
      <c r="EM38" s="504">
        <f>EJ38+EK38-EL38</f>
        <v>5500</v>
      </c>
    </row>
    <row r="39" spans="2:143" ht="15" customHeight="1" x14ac:dyDescent="0.3">
      <c r="B39" s="3" t="s">
        <v>38</v>
      </c>
      <c r="C39" s="9">
        <v>702</v>
      </c>
      <c r="D39" s="97" t="e">
        <f>+#REF!</f>
        <v>#REF!</v>
      </c>
      <c r="E39" s="95">
        <v>5500</v>
      </c>
      <c r="F39" s="37" t="s">
        <v>183</v>
      </c>
      <c r="G39" s="38">
        <v>44938</v>
      </c>
      <c r="H39" s="95">
        <v>5500</v>
      </c>
      <c r="I39" s="37" t="s">
        <v>216</v>
      </c>
      <c r="J39" s="38">
        <v>44970</v>
      </c>
      <c r="K39" s="95">
        <v>5500</v>
      </c>
      <c r="L39" s="37" t="s">
        <v>259</v>
      </c>
      <c r="M39" s="38">
        <v>44997</v>
      </c>
      <c r="N39" s="95">
        <v>5500</v>
      </c>
      <c r="O39" s="37" t="s">
        <v>332</v>
      </c>
      <c r="P39" s="38">
        <v>45027</v>
      </c>
      <c r="Q39" s="95">
        <v>5500</v>
      </c>
      <c r="R39" s="37" t="s">
        <v>366</v>
      </c>
      <c r="S39" s="38">
        <v>45057</v>
      </c>
      <c r="T39" s="95">
        <v>5500</v>
      </c>
      <c r="U39" s="37" t="s">
        <v>437</v>
      </c>
      <c r="V39" s="38">
        <v>45090</v>
      </c>
      <c r="W39" s="95">
        <v>5500</v>
      </c>
      <c r="X39" s="37" t="s">
        <v>453</v>
      </c>
      <c r="Y39" s="38">
        <v>45117</v>
      </c>
      <c r="Z39" s="95">
        <v>5500</v>
      </c>
      <c r="AA39" s="37" t="s">
        <v>493</v>
      </c>
      <c r="AB39" s="38">
        <v>45147</v>
      </c>
      <c r="AC39" s="95">
        <v>5500</v>
      </c>
      <c r="AD39" s="37" t="s">
        <v>567</v>
      </c>
      <c r="AE39" s="38">
        <v>45181</v>
      </c>
      <c r="AF39" s="95"/>
      <c r="AG39" s="37"/>
      <c r="AH39" s="38"/>
      <c r="AI39" s="95"/>
      <c r="AJ39" s="37"/>
      <c r="AK39" s="38"/>
      <c r="AL39" s="95">
        <f>4000+4000+5500</f>
        <v>13500</v>
      </c>
      <c r="AM39" s="37" t="s">
        <v>644</v>
      </c>
      <c r="AN39" s="38">
        <v>45281</v>
      </c>
      <c r="AO39" s="258"/>
      <c r="AP39" s="95">
        <v>5500</v>
      </c>
      <c r="AQ39" s="37" t="s">
        <v>659</v>
      </c>
      <c r="AR39" s="38">
        <v>45302</v>
      </c>
      <c r="AS39" s="95">
        <v>5500</v>
      </c>
      <c r="AT39" s="37" t="s">
        <v>710</v>
      </c>
      <c r="AU39" s="38">
        <v>45332</v>
      </c>
      <c r="AV39" s="95">
        <v>5500</v>
      </c>
      <c r="AW39" s="37" t="s">
        <v>769</v>
      </c>
      <c r="AX39" s="38">
        <v>45362</v>
      </c>
      <c r="AY39" s="95">
        <v>5500</v>
      </c>
      <c r="AZ39" s="37" t="s">
        <v>799</v>
      </c>
      <c r="BA39" s="38">
        <v>45386</v>
      </c>
      <c r="BB39" s="95">
        <v>5500</v>
      </c>
      <c r="BC39" s="37" t="s">
        <v>869</v>
      </c>
      <c r="BD39" s="38">
        <v>45424</v>
      </c>
      <c r="BE39" s="95">
        <v>5500</v>
      </c>
      <c r="BF39" s="37" t="s">
        <v>907</v>
      </c>
      <c r="BG39" s="38">
        <v>45453</v>
      </c>
      <c r="BH39" s="95">
        <v>5500</v>
      </c>
      <c r="BI39" s="37" t="s">
        <v>928</v>
      </c>
      <c r="BJ39" s="38">
        <v>45484</v>
      </c>
      <c r="BK39" s="95">
        <v>5500</v>
      </c>
      <c r="BL39" s="37" t="s">
        <v>1038</v>
      </c>
      <c r="BM39" s="38">
        <v>45515</v>
      </c>
      <c r="BN39" s="95">
        <v>5500</v>
      </c>
      <c r="BO39" s="37" t="s">
        <v>1019</v>
      </c>
      <c r="BP39" s="38">
        <v>45550</v>
      </c>
      <c r="BQ39" s="95">
        <v>5500</v>
      </c>
      <c r="BR39" s="37" t="s">
        <v>1049</v>
      </c>
      <c r="BS39" s="38">
        <v>45576</v>
      </c>
      <c r="BT39" s="95">
        <v>5500</v>
      </c>
      <c r="BU39" s="37" t="s">
        <v>1081</v>
      </c>
      <c r="BV39" s="352">
        <v>45608</v>
      </c>
      <c r="BW39" s="95">
        <v>5500</v>
      </c>
      <c r="BX39" s="37" t="s">
        <v>1101</v>
      </c>
      <c r="BY39" s="38">
        <v>45640</v>
      </c>
      <c r="BZ39" s="350"/>
      <c r="CA39" s="73">
        <v>5500</v>
      </c>
      <c r="CB39" s="37" t="s">
        <v>1181</v>
      </c>
      <c r="CC39" s="38">
        <v>45669</v>
      </c>
      <c r="CD39" s="95">
        <v>5500</v>
      </c>
      <c r="CE39" s="37" t="s">
        <v>1200</v>
      </c>
      <c r="CF39" s="38">
        <v>45701</v>
      </c>
      <c r="CG39" s="95">
        <v>5500</v>
      </c>
      <c r="CH39" s="37" t="s">
        <v>1223</v>
      </c>
      <c r="CI39" s="38">
        <v>45723</v>
      </c>
      <c r="CJ39" s="95">
        <v>5500</v>
      </c>
      <c r="CK39" s="37" t="s">
        <v>1291</v>
      </c>
      <c r="CL39" s="38">
        <v>45770</v>
      </c>
      <c r="CM39" s="95">
        <v>5500</v>
      </c>
      <c r="CN39" s="37" t="s">
        <v>1305</v>
      </c>
      <c r="CO39" s="38">
        <v>45788</v>
      </c>
      <c r="CP39" s="95">
        <v>5500</v>
      </c>
      <c r="CQ39" s="37" t="s">
        <v>1328</v>
      </c>
      <c r="CR39" s="38">
        <v>45818</v>
      </c>
      <c r="CS39" s="95">
        <v>5500</v>
      </c>
      <c r="CT39" s="37" t="s">
        <v>1396</v>
      </c>
      <c r="CU39" s="38">
        <v>45852</v>
      </c>
      <c r="CV39" s="95">
        <v>5500</v>
      </c>
      <c r="CW39" s="37" t="s">
        <v>1456</v>
      </c>
      <c r="CX39" s="38">
        <v>45879</v>
      </c>
      <c r="CY39" s="95">
        <v>5500</v>
      </c>
      <c r="CZ39" s="37" t="s">
        <v>1519</v>
      </c>
      <c r="DA39" s="38">
        <v>45913</v>
      </c>
      <c r="DB39" s="95"/>
      <c r="DC39" s="37"/>
      <c r="DD39" s="38"/>
      <c r="DE39" s="95"/>
      <c r="DF39" s="37"/>
      <c r="DG39" s="38"/>
      <c r="DH39" s="95"/>
      <c r="DI39" s="37"/>
      <c r="DJ39" s="38"/>
      <c r="DK39" s="95"/>
      <c r="DL39" s="37"/>
      <c r="DM39" s="38"/>
      <c r="DN39" s="95">
        <v>21500</v>
      </c>
      <c r="DO39" s="37" t="s">
        <v>1850</v>
      </c>
      <c r="DP39" s="38">
        <v>46061</v>
      </c>
      <c r="DQ39" s="77"/>
      <c r="DR39" s="265">
        <v>702</v>
      </c>
      <c r="DS39" s="481" t="s">
        <v>38</v>
      </c>
      <c r="DT39" s="260">
        <f>55000+8000</f>
        <v>63000</v>
      </c>
      <c r="DU39" s="260">
        <f>E39+H39+K39+N39+Q39+T39+W39+Z39+AC39+AF39+AI39+AL39</f>
        <v>63000</v>
      </c>
      <c r="DV39" s="260">
        <f>DT39-DU39</f>
        <v>0</v>
      </c>
      <c r="DW39" s="260">
        <v>0</v>
      </c>
      <c r="DX39" s="277">
        <f>DV39+DW39</f>
        <v>0</v>
      </c>
      <c r="DY39" s="277">
        <f>5500*12</f>
        <v>66000</v>
      </c>
      <c r="DZ39" s="260">
        <f>+AP39+AS39+AV39+AY39+BB39+BE39+BH39+BK39+BN39+BQ39+BT39+BW39</f>
        <v>66000</v>
      </c>
      <c r="EA39" s="363">
        <f>DX39+DY39-DZ39</f>
        <v>0</v>
      </c>
      <c r="EB39" s="277">
        <f>5500+5500+5500+5500+5500+5500+5500+5500+5500+4000+4000+4000</f>
        <v>61500</v>
      </c>
      <c r="EC39" s="260">
        <f t="shared" ref="EC39:EC41" si="7">CA39+CD39+CG39+CJ39+CM39+CP39+CS39+CV39+CY39+DB39+DE39+DH39</f>
        <v>49500</v>
      </c>
      <c r="ED39" s="338">
        <f>EA39+EB39-EC39</f>
        <v>12000</v>
      </c>
      <c r="EE39" s="434"/>
      <c r="EG39" s="265">
        <v>702</v>
      </c>
      <c r="EH39" s="481" t="s">
        <v>38</v>
      </c>
      <c r="EI39" s="277">
        <f>5500*12</f>
        <v>66000</v>
      </c>
      <c r="EJ39" s="505">
        <v>12000</v>
      </c>
      <c r="EK39" s="277">
        <f>4000+5500</f>
        <v>9500</v>
      </c>
      <c r="EL39" s="260">
        <f>DK39+DN39</f>
        <v>21500</v>
      </c>
      <c r="EM39" s="505">
        <f>EJ39+EK39-EL39</f>
        <v>0</v>
      </c>
    </row>
    <row r="40" spans="2:143" x14ac:dyDescent="0.3">
      <c r="B40" s="3" t="s">
        <v>1359</v>
      </c>
      <c r="C40" s="9">
        <v>703</v>
      </c>
      <c r="D40" s="113">
        <v>-9000</v>
      </c>
      <c r="E40" s="95">
        <v>9000</v>
      </c>
      <c r="F40" s="37" t="s">
        <v>185</v>
      </c>
      <c r="G40" s="38">
        <v>44940</v>
      </c>
      <c r="H40" s="95">
        <v>9000</v>
      </c>
      <c r="I40" s="37" t="s">
        <v>214</v>
      </c>
      <c r="J40" s="38">
        <v>44969</v>
      </c>
      <c r="K40" s="95">
        <v>9000</v>
      </c>
      <c r="L40" s="37" t="s">
        <v>260</v>
      </c>
      <c r="M40" s="38">
        <v>44997</v>
      </c>
      <c r="N40" s="95"/>
      <c r="O40" s="37"/>
      <c r="P40" s="38"/>
      <c r="Q40" s="95">
        <v>9000</v>
      </c>
      <c r="R40" s="37" t="s">
        <v>355</v>
      </c>
      <c r="S40" s="38">
        <v>45055</v>
      </c>
      <c r="T40" s="95">
        <v>9000</v>
      </c>
      <c r="U40" s="37" t="s">
        <v>433</v>
      </c>
      <c r="V40" s="38">
        <v>45088</v>
      </c>
      <c r="W40" s="95">
        <v>9000</v>
      </c>
      <c r="X40" s="37" t="s">
        <v>461</v>
      </c>
      <c r="Y40" s="38">
        <v>45111</v>
      </c>
      <c r="Z40" s="95">
        <v>9000</v>
      </c>
      <c r="AA40" s="37" t="s">
        <v>488</v>
      </c>
      <c r="AB40" s="38">
        <v>45144</v>
      </c>
      <c r="AC40" s="95">
        <v>9000</v>
      </c>
      <c r="AD40" s="37" t="s">
        <v>563</v>
      </c>
      <c r="AE40" s="38">
        <v>45180</v>
      </c>
      <c r="AF40" s="95">
        <v>9000</v>
      </c>
      <c r="AG40" s="37" t="s">
        <v>607</v>
      </c>
      <c r="AH40" s="38">
        <v>45217</v>
      </c>
      <c r="AI40" s="95">
        <v>9000</v>
      </c>
      <c r="AJ40" s="37" t="s">
        <v>623</v>
      </c>
      <c r="AK40" s="38">
        <v>45247</v>
      </c>
      <c r="AL40" s="95">
        <v>9000</v>
      </c>
      <c r="AM40" s="37" t="s">
        <v>648</v>
      </c>
      <c r="AN40" s="38">
        <v>45287</v>
      </c>
      <c r="AO40" s="258"/>
      <c r="AP40" s="95">
        <v>9000</v>
      </c>
      <c r="AQ40" s="37" t="s">
        <v>698</v>
      </c>
      <c r="AR40" s="38">
        <v>45310</v>
      </c>
      <c r="AS40" s="95">
        <v>9000</v>
      </c>
      <c r="AT40" s="37" t="s">
        <v>721</v>
      </c>
      <c r="AU40" s="38">
        <v>45350</v>
      </c>
      <c r="AV40" s="95">
        <v>9000</v>
      </c>
      <c r="AW40" s="37" t="s">
        <v>780</v>
      </c>
      <c r="AX40" s="38">
        <v>45367</v>
      </c>
      <c r="AY40" s="95">
        <v>9000</v>
      </c>
      <c r="AZ40" s="37" t="s">
        <v>859</v>
      </c>
      <c r="BA40" s="38">
        <v>45412</v>
      </c>
      <c r="BB40" s="95">
        <v>9000</v>
      </c>
      <c r="BC40" s="37" t="s">
        <v>875</v>
      </c>
      <c r="BD40" s="38">
        <v>45437</v>
      </c>
      <c r="BE40" s="95">
        <v>9000</v>
      </c>
      <c r="BF40" s="37" t="s">
        <v>903</v>
      </c>
      <c r="BG40" s="38">
        <v>45448</v>
      </c>
      <c r="BH40" s="95">
        <v>9000</v>
      </c>
      <c r="BI40" s="37" t="s">
        <v>926</v>
      </c>
      <c r="BJ40" s="38">
        <v>45482</v>
      </c>
      <c r="BK40" s="95">
        <v>9000</v>
      </c>
      <c r="BL40" s="37" t="s">
        <v>1036</v>
      </c>
      <c r="BM40" s="38">
        <v>45514</v>
      </c>
      <c r="BN40" s="95">
        <v>9000</v>
      </c>
      <c r="BO40" s="37" t="s">
        <v>1002</v>
      </c>
      <c r="BP40" s="38">
        <v>45540</v>
      </c>
      <c r="BQ40" s="95">
        <v>9000</v>
      </c>
      <c r="BR40" s="37" t="s">
        <v>1050</v>
      </c>
      <c r="BS40" s="38">
        <v>45578</v>
      </c>
      <c r="BT40" s="95">
        <v>9000</v>
      </c>
      <c r="BU40" s="37" t="s">
        <v>1062</v>
      </c>
      <c r="BV40" s="352">
        <v>45601</v>
      </c>
      <c r="BW40" s="95">
        <v>9000</v>
      </c>
      <c r="BX40" s="37" t="s">
        <v>1098</v>
      </c>
      <c r="BY40" s="38">
        <v>45635</v>
      </c>
      <c r="BZ40" s="350"/>
      <c r="CA40" s="73">
        <v>9000</v>
      </c>
      <c r="CB40" s="37" t="s">
        <v>1179</v>
      </c>
      <c r="CC40" s="38">
        <v>45667</v>
      </c>
      <c r="CD40" s="95">
        <v>9000</v>
      </c>
      <c r="CE40" s="37" t="s">
        <v>1192</v>
      </c>
      <c r="CF40" s="38">
        <v>45691</v>
      </c>
      <c r="CG40" s="95">
        <v>9000</v>
      </c>
      <c r="CH40" s="37" t="s">
        <v>1222</v>
      </c>
      <c r="CI40" s="38">
        <v>45722</v>
      </c>
      <c r="CJ40" s="95">
        <v>9000</v>
      </c>
      <c r="CK40" s="37" t="s">
        <v>1289</v>
      </c>
      <c r="CL40" s="38">
        <v>45767</v>
      </c>
      <c r="CM40" s="95">
        <v>11000</v>
      </c>
      <c r="CN40" s="37" t="s">
        <v>1316</v>
      </c>
      <c r="CO40" s="38">
        <v>45795</v>
      </c>
      <c r="CP40" s="95">
        <v>11000</v>
      </c>
      <c r="CQ40" s="37" t="s">
        <v>1333</v>
      </c>
      <c r="CR40" s="38">
        <v>45820</v>
      </c>
      <c r="CS40" s="95">
        <v>11000</v>
      </c>
      <c r="CT40" s="37" t="s">
        <v>1401</v>
      </c>
      <c r="CU40" s="38">
        <v>45858</v>
      </c>
      <c r="CV40" s="436">
        <f>11000+9000</f>
        <v>20000</v>
      </c>
      <c r="CW40" s="420" t="s">
        <v>1478</v>
      </c>
      <c r="CX40" s="38">
        <v>45874</v>
      </c>
      <c r="CY40" s="95">
        <v>11000</v>
      </c>
      <c r="CZ40" s="37" t="s">
        <v>1505</v>
      </c>
      <c r="DA40" s="38">
        <v>45907</v>
      </c>
      <c r="DB40" s="95">
        <v>11000</v>
      </c>
      <c r="DC40" s="37" t="s">
        <v>1612</v>
      </c>
      <c r="DD40" s="38">
        <v>45937</v>
      </c>
      <c r="DE40" s="95">
        <v>11000</v>
      </c>
      <c r="DF40" s="37" t="s">
        <v>1642</v>
      </c>
      <c r="DG40" s="38">
        <v>45964</v>
      </c>
      <c r="DH40" s="95">
        <v>11000</v>
      </c>
      <c r="DI40" s="37" t="s">
        <v>1726</v>
      </c>
      <c r="DJ40" s="38">
        <v>46009</v>
      </c>
      <c r="DK40" s="95">
        <v>11000</v>
      </c>
      <c r="DL40" s="37" t="s">
        <v>1768</v>
      </c>
      <c r="DM40" s="38">
        <v>46035</v>
      </c>
      <c r="DN40" s="95">
        <v>11000</v>
      </c>
      <c r="DO40" s="37" t="s">
        <v>1853</v>
      </c>
      <c r="DP40" s="38">
        <v>46065</v>
      </c>
      <c r="DQ40" s="77"/>
      <c r="DR40" s="265">
        <v>703</v>
      </c>
      <c r="DS40" s="481" t="s">
        <v>1359</v>
      </c>
      <c r="DT40" s="260">
        <f>9000*12</f>
        <v>108000</v>
      </c>
      <c r="DU40" s="260">
        <f>E40+H40+K40+N40+Q40+T40+W40+Z40+AC40+AF40+AI40+AL40</f>
        <v>99000</v>
      </c>
      <c r="DV40" s="260">
        <f>DT40-DU40</f>
        <v>9000</v>
      </c>
      <c r="DW40" s="260">
        <v>0</v>
      </c>
      <c r="DX40" s="277">
        <f>DV40+DW40</f>
        <v>9000</v>
      </c>
      <c r="DY40" s="277">
        <f>9000*12</f>
        <v>108000</v>
      </c>
      <c r="DZ40" s="260">
        <f>+AP40+AS40+AV40+AY40+BB40+BE40+BH40+BK40+BN40+BQ40+BT40+BW40</f>
        <v>108000</v>
      </c>
      <c r="EA40" s="366">
        <f>DX40+DY40-DZ40</f>
        <v>9000</v>
      </c>
      <c r="EB40" s="372">
        <f>9000+9000+9000+9000+11000+11000+11000+11000+11000+11000+11000+11000</f>
        <v>124000</v>
      </c>
      <c r="EC40" s="260">
        <f t="shared" si="7"/>
        <v>133000</v>
      </c>
      <c r="ED40" s="338">
        <f>EA40+EB40-EC40</f>
        <v>0</v>
      </c>
      <c r="EE40" s="434"/>
      <c r="EG40" s="265">
        <v>703</v>
      </c>
      <c r="EH40" s="481" t="s">
        <v>1359</v>
      </c>
      <c r="EI40" s="372">
        <f>11000*12</f>
        <v>132000</v>
      </c>
      <c r="EJ40" s="505">
        <v>0</v>
      </c>
      <c r="EK40" s="372">
        <f>11000*2</f>
        <v>22000</v>
      </c>
      <c r="EL40" s="260">
        <f>DK40+DN40</f>
        <v>22000</v>
      </c>
      <c r="EM40" s="505">
        <f>EJ40+EK40-EL40</f>
        <v>0</v>
      </c>
    </row>
    <row r="41" spans="2:143" ht="15" customHeight="1" thickBot="1" x14ac:dyDescent="0.35">
      <c r="B41" s="3" t="s">
        <v>1360</v>
      </c>
      <c r="C41" s="9">
        <v>704</v>
      </c>
      <c r="D41" s="105">
        <v>7500</v>
      </c>
      <c r="E41" s="95">
        <f>7500+15000</f>
        <v>22500</v>
      </c>
      <c r="F41" s="37" t="s">
        <v>172</v>
      </c>
      <c r="G41" s="38" t="s">
        <v>173</v>
      </c>
      <c r="H41" s="95"/>
      <c r="I41" s="37"/>
      <c r="J41" s="38"/>
      <c r="K41" s="95">
        <v>30000</v>
      </c>
      <c r="L41" s="37" t="s">
        <v>265</v>
      </c>
      <c r="M41" s="38">
        <v>45016</v>
      </c>
      <c r="N41" s="95"/>
      <c r="O41" s="37"/>
      <c r="P41" s="38"/>
      <c r="Q41" s="95"/>
      <c r="R41" s="37"/>
      <c r="S41" s="38"/>
      <c r="T41" s="95"/>
      <c r="U41" s="37"/>
      <c r="V41" s="38"/>
      <c r="W41" s="95"/>
      <c r="X41" s="37"/>
      <c r="Y41" s="38"/>
      <c r="Z41" s="95"/>
      <c r="AA41" s="37"/>
      <c r="AB41" s="38"/>
      <c r="AC41" s="95"/>
      <c r="AD41" s="37"/>
      <c r="AE41" s="38"/>
      <c r="AF41" s="95">
        <v>30000</v>
      </c>
      <c r="AG41" s="37" t="s">
        <v>592</v>
      </c>
      <c r="AH41" s="38">
        <v>45221</v>
      </c>
      <c r="AI41" s="95"/>
      <c r="AJ41" s="37"/>
      <c r="AK41" s="38"/>
      <c r="AL41" s="95">
        <v>30000</v>
      </c>
      <c r="AM41" s="37" t="s">
        <v>676</v>
      </c>
      <c r="AN41" s="38">
        <v>45282</v>
      </c>
      <c r="AO41" s="258"/>
      <c r="AP41" s="95"/>
      <c r="AQ41" s="37"/>
      <c r="AR41" s="38"/>
      <c r="AS41" s="159"/>
      <c r="AT41" s="160"/>
      <c r="AU41" s="38"/>
      <c r="AV41" s="157"/>
      <c r="AW41" s="158"/>
      <c r="AX41" s="273"/>
      <c r="AY41" s="303">
        <v>22500</v>
      </c>
      <c r="AZ41" s="331" t="s">
        <v>971</v>
      </c>
      <c r="BA41" s="288">
        <v>45350</v>
      </c>
      <c r="BB41" s="157"/>
      <c r="BC41" s="158"/>
      <c r="BD41" s="273"/>
      <c r="BE41" s="157"/>
      <c r="BF41" s="158"/>
      <c r="BG41" s="273"/>
      <c r="BH41" s="157"/>
      <c r="BI41" s="158"/>
      <c r="BJ41" s="273"/>
      <c r="BK41" s="157"/>
      <c r="BL41" s="158"/>
      <c r="BM41" s="273"/>
      <c r="BN41" s="159">
        <v>30000</v>
      </c>
      <c r="BO41" s="37" t="s">
        <v>1069</v>
      </c>
      <c r="BP41" s="38">
        <v>45563</v>
      </c>
      <c r="BQ41" s="157"/>
      <c r="BR41" s="158"/>
      <c r="BS41" s="273"/>
      <c r="BT41" s="157"/>
      <c r="BU41" s="158"/>
      <c r="BV41" s="358"/>
      <c r="BW41" s="159">
        <v>30000</v>
      </c>
      <c r="BX41" s="160" t="s">
        <v>1120</v>
      </c>
      <c r="BY41" s="161">
        <v>45656</v>
      </c>
      <c r="BZ41" s="357"/>
      <c r="CA41" s="106"/>
      <c r="CB41" s="160"/>
      <c r="CC41" s="161"/>
      <c r="CD41" s="159"/>
      <c r="CE41" s="160"/>
      <c r="CF41" s="161"/>
      <c r="CG41" s="159"/>
      <c r="CH41" s="160"/>
      <c r="CI41" s="161"/>
      <c r="CJ41" s="159"/>
      <c r="CK41" s="160"/>
      <c r="CL41" s="161"/>
      <c r="CM41" s="159"/>
      <c r="CN41" s="160"/>
      <c r="CO41" s="161"/>
      <c r="CP41" s="159"/>
      <c r="CQ41" s="160"/>
      <c r="CR41" s="161"/>
      <c r="CS41" s="159"/>
      <c r="CT41" s="160"/>
      <c r="CU41" s="161"/>
      <c r="CV41" s="421">
        <v>60000</v>
      </c>
      <c r="CW41" s="37" t="s">
        <v>1472</v>
      </c>
      <c r="CX41" s="38">
        <v>45893</v>
      </c>
      <c r="CY41" s="95">
        <v>7500</v>
      </c>
      <c r="CZ41" s="37" t="s">
        <v>1508</v>
      </c>
      <c r="DA41" s="38">
        <v>45907</v>
      </c>
      <c r="DB41" s="95"/>
      <c r="DC41" s="37"/>
      <c r="DD41" s="38"/>
      <c r="DE41" s="95">
        <v>7500</v>
      </c>
      <c r="DF41" s="37" t="s">
        <v>1667</v>
      </c>
      <c r="DG41" s="38">
        <v>45967</v>
      </c>
      <c r="DH41" s="95"/>
      <c r="DI41" s="37"/>
      <c r="DJ41" s="38"/>
      <c r="DK41" s="95">
        <f>7500+5500</f>
        <v>13000</v>
      </c>
      <c r="DL41" s="37" t="s">
        <v>1774</v>
      </c>
      <c r="DM41" s="38" t="s">
        <v>1775</v>
      </c>
      <c r="DN41" s="95">
        <v>5500</v>
      </c>
      <c r="DO41" s="37" t="s">
        <v>1857</v>
      </c>
      <c r="DP41" s="38">
        <v>46069</v>
      </c>
      <c r="DQ41" s="77"/>
      <c r="DR41" s="266">
        <v>704</v>
      </c>
      <c r="DS41" s="482" t="s">
        <v>1360</v>
      </c>
      <c r="DT41" s="267">
        <f>7500*12</f>
        <v>90000</v>
      </c>
      <c r="DU41" s="267">
        <f>E41+H41+K41+N41+Q41+T41+W41+Z41+AC41+AF41+AI41+AL41</f>
        <v>112500</v>
      </c>
      <c r="DV41" s="267">
        <f>DT41-DU41</f>
        <v>-22500</v>
      </c>
      <c r="DW41" s="267">
        <v>15000</v>
      </c>
      <c r="DX41" s="339">
        <f>DV41+DW41</f>
        <v>-7500</v>
      </c>
      <c r="DY41" s="339">
        <f>7500*12</f>
        <v>90000</v>
      </c>
      <c r="DZ41" s="267">
        <f>+AP41+AS41+AV41+AY41+BB41+BE41+BH41+BK41+BN41+BQ41+BT41+BW41</f>
        <v>82500</v>
      </c>
      <c r="EA41" s="364">
        <f>DX41+DY41-DZ41</f>
        <v>0</v>
      </c>
      <c r="EB41" s="339">
        <f>7500*12</f>
        <v>90000</v>
      </c>
      <c r="EC41" s="267">
        <f t="shared" si="7"/>
        <v>75000</v>
      </c>
      <c r="ED41" s="340">
        <f>EA41+EB41-EC41</f>
        <v>15000</v>
      </c>
      <c r="EE41" s="435"/>
      <c r="EG41" s="266">
        <v>704</v>
      </c>
      <c r="EH41" s="482" t="s">
        <v>1366</v>
      </c>
      <c r="EI41" s="339">
        <f>5500*12</f>
        <v>66000</v>
      </c>
      <c r="EJ41" s="506">
        <v>15000</v>
      </c>
      <c r="EK41" s="339">
        <f>5500*2</f>
        <v>11000</v>
      </c>
      <c r="EL41" s="267">
        <f>DK41+DN41</f>
        <v>18500</v>
      </c>
      <c r="EM41" s="506">
        <f>EJ41+EK41-EL41</f>
        <v>7500</v>
      </c>
    </row>
    <row r="42" spans="2:143" ht="6" customHeight="1" thickBot="1" x14ac:dyDescent="0.35">
      <c r="B42" s="13"/>
      <c r="C42" s="14"/>
      <c r="D42" s="66"/>
      <c r="E42" s="40"/>
      <c r="F42" s="15"/>
      <c r="G42" s="16"/>
      <c r="H42" s="142"/>
      <c r="I42" s="141"/>
      <c r="J42" s="143"/>
      <c r="K42" s="142"/>
      <c r="L42" s="141"/>
      <c r="M42" s="143"/>
      <c r="N42" s="142"/>
      <c r="O42" s="141"/>
      <c r="P42" s="143"/>
      <c r="Q42" s="142"/>
      <c r="R42" s="141"/>
      <c r="S42" s="143"/>
      <c r="T42" s="142"/>
      <c r="U42" s="141"/>
      <c r="V42" s="143"/>
      <c r="W42" s="142"/>
      <c r="X42" s="141"/>
      <c r="Y42" s="143"/>
      <c r="Z42" s="142"/>
      <c r="AA42" s="141"/>
      <c r="AB42" s="143"/>
      <c r="AC42" s="142"/>
      <c r="AD42" s="141"/>
      <c r="AE42" s="143"/>
      <c r="AF42" s="142"/>
      <c r="AG42" s="141"/>
      <c r="AH42" s="143"/>
      <c r="AI42" s="142"/>
      <c r="AJ42" s="141"/>
      <c r="AK42" s="143"/>
      <c r="AL42" s="142"/>
      <c r="AM42" s="141"/>
      <c r="AN42" s="143"/>
      <c r="AO42" s="257"/>
      <c r="AP42" s="142"/>
      <c r="AQ42" s="141"/>
      <c r="AR42" s="143"/>
      <c r="AS42" s="142"/>
      <c r="AT42" s="141"/>
      <c r="AU42" s="143"/>
      <c r="AV42" s="142"/>
      <c r="AW42" s="141"/>
      <c r="AX42" s="143"/>
      <c r="AY42" s="142"/>
      <c r="AZ42" s="141"/>
      <c r="BA42" s="143"/>
      <c r="BB42" s="142"/>
      <c r="BC42" s="141"/>
      <c r="BD42" s="143"/>
      <c r="BE42" s="142"/>
      <c r="BF42" s="141"/>
      <c r="BG42" s="143"/>
      <c r="BH42" s="142"/>
      <c r="BI42" s="141"/>
      <c r="BJ42" s="143"/>
      <c r="BK42" s="142"/>
      <c r="BL42" s="141"/>
      <c r="BM42" s="143"/>
      <c r="BN42" s="142"/>
      <c r="BO42" s="141"/>
      <c r="BP42" s="143"/>
      <c r="BQ42" s="142"/>
      <c r="BR42" s="141"/>
      <c r="BS42" s="143"/>
      <c r="BT42" s="142"/>
      <c r="BU42" s="141"/>
      <c r="BV42" s="141"/>
      <c r="BW42" s="142"/>
      <c r="BX42" s="141"/>
      <c r="BY42" s="143"/>
      <c r="BZ42" s="349"/>
      <c r="CA42" s="141"/>
      <c r="CB42" s="141"/>
      <c r="CC42" s="143"/>
      <c r="CD42" s="142"/>
      <c r="CE42" s="141"/>
      <c r="CF42" s="143"/>
      <c r="CG42" s="142"/>
      <c r="CH42" s="141"/>
      <c r="CI42" s="143"/>
      <c r="CJ42" s="142"/>
      <c r="CK42" s="141"/>
      <c r="CL42" s="143"/>
      <c r="CM42" s="142"/>
      <c r="CN42" s="141"/>
      <c r="CO42" s="143"/>
      <c r="CP42" s="142"/>
      <c r="CQ42" s="141"/>
      <c r="CR42" s="143"/>
      <c r="CS42" s="142"/>
      <c r="CT42" s="141"/>
      <c r="CU42" s="143"/>
      <c r="CV42" s="142"/>
      <c r="CW42" s="141"/>
      <c r="CX42" s="143"/>
      <c r="CY42" s="142"/>
      <c r="CZ42" s="141"/>
      <c r="DA42" s="143"/>
      <c r="DB42" s="142"/>
      <c r="DC42" s="141"/>
      <c r="DD42" s="143"/>
      <c r="DE42" s="142"/>
      <c r="DF42" s="141"/>
      <c r="DG42" s="143"/>
      <c r="DH42" s="142"/>
      <c r="DI42" s="141"/>
      <c r="DJ42" s="143"/>
      <c r="DK42" s="142"/>
      <c r="DL42" s="141"/>
      <c r="DM42" s="143"/>
      <c r="DN42" s="142"/>
      <c r="DO42" s="141"/>
      <c r="DP42" s="143"/>
      <c r="DQ42" s="244"/>
      <c r="DR42" s="261"/>
      <c r="DS42" s="483"/>
      <c r="DT42" s="261"/>
      <c r="DU42" s="261"/>
      <c r="DV42" s="261"/>
      <c r="DW42" s="261"/>
      <c r="DX42" s="261"/>
      <c r="DY42" s="261"/>
      <c r="DZ42" s="261"/>
      <c r="EA42" s="261"/>
      <c r="EB42" s="261"/>
      <c r="EC42" s="261"/>
      <c r="ED42" s="261"/>
      <c r="EE42" s="432"/>
      <c r="EG42" s="261"/>
      <c r="EH42" s="483"/>
      <c r="EI42" s="261"/>
      <c r="EJ42" s="49"/>
      <c r="EK42" s="261"/>
      <c r="EM42" s="49"/>
    </row>
    <row r="43" spans="2:143" x14ac:dyDescent="0.3">
      <c r="B43" s="3" t="s">
        <v>1361</v>
      </c>
      <c r="C43" s="9">
        <v>801</v>
      </c>
      <c r="D43" s="97">
        <v>0</v>
      </c>
      <c r="E43" s="95"/>
      <c r="F43" s="37"/>
      <c r="G43" s="38"/>
      <c r="H43" s="95"/>
      <c r="I43" s="37"/>
      <c r="J43" s="38"/>
      <c r="K43" s="95">
        <v>22500</v>
      </c>
      <c r="L43" s="37" t="s">
        <v>264</v>
      </c>
      <c r="M43" s="38">
        <v>45016</v>
      </c>
      <c r="N43" s="95"/>
      <c r="O43" s="37"/>
      <c r="P43" s="38"/>
      <c r="Q43" s="95"/>
      <c r="R43" s="37"/>
      <c r="S43" s="38"/>
      <c r="T43" s="95"/>
      <c r="U43" s="37"/>
      <c r="V43" s="38"/>
      <c r="W43" s="95"/>
      <c r="X43" s="37"/>
      <c r="Y43" s="38"/>
      <c r="Z43" s="95">
        <v>37500</v>
      </c>
      <c r="AA43" s="37" t="s">
        <v>504</v>
      </c>
      <c r="AB43" s="38">
        <v>45158</v>
      </c>
      <c r="AC43" s="95"/>
      <c r="AD43" s="37"/>
      <c r="AE43" s="38"/>
      <c r="AF43" s="95"/>
      <c r="AG43" s="37"/>
      <c r="AH43" s="38"/>
      <c r="AI43" s="95"/>
      <c r="AJ43" s="37"/>
      <c r="AK43" s="38"/>
      <c r="AL43" s="95">
        <v>30000</v>
      </c>
      <c r="AM43" s="37" t="s">
        <v>677</v>
      </c>
      <c r="AN43" s="38">
        <v>45291</v>
      </c>
      <c r="AO43" s="258"/>
      <c r="AP43" s="95"/>
      <c r="AQ43" s="37"/>
      <c r="AR43" s="38"/>
      <c r="AS43" s="95"/>
      <c r="AT43" s="37"/>
      <c r="AU43" s="38"/>
      <c r="AV43" s="95"/>
      <c r="AW43" s="37"/>
      <c r="AX43" s="38"/>
      <c r="AY43" s="157"/>
      <c r="AZ43" s="37"/>
      <c r="BA43" s="273"/>
      <c r="BB43" s="95"/>
      <c r="BC43" s="37"/>
      <c r="BD43" s="273"/>
      <c r="BE43" s="303">
        <f>7500*6</f>
        <v>45000</v>
      </c>
      <c r="BF43" s="331" t="s">
        <v>975</v>
      </c>
      <c r="BG43" s="332">
        <v>45473</v>
      </c>
      <c r="BH43" s="95"/>
      <c r="BI43" s="37"/>
      <c r="BJ43" s="273"/>
      <c r="BK43" s="95"/>
      <c r="BL43" s="37"/>
      <c r="BM43" s="273"/>
      <c r="BN43" s="157"/>
      <c r="BO43" s="158"/>
      <c r="BP43" s="273"/>
      <c r="BQ43" s="95"/>
      <c r="BR43" s="37"/>
      <c r="BS43" s="273"/>
      <c r="BT43" s="95"/>
      <c r="BU43" s="37"/>
      <c r="BV43" s="358"/>
      <c r="BW43" s="303">
        <f>7500*6</f>
        <v>45000</v>
      </c>
      <c r="BX43" s="331" t="s">
        <v>1108</v>
      </c>
      <c r="BY43" s="332">
        <v>45656</v>
      </c>
      <c r="BZ43" s="357"/>
      <c r="CA43" s="106"/>
      <c r="CB43" s="160"/>
      <c r="CC43" s="161"/>
      <c r="CD43" s="159"/>
      <c r="CE43" s="160"/>
      <c r="CF43" s="161"/>
      <c r="CG43" s="159"/>
      <c r="CH43" s="160"/>
      <c r="CI43" s="161"/>
      <c r="CJ43" s="159"/>
      <c r="CK43" s="160"/>
      <c r="CL43" s="161"/>
      <c r="CM43" s="159"/>
      <c r="CN43" s="160"/>
      <c r="CO43" s="161"/>
      <c r="CP43" s="159"/>
      <c r="CQ43" s="160"/>
      <c r="CR43" s="161"/>
      <c r="CS43" s="159">
        <v>66500</v>
      </c>
      <c r="CT43" s="37" t="s">
        <v>1431</v>
      </c>
      <c r="CU43" s="38">
        <v>45869</v>
      </c>
      <c r="CV43" s="159">
        <v>4000</v>
      </c>
      <c r="CW43" s="37" t="s">
        <v>1493</v>
      </c>
      <c r="CX43" s="38">
        <v>45900</v>
      </c>
      <c r="CY43" s="157"/>
      <c r="CZ43" s="158"/>
      <c r="DA43" s="273"/>
      <c r="DB43" s="159">
        <v>16000</v>
      </c>
      <c r="DC43" s="160" t="s">
        <v>1532</v>
      </c>
      <c r="DD43" s="38">
        <v>45934</v>
      </c>
      <c r="DE43" s="159"/>
      <c r="DF43" s="160"/>
      <c r="DG43" s="38"/>
      <c r="DH43" s="159"/>
      <c r="DI43" s="160"/>
      <c r="DJ43" s="38"/>
      <c r="DK43" s="159"/>
      <c r="DL43" s="160"/>
      <c r="DM43" s="38"/>
      <c r="DN43" s="95">
        <v>11000</v>
      </c>
      <c r="DO43" s="37" t="s">
        <v>1856</v>
      </c>
      <c r="DP43" s="38">
        <v>46068</v>
      </c>
      <c r="DQ43" s="77"/>
      <c r="DR43" s="262">
        <v>801</v>
      </c>
      <c r="DS43" s="480" t="s">
        <v>1361</v>
      </c>
      <c r="DT43" s="263">
        <f>7500*12</f>
        <v>90000</v>
      </c>
      <c r="DU43" s="263">
        <f>E43+H43+K43+N43+Q43+T43+W43+Z43+AC43+AF43+AI43+AL43</f>
        <v>90000</v>
      </c>
      <c r="DV43" s="263">
        <f>DT43-DU43</f>
        <v>0</v>
      </c>
      <c r="DW43" s="263">
        <v>0</v>
      </c>
      <c r="DX43" s="276">
        <f>DV43+DW43</f>
        <v>0</v>
      </c>
      <c r="DY43" s="276">
        <f>7500*12</f>
        <v>90000</v>
      </c>
      <c r="DZ43" s="263">
        <f>+AP43+AS43+AV43+AY43+BB43+BE43+BH43+BK43+BN43+BQ43+BT43+BW43</f>
        <v>90000</v>
      </c>
      <c r="EA43" s="362">
        <f>DX43+DY43-DZ43</f>
        <v>0</v>
      </c>
      <c r="EB43" s="368">
        <f>9500+9500+9500+9500+9500+9500+9500+4000+4000+4000+4000+4000</f>
        <v>86500</v>
      </c>
      <c r="EC43" s="263">
        <f>CA43+CD43+CG43+CJ43+CM43+CP43+CS43+CV43+CY43+DB43+DE43+DH43</f>
        <v>86500</v>
      </c>
      <c r="ED43" s="451">
        <f>EA43+EB43-EC43</f>
        <v>0</v>
      </c>
      <c r="EE43" s="433"/>
      <c r="EG43" s="262">
        <v>801</v>
      </c>
      <c r="EH43" s="480" t="s">
        <v>1859</v>
      </c>
      <c r="EI43" s="368">
        <f>5500*12</f>
        <v>66000</v>
      </c>
      <c r="EJ43" s="504">
        <v>0</v>
      </c>
      <c r="EK43" s="368">
        <f>5500*2</f>
        <v>11000</v>
      </c>
      <c r="EL43" s="263">
        <f>DK43+DN43</f>
        <v>11000</v>
      </c>
      <c r="EM43" s="504">
        <f>EJ43+EK43-EL43</f>
        <v>0</v>
      </c>
    </row>
    <row r="44" spans="2:143" x14ac:dyDescent="0.3">
      <c r="B44" s="3" t="s">
        <v>1362</v>
      </c>
      <c r="C44" s="9">
        <v>802</v>
      </c>
      <c r="D44" s="96">
        <v>-27500</v>
      </c>
      <c r="E44" s="95">
        <v>5500</v>
      </c>
      <c r="F44" s="37" t="s">
        <v>192</v>
      </c>
      <c r="G44" s="38">
        <v>44953</v>
      </c>
      <c r="H44" s="95"/>
      <c r="I44" s="37"/>
      <c r="J44" s="38"/>
      <c r="K44" s="95">
        <v>5500</v>
      </c>
      <c r="L44" s="37" t="s">
        <v>240</v>
      </c>
      <c r="M44" s="38">
        <v>44987</v>
      </c>
      <c r="N44" s="95"/>
      <c r="O44" s="37"/>
      <c r="P44" s="38"/>
      <c r="Q44" s="95">
        <v>5500</v>
      </c>
      <c r="R44" s="37" t="s">
        <v>365</v>
      </c>
      <c r="S44" s="38">
        <v>45057</v>
      </c>
      <c r="T44" s="95">
        <v>11000</v>
      </c>
      <c r="U44" s="37" t="s">
        <v>487</v>
      </c>
      <c r="V44" s="38">
        <v>45081</v>
      </c>
      <c r="W44" s="95">
        <v>5500</v>
      </c>
      <c r="X44" s="37" t="s">
        <v>466</v>
      </c>
      <c r="Y44" s="38">
        <v>45131</v>
      </c>
      <c r="Z44" s="95">
        <v>5500</v>
      </c>
      <c r="AA44" s="37" t="s">
        <v>489</v>
      </c>
      <c r="AB44" s="38">
        <v>45144</v>
      </c>
      <c r="AC44" s="95"/>
      <c r="AD44" s="37"/>
      <c r="AE44" s="38"/>
      <c r="AF44" s="95"/>
      <c r="AG44" s="37"/>
      <c r="AH44" s="38"/>
      <c r="AI44" s="95"/>
      <c r="AJ44" s="37"/>
      <c r="AK44" s="38"/>
      <c r="AL44" s="95"/>
      <c r="AM44" s="37"/>
      <c r="AN44" s="38"/>
      <c r="AO44" s="258"/>
      <c r="AP44" s="95">
        <v>27500</v>
      </c>
      <c r="AQ44" s="37" t="s">
        <v>697</v>
      </c>
      <c r="AR44" s="38">
        <v>45308</v>
      </c>
      <c r="AS44" s="95">
        <v>5500</v>
      </c>
      <c r="AT44" s="37" t="s">
        <v>705</v>
      </c>
      <c r="AU44" s="38">
        <v>45324</v>
      </c>
      <c r="AV44" s="95"/>
      <c r="AW44" s="37"/>
      <c r="AX44" s="38"/>
      <c r="AY44" s="95">
        <v>11000</v>
      </c>
      <c r="AZ44" s="37" t="s">
        <v>786</v>
      </c>
      <c r="BA44" s="38">
        <v>45384</v>
      </c>
      <c r="BB44" s="95">
        <v>5500</v>
      </c>
      <c r="BC44" s="37" t="s">
        <v>865</v>
      </c>
      <c r="BD44" s="38">
        <v>45419</v>
      </c>
      <c r="BE44" s="95">
        <v>5500</v>
      </c>
      <c r="BF44" s="37" t="s">
        <v>905</v>
      </c>
      <c r="BG44" s="38">
        <v>45448</v>
      </c>
      <c r="BH44" s="95">
        <v>5500</v>
      </c>
      <c r="BI44" s="37" t="s">
        <v>923</v>
      </c>
      <c r="BJ44" s="38">
        <v>45479</v>
      </c>
      <c r="BK44" s="95">
        <v>5500</v>
      </c>
      <c r="BL44" s="37" t="s">
        <v>945</v>
      </c>
      <c r="BM44" s="38">
        <v>45510</v>
      </c>
      <c r="BN44" s="95">
        <v>5500</v>
      </c>
      <c r="BO44" s="37" t="s">
        <v>1003</v>
      </c>
      <c r="BP44" s="38">
        <v>45540</v>
      </c>
      <c r="BQ44" s="95">
        <v>5500</v>
      </c>
      <c r="BR44" s="37" t="s">
        <v>1027</v>
      </c>
      <c r="BS44" s="38">
        <v>45566</v>
      </c>
      <c r="BT44" s="95">
        <v>5500</v>
      </c>
      <c r="BU44" s="37" t="s">
        <v>1058</v>
      </c>
      <c r="BV44" s="352">
        <v>45597</v>
      </c>
      <c r="BW44" s="95">
        <v>5500</v>
      </c>
      <c r="BX44" s="37" t="s">
        <v>1089</v>
      </c>
      <c r="BY44" s="38">
        <v>45627</v>
      </c>
      <c r="BZ44" s="350"/>
      <c r="CA44" s="73">
        <v>5500</v>
      </c>
      <c r="CB44" s="37" t="s">
        <v>1169</v>
      </c>
      <c r="CC44" s="38">
        <v>45659</v>
      </c>
      <c r="CD44" s="95">
        <v>5500</v>
      </c>
      <c r="CE44" s="37" t="s">
        <v>1214</v>
      </c>
      <c r="CF44" s="38">
        <v>45689</v>
      </c>
      <c r="CG44" s="95">
        <v>5500</v>
      </c>
      <c r="CH44" s="37" t="s">
        <v>1219</v>
      </c>
      <c r="CI44" s="38">
        <v>45719</v>
      </c>
      <c r="CJ44" s="95">
        <v>5500</v>
      </c>
      <c r="CK44" s="37" t="s">
        <v>1279</v>
      </c>
      <c r="CL44" s="38">
        <v>45751</v>
      </c>
      <c r="CM44" s="95">
        <v>5500</v>
      </c>
      <c r="CN44" s="37" t="s">
        <v>1296</v>
      </c>
      <c r="CO44" s="38">
        <v>45781</v>
      </c>
      <c r="CP44" s="95">
        <v>5500</v>
      </c>
      <c r="CQ44" s="37" t="s">
        <v>1318</v>
      </c>
      <c r="CR44" s="38">
        <v>45809</v>
      </c>
      <c r="CS44" s="95">
        <v>5500</v>
      </c>
      <c r="CT44" s="37" t="s">
        <v>1393</v>
      </c>
      <c r="CU44" s="38">
        <v>45845</v>
      </c>
      <c r="CV44" s="95">
        <v>5500</v>
      </c>
      <c r="CW44" s="37" t="s">
        <v>1464</v>
      </c>
      <c r="CX44" s="38">
        <v>45870</v>
      </c>
      <c r="CY44" s="95">
        <v>5500</v>
      </c>
      <c r="CZ44" s="37" t="s">
        <v>1503</v>
      </c>
      <c r="DA44" s="38">
        <v>45906</v>
      </c>
      <c r="DB44" s="95">
        <v>5500</v>
      </c>
      <c r="DC44" s="37" t="s">
        <v>1609</v>
      </c>
      <c r="DD44" s="38">
        <v>45937</v>
      </c>
      <c r="DE44" s="95">
        <v>5500</v>
      </c>
      <c r="DF44" s="37" t="s">
        <v>1669</v>
      </c>
      <c r="DG44" s="38">
        <v>45974</v>
      </c>
      <c r="DH44" s="95">
        <v>5500</v>
      </c>
      <c r="DI44" s="37" t="s">
        <v>1718</v>
      </c>
      <c r="DJ44" s="38">
        <v>46001</v>
      </c>
      <c r="DK44" s="95">
        <v>7500</v>
      </c>
      <c r="DL44" s="37" t="s">
        <v>1785</v>
      </c>
      <c r="DM44" s="38">
        <v>46026</v>
      </c>
      <c r="DN44" s="95">
        <v>7500</v>
      </c>
      <c r="DO44" s="37" t="s">
        <v>1852</v>
      </c>
      <c r="DP44" s="38">
        <v>46065</v>
      </c>
      <c r="DQ44" s="77"/>
      <c r="DR44" s="265">
        <v>802</v>
      </c>
      <c r="DS44" s="481" t="s">
        <v>1362</v>
      </c>
      <c r="DT44" s="260">
        <f>5500*12-5500</f>
        <v>60500</v>
      </c>
      <c r="DU44" s="260">
        <f>E44+H44+K44+N44+Q44+T44+W44+Z44+AC44+AF44+AI44+AL44</f>
        <v>38500</v>
      </c>
      <c r="DV44" s="260">
        <f>DT44-DU44</f>
        <v>22000</v>
      </c>
      <c r="DW44" s="260">
        <v>0</v>
      </c>
      <c r="DX44" s="277">
        <f>DV44+DW44</f>
        <v>22000</v>
      </c>
      <c r="DY44" s="277">
        <f>5500*12</f>
        <v>66000</v>
      </c>
      <c r="DZ44" s="260">
        <f>+AP44+AS44+AV44+AY44+BB44+BE44+BH44+BK44+BN44+BQ44+BT44+BW44</f>
        <v>88000</v>
      </c>
      <c r="EA44" s="366">
        <f>DX44+DY44-DZ44</f>
        <v>0</v>
      </c>
      <c r="EB44" s="277">
        <f>5500*12</f>
        <v>66000</v>
      </c>
      <c r="EC44" s="260">
        <f t="shared" ref="EC44:EC46" si="8">CA44+CD44+CG44+CJ44+CM44+CP44+CS44+CV44+CY44+DB44+DE44+DH44</f>
        <v>66000</v>
      </c>
      <c r="ED44" s="338">
        <f>EA44+EB44-EC44</f>
        <v>0</v>
      </c>
      <c r="EE44" s="434"/>
      <c r="EG44" s="265">
        <v>802</v>
      </c>
      <c r="EH44" s="481" t="s">
        <v>1362</v>
      </c>
      <c r="EI44" s="510">
        <f>7500*12</f>
        <v>90000</v>
      </c>
      <c r="EJ44" s="505">
        <v>0</v>
      </c>
      <c r="EK44" s="510">
        <f>7500*2</f>
        <v>15000</v>
      </c>
      <c r="EL44" s="260">
        <f>DK44+DN44</f>
        <v>15000</v>
      </c>
      <c r="EM44" s="505">
        <f>EJ44+EK44-EL44</f>
        <v>0</v>
      </c>
    </row>
    <row r="45" spans="2:143" x14ac:dyDescent="0.3">
      <c r="B45" s="3" t="s">
        <v>1363</v>
      </c>
      <c r="C45" s="9">
        <v>803</v>
      </c>
      <c r="D45" s="97">
        <f>118000-100000-18000</f>
        <v>0</v>
      </c>
      <c r="E45" s="95">
        <v>7000</v>
      </c>
      <c r="F45" s="37" t="s">
        <v>178</v>
      </c>
      <c r="G45" s="38">
        <v>44934</v>
      </c>
      <c r="H45" s="95">
        <v>7000</v>
      </c>
      <c r="I45" s="37" t="s">
        <v>196</v>
      </c>
      <c r="J45" s="38">
        <v>44958</v>
      </c>
      <c r="K45" s="95">
        <v>7000</v>
      </c>
      <c r="L45" s="37" t="s">
        <v>258</v>
      </c>
      <c r="M45" s="38">
        <v>44996</v>
      </c>
      <c r="N45" s="95">
        <v>7000</v>
      </c>
      <c r="O45" s="37" t="s">
        <v>337</v>
      </c>
      <c r="P45" s="38">
        <v>45034</v>
      </c>
      <c r="Q45" s="95">
        <v>7000</v>
      </c>
      <c r="R45" s="37" t="s">
        <v>361</v>
      </c>
      <c r="S45" s="38">
        <v>45056</v>
      </c>
      <c r="T45" s="95">
        <v>7000</v>
      </c>
      <c r="U45" s="37" t="s">
        <v>435</v>
      </c>
      <c r="V45" s="38">
        <v>45088</v>
      </c>
      <c r="W45" s="95">
        <v>7000</v>
      </c>
      <c r="X45" s="37" t="s">
        <v>462</v>
      </c>
      <c r="Y45" s="38">
        <v>45124</v>
      </c>
      <c r="Z45" s="95">
        <v>7000</v>
      </c>
      <c r="AA45" s="37" t="s">
        <v>498</v>
      </c>
      <c r="AB45" s="38">
        <v>45149</v>
      </c>
      <c r="AC45" s="95">
        <v>7000</v>
      </c>
      <c r="AD45" s="37" t="s">
        <v>562</v>
      </c>
      <c r="AE45" s="38">
        <v>45175</v>
      </c>
      <c r="AF45" s="95">
        <v>7000</v>
      </c>
      <c r="AG45" s="37" t="s">
        <v>577</v>
      </c>
      <c r="AH45" s="38">
        <v>45201</v>
      </c>
      <c r="AI45" s="95">
        <v>7000</v>
      </c>
      <c r="AJ45" s="37" t="s">
        <v>615</v>
      </c>
      <c r="AK45" s="38">
        <v>45239</v>
      </c>
      <c r="AL45" s="95">
        <v>7000</v>
      </c>
      <c r="AM45" s="37" t="s">
        <v>634</v>
      </c>
      <c r="AN45" s="38">
        <v>45263</v>
      </c>
      <c r="AO45" s="258"/>
      <c r="AP45" s="95">
        <v>7000</v>
      </c>
      <c r="AQ45" s="37" t="s">
        <v>657</v>
      </c>
      <c r="AR45" s="38">
        <v>45300</v>
      </c>
      <c r="AS45" s="95">
        <v>7000</v>
      </c>
      <c r="AT45" s="37" t="s">
        <v>709</v>
      </c>
      <c r="AU45" s="38">
        <v>45330</v>
      </c>
      <c r="AV45" s="95">
        <v>7000</v>
      </c>
      <c r="AW45" s="37" t="s">
        <v>773</v>
      </c>
      <c r="AX45" s="38">
        <v>45362</v>
      </c>
      <c r="AY45" s="95"/>
      <c r="AZ45" s="37"/>
      <c r="BA45" s="38"/>
      <c r="BB45" s="95">
        <v>7000</v>
      </c>
      <c r="BC45" s="37" t="s">
        <v>876</v>
      </c>
      <c r="BD45" s="38">
        <v>45436</v>
      </c>
      <c r="BE45" s="95">
        <v>14000</v>
      </c>
      <c r="BF45" s="37" t="s">
        <v>908</v>
      </c>
      <c r="BG45" s="38">
        <v>45454</v>
      </c>
      <c r="BH45" s="95">
        <v>7000</v>
      </c>
      <c r="BI45" s="37" t="s">
        <v>929</v>
      </c>
      <c r="BJ45" s="38">
        <v>45484</v>
      </c>
      <c r="BK45" s="95">
        <v>7000</v>
      </c>
      <c r="BL45" s="37" t="s">
        <v>1037</v>
      </c>
      <c r="BM45" s="38">
        <v>45515</v>
      </c>
      <c r="BN45" s="95">
        <v>7000</v>
      </c>
      <c r="BO45" s="37" t="s">
        <v>1016</v>
      </c>
      <c r="BP45" s="38">
        <v>45546</v>
      </c>
      <c r="BQ45" s="95">
        <v>7000</v>
      </c>
      <c r="BR45" s="37" t="s">
        <v>1032</v>
      </c>
      <c r="BS45" s="38">
        <v>45569</v>
      </c>
      <c r="BT45" s="95">
        <v>7000</v>
      </c>
      <c r="BU45" s="37" t="s">
        <v>1064</v>
      </c>
      <c r="BV45" s="352">
        <v>45605</v>
      </c>
      <c r="BW45" s="95">
        <v>7000</v>
      </c>
      <c r="BX45" s="37" t="s">
        <v>1093</v>
      </c>
      <c r="BY45" s="38">
        <v>45631</v>
      </c>
      <c r="BZ45" s="350"/>
      <c r="CA45" s="73">
        <v>7000</v>
      </c>
      <c r="CB45" s="37" t="s">
        <v>1177</v>
      </c>
      <c r="CC45" s="38">
        <v>45666</v>
      </c>
      <c r="CD45" s="95">
        <v>7000</v>
      </c>
      <c r="CE45" s="37" t="s">
        <v>1196</v>
      </c>
      <c r="CF45" s="38">
        <v>45696</v>
      </c>
      <c r="CG45" s="95">
        <v>7000</v>
      </c>
      <c r="CH45" s="37" t="s">
        <v>1227</v>
      </c>
      <c r="CI45" s="38">
        <v>45728</v>
      </c>
      <c r="CJ45" s="95">
        <v>7000</v>
      </c>
      <c r="CK45" s="37" t="s">
        <v>1284</v>
      </c>
      <c r="CL45" s="38">
        <v>45757</v>
      </c>
      <c r="CM45" s="95">
        <v>7000</v>
      </c>
      <c r="CN45" s="37" t="s">
        <v>1302</v>
      </c>
      <c r="CO45" s="38">
        <v>45786</v>
      </c>
      <c r="CP45" s="95">
        <v>7000</v>
      </c>
      <c r="CQ45" s="37" t="s">
        <v>1326</v>
      </c>
      <c r="CR45" s="38">
        <v>45817</v>
      </c>
      <c r="CS45" s="95">
        <v>7000</v>
      </c>
      <c r="CT45" s="37" t="s">
        <v>1390</v>
      </c>
      <c r="CU45" s="38">
        <v>45840</v>
      </c>
      <c r="CV45" s="95">
        <v>7000</v>
      </c>
      <c r="CW45" s="37" t="s">
        <v>1460</v>
      </c>
      <c r="CX45" s="38">
        <v>45885</v>
      </c>
      <c r="CY45" s="95">
        <v>7000</v>
      </c>
      <c r="CZ45" s="37" t="s">
        <v>1513</v>
      </c>
      <c r="DA45" s="38">
        <v>45910</v>
      </c>
      <c r="DB45" s="95">
        <v>7000</v>
      </c>
      <c r="DC45" s="37" t="s">
        <v>1608</v>
      </c>
      <c r="DD45" s="38">
        <v>45937</v>
      </c>
      <c r="DE45" s="95">
        <v>7000</v>
      </c>
      <c r="DF45" s="37" t="s">
        <v>1637</v>
      </c>
      <c r="DG45" s="38">
        <v>45962</v>
      </c>
      <c r="DH45" s="95">
        <v>7000</v>
      </c>
      <c r="DI45" s="37" t="s">
        <v>1715</v>
      </c>
      <c r="DJ45" s="38">
        <v>45996</v>
      </c>
      <c r="DK45" s="95">
        <v>7000</v>
      </c>
      <c r="DL45" s="37" t="s">
        <v>1786</v>
      </c>
      <c r="DM45" s="38">
        <v>46026</v>
      </c>
      <c r="DN45" s="95">
        <v>7000</v>
      </c>
      <c r="DO45" s="37" t="s">
        <v>1840</v>
      </c>
      <c r="DP45" s="38">
        <v>46057</v>
      </c>
      <c r="DQ45" s="77"/>
      <c r="DR45" s="265">
        <v>803</v>
      </c>
      <c r="DS45" s="481" t="s">
        <v>1363</v>
      </c>
      <c r="DT45" s="260">
        <f>7000*12</f>
        <v>84000</v>
      </c>
      <c r="DU45" s="260">
        <f>E45+H45+K45+N45+Q45+T45+W45+Z45+AC45+AF45+AI45+AL45</f>
        <v>84000</v>
      </c>
      <c r="DV45" s="260">
        <f>DT45-DU45</f>
        <v>0</v>
      </c>
      <c r="DW45" s="260">
        <v>0</v>
      </c>
      <c r="DX45" s="277">
        <f>DV45+DW45</f>
        <v>0</v>
      </c>
      <c r="DY45" s="277">
        <f>7000*12</f>
        <v>84000</v>
      </c>
      <c r="DZ45" s="260">
        <f>+AP45+AS45+AV45+AY45+BB45+BE45+BH45+BK45+BN45+BQ45+BT45+BW45</f>
        <v>84000</v>
      </c>
      <c r="EA45" s="363">
        <f>DX45+DY45-DZ45</f>
        <v>0</v>
      </c>
      <c r="EB45" s="277">
        <f>7000*12</f>
        <v>84000</v>
      </c>
      <c r="EC45" s="260">
        <f t="shared" si="8"/>
        <v>84000</v>
      </c>
      <c r="ED45" s="338">
        <f>EA45+EB45-EC45</f>
        <v>0</v>
      </c>
      <c r="EE45" s="434"/>
      <c r="EG45" s="265">
        <v>803</v>
      </c>
      <c r="EH45" s="481" t="s">
        <v>1363</v>
      </c>
      <c r="EI45" s="277">
        <f>7000*12</f>
        <v>84000</v>
      </c>
      <c r="EJ45" s="505">
        <v>0</v>
      </c>
      <c r="EK45" s="277">
        <f>7000*2</f>
        <v>14000</v>
      </c>
      <c r="EL45" s="260">
        <f>DK45+DN45</f>
        <v>14000</v>
      </c>
      <c r="EM45" s="505">
        <f>EJ45+EK45-EL45</f>
        <v>0</v>
      </c>
    </row>
    <row r="46" spans="2:143" ht="15" thickBot="1" x14ac:dyDescent="0.35">
      <c r="B46" s="3" t="s">
        <v>1364</v>
      </c>
      <c r="C46" s="9">
        <v>804</v>
      </c>
      <c r="D46" s="96">
        <v>-33000</v>
      </c>
      <c r="E46" s="95"/>
      <c r="F46" s="11"/>
      <c r="G46" s="2"/>
      <c r="H46" s="95">
        <v>38500</v>
      </c>
      <c r="I46" s="37" t="s">
        <v>201</v>
      </c>
      <c r="J46" s="38">
        <v>44960</v>
      </c>
      <c r="K46" s="95"/>
      <c r="L46" s="37"/>
      <c r="M46" s="38"/>
      <c r="N46" s="95"/>
      <c r="O46" s="37"/>
      <c r="P46" s="38"/>
      <c r="Q46" s="95"/>
      <c r="R46" s="37"/>
      <c r="S46" s="38"/>
      <c r="T46" s="95">
        <v>33000</v>
      </c>
      <c r="U46" s="37" t="s">
        <v>441</v>
      </c>
      <c r="V46" s="38">
        <v>45082</v>
      </c>
      <c r="W46" s="95"/>
      <c r="X46" s="37"/>
      <c r="Y46" s="38"/>
      <c r="Z46" s="95"/>
      <c r="AA46" s="37"/>
      <c r="AB46" s="38"/>
      <c r="AC46" s="95"/>
      <c r="AD46" s="37"/>
      <c r="AE46" s="38"/>
      <c r="AF46" s="95"/>
      <c r="AG46" s="37"/>
      <c r="AH46" s="38"/>
      <c r="AI46" s="95"/>
      <c r="AJ46" s="37"/>
      <c r="AK46" s="38"/>
      <c r="AL46" s="95"/>
      <c r="AM46" s="37"/>
      <c r="AN46" s="38"/>
      <c r="AO46" s="258"/>
      <c r="AP46" s="95">
        <v>33000</v>
      </c>
      <c r="AQ46" s="37" t="s">
        <v>720</v>
      </c>
      <c r="AR46" s="273">
        <v>45347</v>
      </c>
      <c r="AS46" s="95">
        <v>11000</v>
      </c>
      <c r="AT46" s="37" t="s">
        <v>718</v>
      </c>
      <c r="AU46" s="38">
        <v>45346</v>
      </c>
      <c r="AV46" s="95">
        <v>5500</v>
      </c>
      <c r="AW46" s="37" t="s">
        <v>778</v>
      </c>
      <c r="AX46" s="38">
        <v>45364</v>
      </c>
      <c r="AY46" s="95">
        <v>5500</v>
      </c>
      <c r="AZ46" s="37" t="s">
        <v>784</v>
      </c>
      <c r="BA46" s="38">
        <v>45384</v>
      </c>
      <c r="BB46" s="95">
        <v>5500</v>
      </c>
      <c r="BC46" s="37" t="s">
        <v>864</v>
      </c>
      <c r="BD46" s="38">
        <v>45418</v>
      </c>
      <c r="BE46" s="95">
        <v>5500</v>
      </c>
      <c r="BF46" s="37" t="s">
        <v>902</v>
      </c>
      <c r="BG46" s="38">
        <v>45448</v>
      </c>
      <c r="BH46" s="95">
        <v>5500</v>
      </c>
      <c r="BI46" s="37" t="s">
        <v>925</v>
      </c>
      <c r="BJ46" s="38">
        <v>45481</v>
      </c>
      <c r="BK46" s="95">
        <v>5500</v>
      </c>
      <c r="BL46" s="37" t="s">
        <v>944</v>
      </c>
      <c r="BM46" s="38">
        <v>45506</v>
      </c>
      <c r="BN46" s="95">
        <v>5500</v>
      </c>
      <c r="BO46" s="37" t="s">
        <v>998</v>
      </c>
      <c r="BP46" s="38">
        <v>45537</v>
      </c>
      <c r="BQ46" s="95">
        <v>5500</v>
      </c>
      <c r="BR46" s="37" t="s">
        <v>1028</v>
      </c>
      <c r="BS46" s="38">
        <v>45567</v>
      </c>
      <c r="BT46" s="95">
        <v>5500</v>
      </c>
      <c r="BU46" s="37" t="s">
        <v>1082</v>
      </c>
      <c r="BV46" s="352">
        <v>45608</v>
      </c>
      <c r="BW46" s="95">
        <v>5500</v>
      </c>
      <c r="BX46" s="37" t="s">
        <v>1096</v>
      </c>
      <c r="BY46" s="38">
        <v>45632</v>
      </c>
      <c r="BZ46" s="350"/>
      <c r="CA46" s="73">
        <v>5500</v>
      </c>
      <c r="CB46" s="37" t="s">
        <v>1171</v>
      </c>
      <c r="CC46" s="38">
        <v>45660</v>
      </c>
      <c r="CD46" s="95">
        <v>5500</v>
      </c>
      <c r="CE46" s="37" t="s">
        <v>1198</v>
      </c>
      <c r="CF46" s="38">
        <v>45698</v>
      </c>
      <c r="CG46" s="95">
        <v>5500</v>
      </c>
      <c r="CH46" s="37" t="s">
        <v>1221</v>
      </c>
      <c r="CI46" s="38">
        <v>45720</v>
      </c>
      <c r="CJ46" s="95"/>
      <c r="CK46" s="37"/>
      <c r="CL46" s="38"/>
      <c r="CM46" s="95">
        <v>5500</v>
      </c>
      <c r="CN46" s="37" t="s">
        <v>1299</v>
      </c>
      <c r="CO46" s="38">
        <v>45784</v>
      </c>
      <c r="CP46" s="95">
        <v>5500</v>
      </c>
      <c r="CQ46" s="37" t="s">
        <v>1322</v>
      </c>
      <c r="CR46" s="38">
        <v>45812</v>
      </c>
      <c r="CS46" s="95">
        <v>5500</v>
      </c>
      <c r="CT46" s="37" t="s">
        <v>1389</v>
      </c>
      <c r="CU46" s="38">
        <v>45840</v>
      </c>
      <c r="CV46" s="436">
        <f>5500+5500</f>
        <v>11000</v>
      </c>
      <c r="CW46" s="420" t="s">
        <v>1489</v>
      </c>
      <c r="CX46" s="38" t="s">
        <v>1490</v>
      </c>
      <c r="CY46" s="95">
        <v>5500</v>
      </c>
      <c r="CZ46" s="37" t="s">
        <v>1496</v>
      </c>
      <c r="DA46" s="38">
        <v>45902</v>
      </c>
      <c r="DB46" s="95">
        <v>5500</v>
      </c>
      <c r="DC46" s="37" t="s">
        <v>1564</v>
      </c>
      <c r="DD46" s="38">
        <v>45931</v>
      </c>
      <c r="DE46" s="95">
        <v>5500</v>
      </c>
      <c r="DF46" s="37" t="s">
        <v>1638</v>
      </c>
      <c r="DG46" s="38">
        <v>45962</v>
      </c>
      <c r="DH46" s="95">
        <v>5500</v>
      </c>
      <c r="DI46" s="37" t="s">
        <v>1710</v>
      </c>
      <c r="DJ46" s="38">
        <v>45993</v>
      </c>
      <c r="DK46" s="95">
        <v>5500</v>
      </c>
      <c r="DL46" s="37" t="s">
        <v>1797</v>
      </c>
      <c r="DM46" s="38">
        <v>46023</v>
      </c>
      <c r="DN46" s="95">
        <v>5500</v>
      </c>
      <c r="DO46" s="37" t="s">
        <v>1836</v>
      </c>
      <c r="DP46" s="38">
        <v>46054</v>
      </c>
      <c r="DQ46" s="77"/>
      <c r="DR46" s="266">
        <v>804</v>
      </c>
      <c r="DS46" s="482" t="s">
        <v>1364</v>
      </c>
      <c r="DT46" s="267">
        <f>5500*12</f>
        <v>66000</v>
      </c>
      <c r="DU46" s="267">
        <f>E46+H46+K46+N46+Q46+T46+W46+Z46+AC46+AF46+AI46+AL46</f>
        <v>71500</v>
      </c>
      <c r="DV46" s="267">
        <f>DT46-DU46</f>
        <v>-5500</v>
      </c>
      <c r="DW46" s="267">
        <v>38500</v>
      </c>
      <c r="DX46" s="339">
        <f>DV46+DW46</f>
        <v>33000</v>
      </c>
      <c r="DY46" s="339">
        <f>5500*12</f>
        <v>66000</v>
      </c>
      <c r="DZ46" s="267">
        <f>+AP46+AS46+AV46+AY46+BB46+BE46+BH46+BK46+BN46+BQ46+BT46+BW46</f>
        <v>99000</v>
      </c>
      <c r="EA46" s="364">
        <f>DX46+DY46-DZ46</f>
        <v>0</v>
      </c>
      <c r="EB46" s="339">
        <f>5500*12</f>
        <v>66000</v>
      </c>
      <c r="EC46" s="267">
        <f t="shared" si="8"/>
        <v>66000</v>
      </c>
      <c r="ED46" s="377">
        <f>EA46+EB46-EC46</f>
        <v>0</v>
      </c>
      <c r="EE46" s="435"/>
      <c r="EG46" s="266">
        <v>804</v>
      </c>
      <c r="EH46" s="482" t="s">
        <v>1364</v>
      </c>
      <c r="EI46" s="339">
        <f>5500*12</f>
        <v>66000</v>
      </c>
      <c r="EJ46" s="506">
        <v>0</v>
      </c>
      <c r="EK46" s="339">
        <f>5500*2</f>
        <v>11000</v>
      </c>
      <c r="EL46" s="267">
        <f>DK46+DN46</f>
        <v>11000</v>
      </c>
      <c r="EM46" s="506">
        <f>EJ46+EK46-EL46</f>
        <v>0</v>
      </c>
    </row>
    <row r="47" spans="2:143" ht="4.5" customHeight="1" thickBot="1" x14ac:dyDescent="0.35">
      <c r="B47" s="13"/>
      <c r="C47" s="14"/>
      <c r="D47" s="66"/>
      <c r="E47" s="40"/>
      <c r="F47" s="15"/>
      <c r="G47" s="16"/>
      <c r="H47" s="142"/>
      <c r="I47" s="141"/>
      <c r="J47" s="143"/>
      <c r="K47" s="142"/>
      <c r="L47" s="141"/>
      <c r="M47" s="143"/>
      <c r="N47" s="142"/>
      <c r="O47" s="141"/>
      <c r="P47" s="143"/>
      <c r="Q47" s="142"/>
      <c r="R47" s="141"/>
      <c r="S47" s="143"/>
      <c r="T47" s="142"/>
      <c r="U47" s="141"/>
      <c r="V47" s="143"/>
      <c r="W47" s="142"/>
      <c r="X47" s="141"/>
      <c r="Y47" s="143"/>
      <c r="Z47" s="142"/>
      <c r="AA47" s="141"/>
      <c r="AB47" s="143"/>
      <c r="AC47" s="142"/>
      <c r="AD47" s="141"/>
      <c r="AE47" s="143"/>
      <c r="AF47" s="142"/>
      <c r="AG47" s="141"/>
      <c r="AH47" s="143"/>
      <c r="AI47" s="142"/>
      <c r="AJ47" s="141"/>
      <c r="AK47" s="143"/>
      <c r="AL47" s="142"/>
      <c r="AM47" s="141"/>
      <c r="AN47" s="143"/>
      <c r="AO47" s="257"/>
      <c r="AP47" s="142"/>
      <c r="AQ47" s="141"/>
      <c r="AR47" s="143"/>
      <c r="AS47" s="142"/>
      <c r="AT47" s="141"/>
      <c r="AU47" s="143"/>
      <c r="AV47" s="142"/>
      <c r="AW47" s="141"/>
      <c r="AX47" s="143"/>
      <c r="AY47" s="142"/>
      <c r="AZ47" s="141"/>
      <c r="BA47" s="143"/>
      <c r="BB47" s="142"/>
      <c r="BC47" s="141"/>
      <c r="BD47" s="143"/>
      <c r="BE47" s="142"/>
      <c r="BF47" s="141"/>
      <c r="BG47" s="143"/>
      <c r="BH47" s="142"/>
      <c r="BI47" s="141"/>
      <c r="BJ47" s="143"/>
      <c r="BK47" s="142"/>
      <c r="BL47" s="141"/>
      <c r="BM47" s="143"/>
      <c r="BN47" s="142"/>
      <c r="BO47" s="141"/>
      <c r="BP47" s="143"/>
      <c r="BQ47" s="142"/>
      <c r="BR47" s="141"/>
      <c r="BS47" s="143"/>
      <c r="BT47" s="142"/>
      <c r="BU47" s="141"/>
      <c r="BV47" s="141"/>
      <c r="BW47" s="142"/>
      <c r="BX47" s="141"/>
      <c r="BY47" s="143"/>
      <c r="BZ47" s="349"/>
      <c r="CA47" s="141"/>
      <c r="CB47" s="141"/>
      <c r="CC47" s="143"/>
      <c r="CD47" s="142"/>
      <c r="CE47" s="141"/>
      <c r="CF47" s="143"/>
      <c r="CG47" s="142"/>
      <c r="CH47" s="141"/>
      <c r="CI47" s="143"/>
      <c r="CJ47" s="142"/>
      <c r="CK47" s="141"/>
      <c r="CL47" s="143"/>
      <c r="CM47" s="142"/>
      <c r="CN47" s="141"/>
      <c r="CO47" s="143"/>
      <c r="CP47" s="142"/>
      <c r="CQ47" s="141"/>
      <c r="CR47" s="143"/>
      <c r="CS47" s="142"/>
      <c r="CT47" s="141"/>
      <c r="CU47" s="143"/>
      <c r="CV47" s="142"/>
      <c r="CW47" s="141"/>
      <c r="CX47" s="143"/>
      <c r="CY47" s="142"/>
      <c r="CZ47" s="141"/>
      <c r="DA47" s="143"/>
      <c r="DB47" s="142"/>
      <c r="DC47" s="141"/>
      <c r="DD47" s="143"/>
      <c r="DE47" s="142"/>
      <c r="DF47" s="141"/>
      <c r="DG47" s="143"/>
      <c r="DH47" s="142"/>
      <c r="DI47" s="141"/>
      <c r="DJ47" s="143"/>
      <c r="DK47" s="142"/>
      <c r="DL47" s="141"/>
      <c r="DM47" s="143"/>
      <c r="DN47" s="142"/>
      <c r="DO47" s="141"/>
      <c r="DP47" s="143"/>
      <c r="DQ47" s="244"/>
      <c r="DR47" s="261"/>
      <c r="DS47" s="483"/>
      <c r="DT47" s="261"/>
      <c r="DU47" s="261"/>
      <c r="DV47" s="261"/>
      <c r="DW47" s="261"/>
      <c r="DX47" s="261"/>
      <c r="DY47" s="261"/>
      <c r="DZ47" s="261"/>
      <c r="EA47" s="261"/>
      <c r="EB47" s="373"/>
      <c r="EC47" s="373"/>
      <c r="ED47" s="373"/>
      <c r="EE47" s="432"/>
      <c r="EG47" s="261"/>
      <c r="EH47" s="483"/>
      <c r="EI47" s="373"/>
      <c r="EJ47" s="49"/>
      <c r="EM47" s="49"/>
    </row>
    <row r="48" spans="2:143" x14ac:dyDescent="0.3">
      <c r="B48" s="3" t="s">
        <v>1365</v>
      </c>
      <c r="C48" s="9">
        <v>901</v>
      </c>
      <c r="D48" s="96">
        <v>-16000</v>
      </c>
      <c r="E48" s="95"/>
      <c r="F48" s="37"/>
      <c r="G48" s="38"/>
      <c r="H48" s="95"/>
      <c r="I48" s="37"/>
      <c r="J48" s="38"/>
      <c r="K48" s="95"/>
      <c r="L48" s="37"/>
      <c r="M48" s="38"/>
      <c r="N48" s="95"/>
      <c r="O48" s="37"/>
      <c r="P48" s="38"/>
      <c r="Q48" s="95"/>
      <c r="R48" s="37"/>
      <c r="S48" s="38"/>
      <c r="T48" s="95"/>
      <c r="U48" s="37"/>
      <c r="V48" s="38"/>
      <c r="W48" s="95"/>
      <c r="X48" s="37"/>
      <c r="Y48" s="38"/>
      <c r="Z48" s="95">
        <v>32000</v>
      </c>
      <c r="AA48" s="37" t="s">
        <v>501</v>
      </c>
      <c r="AB48" s="38">
        <v>45147</v>
      </c>
      <c r="AC48" s="95"/>
      <c r="AD48" s="37"/>
      <c r="AE48" s="38"/>
      <c r="AF48" s="95"/>
      <c r="AG48" s="37"/>
      <c r="AH48" s="38"/>
      <c r="AI48" s="95"/>
      <c r="AJ48" s="37"/>
      <c r="AK48" s="38"/>
      <c r="AL48" s="95"/>
      <c r="AM48" s="37"/>
      <c r="AN48" s="38"/>
      <c r="AO48" s="258"/>
      <c r="AP48" s="95"/>
      <c r="AQ48" s="37"/>
      <c r="AR48" s="38"/>
      <c r="AS48" s="95"/>
      <c r="AT48" s="37"/>
      <c r="AU48" s="38"/>
      <c r="AV48" s="303">
        <v>28000</v>
      </c>
      <c r="AW48" s="331" t="s">
        <v>973</v>
      </c>
      <c r="AX48" s="332">
        <v>45374</v>
      </c>
      <c r="AY48" s="95"/>
      <c r="AZ48" s="37"/>
      <c r="BA48" s="38"/>
      <c r="BB48" s="95"/>
      <c r="BC48" s="37"/>
      <c r="BD48" s="38"/>
      <c r="BE48" s="95"/>
      <c r="BF48" s="37"/>
      <c r="BG48" s="38"/>
      <c r="BH48" s="95"/>
      <c r="BI48" s="37"/>
      <c r="BJ48" s="38"/>
      <c r="BK48" s="95"/>
      <c r="BL48" s="37"/>
      <c r="BM48" s="38"/>
      <c r="BN48" s="95"/>
      <c r="BO48" s="37"/>
      <c r="BP48" s="38"/>
      <c r="BQ48" s="95"/>
      <c r="BR48" s="37"/>
      <c r="BS48" s="38"/>
      <c r="BT48" s="95"/>
      <c r="BU48" s="37"/>
      <c r="BV48" s="352"/>
      <c r="BW48" s="95"/>
      <c r="BX48" s="37"/>
      <c r="BY48" s="38"/>
      <c r="BZ48" s="350"/>
      <c r="CA48" s="73">
        <v>36000</v>
      </c>
      <c r="CB48" s="37" t="s">
        <v>1189</v>
      </c>
      <c r="CC48" s="38">
        <v>45671</v>
      </c>
      <c r="CD48" s="95"/>
      <c r="CE48" s="37"/>
      <c r="CF48" s="38"/>
      <c r="CG48" s="95"/>
      <c r="CH48" s="37"/>
      <c r="CI48" s="38"/>
      <c r="CJ48" s="95"/>
      <c r="CK48" s="37"/>
      <c r="CL48" s="38"/>
      <c r="CM48" s="95"/>
      <c r="CN48" s="37"/>
      <c r="CO48" s="38"/>
      <c r="CP48" s="95"/>
      <c r="CQ48" s="37"/>
      <c r="CR48" s="38"/>
      <c r="CS48" s="95"/>
      <c r="CT48" s="37"/>
      <c r="CU48" s="38"/>
      <c r="CV48" s="419">
        <v>32000</v>
      </c>
      <c r="CW48" s="37" t="s">
        <v>1498</v>
      </c>
      <c r="CX48" s="38">
        <v>45900</v>
      </c>
      <c r="CY48" s="95"/>
      <c r="CZ48" s="37"/>
      <c r="DA48" s="38"/>
      <c r="DB48" s="95">
        <v>16000</v>
      </c>
      <c r="DC48" s="37" t="s">
        <v>1614</v>
      </c>
      <c r="DD48" s="38">
        <v>45942</v>
      </c>
      <c r="DE48" s="95"/>
      <c r="DF48" s="37"/>
      <c r="DG48" s="38"/>
      <c r="DH48" s="95"/>
      <c r="DI48" s="37"/>
      <c r="DJ48" s="38"/>
      <c r="DK48" s="95"/>
      <c r="DL48" s="37"/>
      <c r="DM48" s="38"/>
      <c r="DN48" s="95"/>
      <c r="DO48" s="37"/>
      <c r="DP48" s="38"/>
      <c r="DQ48" s="77"/>
      <c r="DR48" s="262">
        <v>901</v>
      </c>
      <c r="DS48" s="480" t="s">
        <v>1365</v>
      </c>
      <c r="DT48" s="263">
        <f>4000*12</f>
        <v>48000</v>
      </c>
      <c r="DU48" s="263">
        <f>E48+H48+K48+N48+Q48+T48+W48+Z48+AC48+AF48+AI48+AL48</f>
        <v>32000</v>
      </c>
      <c r="DV48" s="263">
        <f>DT48-DU48</f>
        <v>16000</v>
      </c>
      <c r="DW48" s="263">
        <v>0</v>
      </c>
      <c r="DX48" s="278">
        <f>DV48+DW48</f>
        <v>16000</v>
      </c>
      <c r="DY48" s="278">
        <f>4000*12</f>
        <v>48000</v>
      </c>
      <c r="DZ48" s="263">
        <f>+AP48+AS48+AV48+AY48+BB48+BE48+BH48+BK48+BN48+BQ48+BT48+BW48</f>
        <v>28000</v>
      </c>
      <c r="EA48" s="365">
        <f>DX48+DY48-DZ48</f>
        <v>36000</v>
      </c>
      <c r="EB48" s="278">
        <f>4000*12</f>
        <v>48000</v>
      </c>
      <c r="EC48" s="263">
        <f>CA48+CD48+CG48+CJ48+CM48+CP48+CS48+CV48+CY48+DB48+DE48+DH48</f>
        <v>84000</v>
      </c>
      <c r="ED48" s="451">
        <f>EA48+EB48-EC48</f>
        <v>0</v>
      </c>
      <c r="EE48" s="433"/>
      <c r="EG48" s="262">
        <v>901</v>
      </c>
      <c r="EH48" s="480" t="s">
        <v>1365</v>
      </c>
      <c r="EI48" s="278">
        <f>4000*12</f>
        <v>48000</v>
      </c>
      <c r="EJ48" s="504">
        <v>0</v>
      </c>
      <c r="EK48" s="278">
        <f>4000*2</f>
        <v>8000</v>
      </c>
      <c r="EL48" s="263">
        <f>DK48+DN48</f>
        <v>0</v>
      </c>
      <c r="EM48" s="504">
        <f>EJ48+EK48-EL48</f>
        <v>8000</v>
      </c>
    </row>
    <row r="49" spans="2:143" x14ac:dyDescent="0.3">
      <c r="B49" s="3" t="s">
        <v>1366</v>
      </c>
      <c r="C49" s="9">
        <v>902</v>
      </c>
      <c r="D49" s="97">
        <v>0</v>
      </c>
      <c r="E49" s="95"/>
      <c r="F49" s="37"/>
      <c r="G49" s="38"/>
      <c r="H49" s="95"/>
      <c r="I49" s="37"/>
      <c r="J49" s="38"/>
      <c r="K49" s="95"/>
      <c r="L49" s="37"/>
      <c r="M49" s="38"/>
      <c r="N49" s="95"/>
      <c r="O49" s="37"/>
      <c r="P49" s="38"/>
      <c r="Q49" s="95">
        <f>5500+16000+4000</f>
        <v>25500</v>
      </c>
      <c r="R49" s="37" t="s">
        <v>358</v>
      </c>
      <c r="S49" s="38" t="s">
        <v>357</v>
      </c>
      <c r="T49" s="95">
        <v>5500</v>
      </c>
      <c r="U49" s="37" t="s">
        <v>434</v>
      </c>
      <c r="V49" s="38">
        <v>45088</v>
      </c>
      <c r="W49" s="95">
        <v>5500</v>
      </c>
      <c r="X49" s="37" t="s">
        <v>454</v>
      </c>
      <c r="Y49" s="38">
        <v>45117</v>
      </c>
      <c r="Z49" s="95">
        <v>5500</v>
      </c>
      <c r="AA49" s="37" t="s">
        <v>494</v>
      </c>
      <c r="AB49" s="38">
        <v>45148</v>
      </c>
      <c r="AC49" s="95">
        <v>5500</v>
      </c>
      <c r="AD49" s="37" t="s">
        <v>565</v>
      </c>
      <c r="AE49" s="38">
        <v>45180</v>
      </c>
      <c r="AF49" s="95">
        <f>5500+4000</f>
        <v>9500</v>
      </c>
      <c r="AG49" s="37" t="s">
        <v>594</v>
      </c>
      <c r="AH49" s="38" t="s">
        <v>593</v>
      </c>
      <c r="AI49" s="95">
        <v>5500</v>
      </c>
      <c r="AJ49" s="37" t="s">
        <v>620</v>
      </c>
      <c r="AK49" s="38">
        <v>45243</v>
      </c>
      <c r="AL49" s="95">
        <v>5500</v>
      </c>
      <c r="AM49" s="37" t="s">
        <v>638</v>
      </c>
      <c r="AN49" s="38">
        <v>45271</v>
      </c>
      <c r="AO49" s="258"/>
      <c r="AP49" s="95">
        <v>5500</v>
      </c>
      <c r="AQ49" s="37" t="s">
        <v>661</v>
      </c>
      <c r="AR49" s="38">
        <v>45301</v>
      </c>
      <c r="AS49" s="95">
        <v>5500</v>
      </c>
      <c r="AT49" s="37" t="s">
        <v>775</v>
      </c>
      <c r="AU49" s="38">
        <v>45334</v>
      </c>
      <c r="AV49" s="95">
        <v>5500</v>
      </c>
      <c r="AW49" s="37" t="s">
        <v>772</v>
      </c>
      <c r="AX49" s="38">
        <v>45362</v>
      </c>
      <c r="AY49" s="95">
        <v>5500</v>
      </c>
      <c r="AZ49" s="37" t="s">
        <v>798</v>
      </c>
      <c r="BA49" s="38">
        <v>45391</v>
      </c>
      <c r="BB49" s="95">
        <v>5500</v>
      </c>
      <c r="BC49" s="37" t="s">
        <v>868</v>
      </c>
      <c r="BD49" s="38">
        <v>45423</v>
      </c>
      <c r="BE49" s="95">
        <v>5500</v>
      </c>
      <c r="BF49" s="37" t="s">
        <v>901</v>
      </c>
      <c r="BG49" s="38">
        <v>45453</v>
      </c>
      <c r="BH49" s="95">
        <v>5500</v>
      </c>
      <c r="BI49" s="37" t="s">
        <v>927</v>
      </c>
      <c r="BJ49" s="38">
        <v>45483</v>
      </c>
      <c r="BK49" s="95">
        <v>5500</v>
      </c>
      <c r="BL49" s="37" t="s">
        <v>1039</v>
      </c>
      <c r="BM49" s="38">
        <v>45518</v>
      </c>
      <c r="BN49" s="95">
        <v>5500</v>
      </c>
      <c r="BO49" s="37" t="s">
        <v>1017</v>
      </c>
      <c r="BP49" s="38">
        <v>45548</v>
      </c>
      <c r="BQ49" s="95">
        <v>5500</v>
      </c>
      <c r="BR49" s="37" t="s">
        <v>1052</v>
      </c>
      <c r="BS49" s="38">
        <v>45578</v>
      </c>
      <c r="BT49" s="95">
        <v>5500</v>
      </c>
      <c r="BU49" s="37" t="s">
        <v>1083</v>
      </c>
      <c r="BV49" s="352">
        <v>45607</v>
      </c>
      <c r="BW49" s="95">
        <v>5500</v>
      </c>
      <c r="BX49" s="37" t="s">
        <v>1103</v>
      </c>
      <c r="BY49" s="38">
        <v>45641</v>
      </c>
      <c r="BZ49" s="350"/>
      <c r="CA49" s="73">
        <v>5500</v>
      </c>
      <c r="CB49" s="37" t="s">
        <v>1183</v>
      </c>
      <c r="CC49" s="38">
        <v>45673</v>
      </c>
      <c r="CD49" s="95">
        <v>5500</v>
      </c>
      <c r="CE49" s="37" t="s">
        <v>1202</v>
      </c>
      <c r="CF49" s="38">
        <v>45704</v>
      </c>
      <c r="CG49" s="95">
        <v>5500</v>
      </c>
      <c r="CH49" s="37" t="s">
        <v>1226</v>
      </c>
      <c r="CI49" s="38">
        <v>45729</v>
      </c>
      <c r="CJ49" s="95">
        <v>5500</v>
      </c>
      <c r="CK49" s="37" t="s">
        <v>1288</v>
      </c>
      <c r="CL49" s="38">
        <v>45762</v>
      </c>
      <c r="CM49" s="95">
        <v>5500</v>
      </c>
      <c r="CN49" s="37" t="s">
        <v>1303</v>
      </c>
      <c r="CO49" s="38">
        <v>45788</v>
      </c>
      <c r="CP49" s="95">
        <v>5500</v>
      </c>
      <c r="CQ49" s="37" t="s">
        <v>1334</v>
      </c>
      <c r="CR49" s="38">
        <v>45820</v>
      </c>
      <c r="CS49" s="95">
        <v>5500</v>
      </c>
      <c r="CT49" s="37" t="s">
        <v>1397</v>
      </c>
      <c r="CU49" s="38">
        <v>45852</v>
      </c>
      <c r="CV49" s="95">
        <v>5500</v>
      </c>
      <c r="CW49" s="37" t="s">
        <v>1462</v>
      </c>
      <c r="CX49" s="38">
        <v>45886</v>
      </c>
      <c r="CY49" s="95">
        <v>5500</v>
      </c>
      <c r="CZ49" s="37" t="s">
        <v>1522</v>
      </c>
      <c r="DA49" s="38">
        <v>45914</v>
      </c>
      <c r="DB49" s="95">
        <v>5500</v>
      </c>
      <c r="DC49" s="37" t="s">
        <v>1617</v>
      </c>
      <c r="DD49" s="38">
        <v>45942</v>
      </c>
      <c r="DE49" s="95">
        <v>5500</v>
      </c>
      <c r="DF49" s="37" t="s">
        <v>1672</v>
      </c>
      <c r="DG49" s="38">
        <v>45977</v>
      </c>
      <c r="DH49" s="95">
        <v>5500</v>
      </c>
      <c r="DI49" s="37" t="s">
        <v>1795</v>
      </c>
      <c r="DJ49" s="38">
        <v>46022</v>
      </c>
      <c r="DK49" s="95">
        <v>5500</v>
      </c>
      <c r="DL49" s="37" t="s">
        <v>1811</v>
      </c>
      <c r="DM49" s="38">
        <v>46039</v>
      </c>
      <c r="DN49" s="95"/>
      <c r="DO49" s="37"/>
      <c r="DP49" s="38"/>
      <c r="DQ49" s="77"/>
      <c r="DR49" s="265">
        <v>902</v>
      </c>
      <c r="DS49" s="481" t="s">
        <v>1366</v>
      </c>
      <c r="DT49" s="260">
        <f>16000+44000</f>
        <v>60000</v>
      </c>
      <c r="DU49" s="260">
        <f>E49+H49+K49+N49+Q49+T49+W49+Z49+AC49+AF49+AI49+AL49</f>
        <v>68000</v>
      </c>
      <c r="DV49" s="260">
        <f>DT49-DU49</f>
        <v>-8000</v>
      </c>
      <c r="DW49" s="260">
        <v>8000</v>
      </c>
      <c r="DX49" s="277">
        <f>DV49+DW49</f>
        <v>0</v>
      </c>
      <c r="DY49" s="277">
        <f>5500*12</f>
        <v>66000</v>
      </c>
      <c r="DZ49" s="260">
        <f>+AP49+AS49+AV49+AY49+BB49+BE49+BH49+BK49+BN49+BQ49+BT49+BW49</f>
        <v>66000</v>
      </c>
      <c r="EA49" s="363">
        <f>DX49+DY49-DZ49</f>
        <v>0</v>
      </c>
      <c r="EB49" s="277">
        <f>5500*12</f>
        <v>66000</v>
      </c>
      <c r="EC49" s="260">
        <f t="shared" ref="EC49:EC51" si="9">CA49+CD49+CG49+CJ49+CM49+CP49+CS49+CV49+CY49+DB49+DE49+DH49</f>
        <v>66000</v>
      </c>
      <c r="ED49" s="338">
        <f>EA49+EB49-EC49</f>
        <v>0</v>
      </c>
      <c r="EE49" s="434"/>
      <c r="EG49" s="265">
        <v>902</v>
      </c>
      <c r="EH49" s="481" t="s">
        <v>1818</v>
      </c>
      <c r="EI49" s="277">
        <f>5500*12</f>
        <v>66000</v>
      </c>
      <c r="EJ49" s="505">
        <v>0</v>
      </c>
      <c r="EK49" s="277">
        <f>5500*2</f>
        <v>11000</v>
      </c>
      <c r="EL49" s="260">
        <f>DK49+DN49</f>
        <v>5500</v>
      </c>
      <c r="EM49" s="505">
        <f>EJ49+EK49-EL49</f>
        <v>5500</v>
      </c>
    </row>
    <row r="50" spans="2:143" x14ac:dyDescent="0.3">
      <c r="B50" s="3" t="s">
        <v>1367</v>
      </c>
      <c r="C50" s="9">
        <v>903</v>
      </c>
      <c r="D50" s="96">
        <f>-14000-7000+21000</f>
        <v>0</v>
      </c>
      <c r="E50" s="95">
        <v>14000</v>
      </c>
      <c r="F50" s="37" t="s">
        <v>182</v>
      </c>
      <c r="G50" s="38">
        <v>44938</v>
      </c>
      <c r="H50" s="95">
        <v>7000</v>
      </c>
      <c r="I50" s="37" t="s">
        <v>219</v>
      </c>
      <c r="J50" s="38">
        <v>44972</v>
      </c>
      <c r="K50" s="95">
        <v>7000</v>
      </c>
      <c r="L50" s="37" t="s">
        <v>247</v>
      </c>
      <c r="M50" s="38">
        <v>44989</v>
      </c>
      <c r="N50" s="95">
        <v>7000</v>
      </c>
      <c r="O50" s="37" t="s">
        <v>326</v>
      </c>
      <c r="P50" s="38">
        <v>45022</v>
      </c>
      <c r="Q50" s="95">
        <v>7000</v>
      </c>
      <c r="R50" s="37" t="s">
        <v>371</v>
      </c>
      <c r="S50" s="38">
        <v>45066</v>
      </c>
      <c r="T50" s="95"/>
      <c r="U50" s="37"/>
      <c r="V50" s="38"/>
      <c r="W50" s="95">
        <v>7000</v>
      </c>
      <c r="X50" s="37" t="s">
        <v>447</v>
      </c>
      <c r="Y50" s="38">
        <v>45112</v>
      </c>
      <c r="Z50" s="95">
        <v>14000</v>
      </c>
      <c r="AA50" s="37" t="s">
        <v>497</v>
      </c>
      <c r="AB50" s="38">
        <v>45148</v>
      </c>
      <c r="AC50" s="95">
        <v>7000</v>
      </c>
      <c r="AD50" s="37" t="s">
        <v>557</v>
      </c>
      <c r="AE50" s="38">
        <v>45171</v>
      </c>
      <c r="AF50" s="95">
        <v>7000</v>
      </c>
      <c r="AG50" s="37" t="s">
        <v>582</v>
      </c>
      <c r="AH50" s="38">
        <v>45205</v>
      </c>
      <c r="AI50" s="95"/>
      <c r="AJ50" s="37"/>
      <c r="AK50" s="38"/>
      <c r="AL50" s="95"/>
      <c r="AM50" s="37"/>
      <c r="AN50" s="38"/>
      <c r="AO50" s="258"/>
      <c r="AP50" s="95">
        <v>21000</v>
      </c>
      <c r="AQ50" s="37" t="s">
        <v>650</v>
      </c>
      <c r="AR50" s="38">
        <v>45292</v>
      </c>
      <c r="AS50" s="95">
        <v>7000</v>
      </c>
      <c r="AT50" s="37" t="s">
        <v>764</v>
      </c>
      <c r="AU50" s="38">
        <v>45351</v>
      </c>
      <c r="AV50" s="95">
        <v>7000</v>
      </c>
      <c r="AW50" s="37" t="s">
        <v>802</v>
      </c>
      <c r="AX50" s="38">
        <v>45371</v>
      </c>
      <c r="AY50" s="95">
        <f>7000</f>
        <v>7000</v>
      </c>
      <c r="AZ50" s="37" t="s">
        <v>804</v>
      </c>
      <c r="BA50" s="38">
        <v>45406</v>
      </c>
      <c r="BB50" s="95"/>
      <c r="BC50" s="37"/>
      <c r="BD50" s="38"/>
      <c r="BE50" s="95"/>
      <c r="BF50" s="37"/>
      <c r="BG50" s="38"/>
      <c r="BH50" s="95"/>
      <c r="BI50" s="37"/>
      <c r="BJ50" s="38"/>
      <c r="BK50" s="95">
        <v>28000</v>
      </c>
      <c r="BL50" s="37" t="s">
        <v>942</v>
      </c>
      <c r="BM50" s="38">
        <v>45505</v>
      </c>
      <c r="BN50" s="95">
        <v>28000</v>
      </c>
      <c r="BO50" s="37" t="s">
        <v>997</v>
      </c>
      <c r="BP50" s="38">
        <v>45537</v>
      </c>
      <c r="BQ50" s="95"/>
      <c r="BR50" s="37"/>
      <c r="BS50" s="38"/>
      <c r="BT50" s="95"/>
      <c r="BU50" s="37"/>
      <c r="BV50" s="352"/>
      <c r="BW50" s="95"/>
      <c r="BX50" s="37"/>
      <c r="BY50" s="38"/>
      <c r="BZ50" s="350"/>
      <c r="CA50" s="73">
        <v>84000</v>
      </c>
      <c r="CB50" s="37" t="s">
        <v>1175</v>
      </c>
      <c r="CC50" s="38">
        <v>45665</v>
      </c>
      <c r="CD50" s="95"/>
      <c r="CE50" s="37"/>
      <c r="CF50" s="38"/>
      <c r="CG50" s="95"/>
      <c r="CH50" s="37"/>
      <c r="CI50" s="38"/>
      <c r="CJ50" s="95"/>
      <c r="CK50" s="37"/>
      <c r="CL50" s="38"/>
      <c r="CM50" s="95"/>
      <c r="CN50" s="37"/>
      <c r="CO50" s="38"/>
      <c r="CP50" s="95"/>
      <c r="CQ50" s="37"/>
      <c r="CR50" s="38"/>
      <c r="CS50" s="95"/>
      <c r="CT50" s="37"/>
      <c r="CU50" s="38"/>
      <c r="CV50" s="95"/>
      <c r="CW50" s="37"/>
      <c r="CX50" s="38"/>
      <c r="CY50" s="95"/>
      <c r="CZ50" s="37"/>
      <c r="DA50" s="38"/>
      <c r="DB50" s="95"/>
      <c r="DC50" s="37"/>
      <c r="DD50" s="38"/>
      <c r="DE50" s="95"/>
      <c r="DF50" s="37"/>
      <c r="DG50" s="38"/>
      <c r="DH50" s="95"/>
      <c r="DI50" s="37"/>
      <c r="DJ50" s="38"/>
      <c r="DK50" s="95">
        <v>7000</v>
      </c>
      <c r="DL50" s="37" t="s">
        <v>1812</v>
      </c>
      <c r="DM50" s="38">
        <v>46039</v>
      </c>
      <c r="DN50" s="95"/>
      <c r="DO50" s="37"/>
      <c r="DP50" s="38"/>
      <c r="DQ50" s="77"/>
      <c r="DR50" s="265">
        <v>903</v>
      </c>
      <c r="DS50" s="481" t="s">
        <v>1367</v>
      </c>
      <c r="DT50" s="260">
        <f>7000*12</f>
        <v>84000</v>
      </c>
      <c r="DU50" s="260">
        <f>E50+H50+K50+N50+Q50+T50+W50+Z50+AC50+AF50+AI50+AL50</f>
        <v>77000</v>
      </c>
      <c r="DV50" s="260">
        <f>DT50-DU50</f>
        <v>7000</v>
      </c>
      <c r="DW50" s="260">
        <v>7000</v>
      </c>
      <c r="DX50" s="277">
        <f>DV50+DW50</f>
        <v>14000</v>
      </c>
      <c r="DY50" s="277">
        <f>7000*12</f>
        <v>84000</v>
      </c>
      <c r="DZ50" s="260">
        <f>+AP50+AS50+AV50+AY50+BB50+BE50+BH50+BK50+BN50+BQ50+BT50+BW50</f>
        <v>98000</v>
      </c>
      <c r="EA50" s="363">
        <f>DX50+DY50-DZ50</f>
        <v>0</v>
      </c>
      <c r="EB50" s="277">
        <f>7000*12</f>
        <v>84000</v>
      </c>
      <c r="EC50" s="260">
        <f t="shared" si="9"/>
        <v>84000</v>
      </c>
      <c r="ED50" s="378">
        <f>EA50+EB50-EC50</f>
        <v>0</v>
      </c>
      <c r="EE50" s="434"/>
      <c r="EG50" s="265">
        <v>903</v>
      </c>
      <c r="EH50" s="481" t="s">
        <v>1367</v>
      </c>
      <c r="EI50" s="277">
        <f>7000*12</f>
        <v>84000</v>
      </c>
      <c r="EJ50" s="505">
        <v>0</v>
      </c>
      <c r="EK50" s="277">
        <f>7000*2</f>
        <v>14000</v>
      </c>
      <c r="EL50" s="260">
        <f>DK50+DN50</f>
        <v>7000</v>
      </c>
      <c r="EM50" s="505">
        <f>EJ50+EK50-EL50</f>
        <v>7000</v>
      </c>
    </row>
    <row r="51" spans="2:143" ht="15" thickBot="1" x14ac:dyDescent="0.35">
      <c r="B51" s="3" t="s">
        <v>1368</v>
      </c>
      <c r="C51" s="9">
        <v>904</v>
      </c>
      <c r="D51" s="96">
        <v>-5500</v>
      </c>
      <c r="E51" s="95">
        <v>5500</v>
      </c>
      <c r="F51" s="37" t="s">
        <v>189</v>
      </c>
      <c r="G51" s="38">
        <v>44943</v>
      </c>
      <c r="H51" s="95">
        <v>5500</v>
      </c>
      <c r="I51" s="37" t="s">
        <v>198</v>
      </c>
      <c r="J51" s="38">
        <v>44960</v>
      </c>
      <c r="K51" s="95">
        <v>5500</v>
      </c>
      <c r="L51" s="37" t="s">
        <v>243</v>
      </c>
      <c r="M51" s="38">
        <v>44988</v>
      </c>
      <c r="N51" s="95">
        <v>5500</v>
      </c>
      <c r="O51" s="37" t="s">
        <v>327</v>
      </c>
      <c r="P51" s="38">
        <v>45023</v>
      </c>
      <c r="Q51" s="95">
        <v>5500</v>
      </c>
      <c r="R51" s="37" t="s">
        <v>347</v>
      </c>
      <c r="S51" s="38">
        <v>45049</v>
      </c>
      <c r="T51" s="95">
        <v>5500</v>
      </c>
      <c r="U51" s="37" t="s">
        <v>425</v>
      </c>
      <c r="V51" s="38">
        <v>45081</v>
      </c>
      <c r="W51" s="95">
        <v>5500</v>
      </c>
      <c r="X51" s="37" t="s">
        <v>451</v>
      </c>
      <c r="Y51" s="38">
        <v>45115</v>
      </c>
      <c r="Z51" s="95">
        <v>5500</v>
      </c>
      <c r="AA51" s="37" t="s">
        <v>508</v>
      </c>
      <c r="AB51" s="38">
        <v>45160</v>
      </c>
      <c r="AC51" s="95">
        <v>5500</v>
      </c>
      <c r="AD51" s="37" t="s">
        <v>571</v>
      </c>
      <c r="AE51" s="38">
        <v>45185</v>
      </c>
      <c r="AF51" s="95"/>
      <c r="AG51" s="37"/>
      <c r="AH51" s="38"/>
      <c r="AI51" s="95">
        <f>5500+5500</f>
        <v>11000</v>
      </c>
      <c r="AJ51" s="37" t="s">
        <v>627</v>
      </c>
      <c r="AK51" s="38" t="s">
        <v>628</v>
      </c>
      <c r="AL51" s="95"/>
      <c r="AM51" s="37"/>
      <c r="AN51" s="38"/>
      <c r="AO51" s="258"/>
      <c r="AP51" s="95">
        <v>11000</v>
      </c>
      <c r="AQ51" s="37" t="s">
        <v>663</v>
      </c>
      <c r="AR51" s="38">
        <v>45304</v>
      </c>
      <c r="AS51" s="95">
        <v>5500</v>
      </c>
      <c r="AT51" s="37" t="s">
        <v>768</v>
      </c>
      <c r="AU51" s="38">
        <v>45350</v>
      </c>
      <c r="AV51" s="95">
        <v>5500</v>
      </c>
      <c r="AW51" s="37" t="s">
        <v>767</v>
      </c>
      <c r="AX51" s="38">
        <v>45357</v>
      </c>
      <c r="AY51" s="95">
        <v>5500</v>
      </c>
      <c r="AZ51" s="37" t="s">
        <v>796</v>
      </c>
      <c r="BA51" s="38">
        <v>45388</v>
      </c>
      <c r="BB51" s="95">
        <v>5500</v>
      </c>
      <c r="BC51" s="37" t="s">
        <v>895</v>
      </c>
      <c r="BD51" s="38">
        <v>45443</v>
      </c>
      <c r="BE51" s="95"/>
      <c r="BF51" s="37"/>
      <c r="BG51" s="38"/>
      <c r="BH51" s="95">
        <v>5500</v>
      </c>
      <c r="BI51" s="37" t="s">
        <v>937</v>
      </c>
      <c r="BJ51" s="38">
        <v>45498</v>
      </c>
      <c r="BK51" s="95"/>
      <c r="BL51" s="37"/>
      <c r="BM51" s="38"/>
      <c r="BN51" s="95">
        <v>11000</v>
      </c>
      <c r="BO51" s="37" t="s">
        <v>995</v>
      </c>
      <c r="BP51" s="38">
        <v>45536</v>
      </c>
      <c r="BQ51" s="95">
        <v>11000</v>
      </c>
      <c r="BR51" s="37" t="s">
        <v>1051</v>
      </c>
      <c r="BS51" s="38">
        <v>45579</v>
      </c>
      <c r="BT51" s="95">
        <v>5500</v>
      </c>
      <c r="BU51" s="37" t="s">
        <v>1063</v>
      </c>
      <c r="BV51" s="352">
        <v>45599</v>
      </c>
      <c r="BW51" s="95">
        <v>5500</v>
      </c>
      <c r="BX51" s="37" t="s">
        <v>1163</v>
      </c>
      <c r="BY51" s="38">
        <v>45657</v>
      </c>
      <c r="BZ51" s="350"/>
      <c r="CA51" s="73"/>
      <c r="CB51" s="37"/>
      <c r="CC51" s="38"/>
      <c r="CD51" s="95">
        <v>11000</v>
      </c>
      <c r="CE51" s="37" t="s">
        <v>1201</v>
      </c>
      <c r="CF51" s="38">
        <v>45702</v>
      </c>
      <c r="CG51" s="95">
        <v>5500</v>
      </c>
      <c r="CH51" s="37" t="s">
        <v>1269</v>
      </c>
      <c r="CI51" s="38">
        <v>45722</v>
      </c>
      <c r="CJ51" s="95">
        <v>5500</v>
      </c>
      <c r="CK51" s="37" t="s">
        <v>1280</v>
      </c>
      <c r="CL51" s="38">
        <v>45754</v>
      </c>
      <c r="CM51" s="95">
        <v>5500</v>
      </c>
      <c r="CN51" s="37" t="s">
        <v>1311</v>
      </c>
      <c r="CO51" s="38">
        <v>45789</v>
      </c>
      <c r="CP51" s="95">
        <v>5500</v>
      </c>
      <c r="CQ51" s="37" t="s">
        <v>1330</v>
      </c>
      <c r="CR51" s="38">
        <v>45818</v>
      </c>
      <c r="CS51" s="95">
        <v>5500</v>
      </c>
      <c r="CT51" s="37" t="s">
        <v>1391</v>
      </c>
      <c r="CU51" s="38">
        <v>45841</v>
      </c>
      <c r="CV51" s="95">
        <v>5500</v>
      </c>
      <c r="CW51" s="37" t="s">
        <v>1457</v>
      </c>
      <c r="CX51" s="38">
        <v>45882</v>
      </c>
      <c r="CY51" s="95">
        <v>5500</v>
      </c>
      <c r="CZ51" s="37" t="s">
        <v>1527</v>
      </c>
      <c r="DA51" s="38">
        <v>45922</v>
      </c>
      <c r="DB51" s="95">
        <v>5500</v>
      </c>
      <c r="DC51" s="37" t="s">
        <v>1619</v>
      </c>
      <c r="DD51" s="38">
        <v>45950</v>
      </c>
      <c r="DE51" s="95">
        <v>5500</v>
      </c>
      <c r="DF51" s="37" t="s">
        <v>1670</v>
      </c>
      <c r="DG51" s="38">
        <v>45976</v>
      </c>
      <c r="DH51" s="95">
        <v>5500</v>
      </c>
      <c r="DI51" s="37" t="s">
        <v>1723</v>
      </c>
      <c r="DJ51" s="38">
        <v>46008</v>
      </c>
      <c r="DK51" s="95">
        <v>5500</v>
      </c>
      <c r="DL51" s="37" t="s">
        <v>1769</v>
      </c>
      <c r="DM51" s="38">
        <v>46034</v>
      </c>
      <c r="DN51" s="95">
        <v>5500</v>
      </c>
      <c r="DO51" s="37" t="s">
        <v>1860</v>
      </c>
      <c r="DP51" s="38">
        <v>46070</v>
      </c>
      <c r="DQ51" s="77"/>
      <c r="DR51" s="266">
        <v>904</v>
      </c>
      <c r="DS51" s="482" t="s">
        <v>1368</v>
      </c>
      <c r="DT51" s="267">
        <f>5500*12</f>
        <v>66000</v>
      </c>
      <c r="DU51" s="267">
        <f>E51+H51+K51+N51+Q51+T51+W51+Z51+AC51+AF51+AI51+AL51</f>
        <v>60500</v>
      </c>
      <c r="DV51" s="267">
        <f>DT51-DU51</f>
        <v>5500</v>
      </c>
      <c r="DW51" s="267">
        <v>0</v>
      </c>
      <c r="DX51" s="339">
        <f>DV51+DW51</f>
        <v>5500</v>
      </c>
      <c r="DY51" s="339">
        <f>5500*12</f>
        <v>66000</v>
      </c>
      <c r="DZ51" s="267">
        <f>+AP51+AS51+AV51+AY51+BB51+BE51+BH51+BK51+BN51+BQ51+BT51+BW51</f>
        <v>71500</v>
      </c>
      <c r="EA51" s="367">
        <f>DX51+DY51-DZ51</f>
        <v>0</v>
      </c>
      <c r="EB51" s="339">
        <f>5500*12</f>
        <v>66000</v>
      </c>
      <c r="EC51" s="267">
        <f t="shared" si="9"/>
        <v>66000</v>
      </c>
      <c r="ED51" s="340">
        <f>EA51+EB51-EC51</f>
        <v>0</v>
      </c>
      <c r="EE51" s="435"/>
      <c r="EG51" s="266">
        <v>904</v>
      </c>
      <c r="EH51" s="482" t="s">
        <v>1368</v>
      </c>
      <c r="EI51" s="339">
        <f>5500*12</f>
        <v>66000</v>
      </c>
      <c r="EJ51" s="506">
        <v>0</v>
      </c>
      <c r="EK51" s="339">
        <f>5500*2</f>
        <v>11000</v>
      </c>
      <c r="EL51" s="267">
        <f>DK51+DN51</f>
        <v>11000</v>
      </c>
      <c r="EM51" s="506">
        <f>EJ51+EK51-EL51</f>
        <v>0</v>
      </c>
    </row>
    <row r="52" spans="2:143" ht="5.4" customHeight="1" thickBot="1" x14ac:dyDescent="0.35">
      <c r="B52" s="13"/>
      <c r="C52" s="14"/>
      <c r="D52" s="66"/>
      <c r="E52" s="40"/>
      <c r="F52" s="15"/>
      <c r="G52" s="16"/>
      <c r="H52" s="142"/>
      <c r="I52" s="141"/>
      <c r="J52" s="143"/>
      <c r="K52" s="142"/>
      <c r="L52" s="141"/>
      <c r="M52" s="143"/>
      <c r="N52" s="142"/>
      <c r="O52" s="141"/>
      <c r="P52" s="143"/>
      <c r="Q52" s="142"/>
      <c r="R52" s="141"/>
      <c r="S52" s="143"/>
      <c r="T52" s="142"/>
      <c r="U52" s="141"/>
      <c r="V52" s="143"/>
      <c r="W52" s="142"/>
      <c r="X52" s="141"/>
      <c r="Y52" s="143"/>
      <c r="Z52" s="142"/>
      <c r="AA52" s="141"/>
      <c r="AB52" s="143"/>
      <c r="AC52" s="142"/>
      <c r="AD52" s="141"/>
      <c r="AE52" s="143"/>
      <c r="AF52" s="142"/>
      <c r="AG52" s="141"/>
      <c r="AH52" s="143"/>
      <c r="AI52" s="142"/>
      <c r="AJ52" s="141"/>
      <c r="AK52" s="143"/>
      <c r="AL52" s="142"/>
      <c r="AM52" s="141"/>
      <c r="AN52" s="143"/>
      <c r="AO52" s="257"/>
      <c r="AP52" s="142"/>
      <c r="AQ52" s="141"/>
      <c r="AR52" s="143"/>
      <c r="AS52" s="142"/>
      <c r="AT52" s="141"/>
      <c r="AU52" s="143"/>
      <c r="AV52" s="142"/>
      <c r="AW52" s="141"/>
      <c r="AX52" s="143"/>
      <c r="AY52" s="142"/>
      <c r="AZ52" s="141"/>
      <c r="BA52" s="143"/>
      <c r="BB52" s="142"/>
      <c r="BC52" s="141"/>
      <c r="BD52" s="143"/>
      <c r="BE52" s="142"/>
      <c r="BF52" s="141"/>
      <c r="BG52" s="143"/>
      <c r="BH52" s="142"/>
      <c r="BI52" s="141"/>
      <c r="BJ52" s="143"/>
      <c r="BK52" s="142"/>
      <c r="BL52" s="141"/>
      <c r="BM52" s="143"/>
      <c r="BN52" s="142"/>
      <c r="BO52" s="141"/>
      <c r="BP52" s="143"/>
      <c r="BQ52" s="142"/>
      <c r="BR52" s="141"/>
      <c r="BS52" s="143"/>
      <c r="BT52" s="142"/>
      <c r="BU52" s="141"/>
      <c r="BV52" s="141"/>
      <c r="BW52" s="142"/>
      <c r="BX52" s="141"/>
      <c r="BY52" s="143"/>
      <c r="BZ52" s="349"/>
      <c r="CA52" s="141"/>
      <c r="CB52" s="141"/>
      <c r="CC52" s="143"/>
      <c r="CD52" s="142"/>
      <c r="CE52" s="141"/>
      <c r="CF52" s="143"/>
      <c r="CG52" s="142"/>
      <c r="CH52" s="141"/>
      <c r="CI52" s="143"/>
      <c r="CJ52" s="142"/>
      <c r="CK52" s="141"/>
      <c r="CL52" s="143"/>
      <c r="CM52" s="142"/>
      <c r="CN52" s="141"/>
      <c r="CO52" s="143"/>
      <c r="CP52" s="142"/>
      <c r="CQ52" s="141"/>
      <c r="CR52" s="143"/>
      <c r="CS52" s="142"/>
      <c r="CT52" s="141"/>
      <c r="CU52" s="143"/>
      <c r="CV52" s="142"/>
      <c r="CW52" s="141"/>
      <c r="CX52" s="143"/>
      <c r="CY52" s="142"/>
      <c r="CZ52" s="141"/>
      <c r="DA52" s="143"/>
      <c r="DB52" s="142"/>
      <c r="DC52" s="141"/>
      <c r="DD52" s="143"/>
      <c r="DE52" s="142"/>
      <c r="DF52" s="141"/>
      <c r="DG52" s="143"/>
      <c r="DH52" s="142"/>
      <c r="DI52" s="141"/>
      <c r="DJ52" s="143"/>
      <c r="DK52" s="142"/>
      <c r="DL52" s="141"/>
      <c r="DM52" s="143"/>
      <c r="DN52" s="142"/>
      <c r="DO52" s="141"/>
      <c r="DP52" s="143"/>
      <c r="DQ52" s="244"/>
      <c r="DR52" s="261"/>
      <c r="DS52" s="483"/>
      <c r="DT52" s="261"/>
      <c r="DU52" s="261"/>
      <c r="DV52" s="261"/>
      <c r="DW52" s="261"/>
      <c r="DX52" s="261"/>
      <c r="DY52" s="261"/>
      <c r="DZ52" s="261"/>
      <c r="EA52" s="261"/>
      <c r="EB52" s="373"/>
      <c r="EC52" s="373"/>
      <c r="ED52" s="373"/>
      <c r="EE52" s="432"/>
      <c r="EG52" s="261"/>
      <c r="EH52" s="483"/>
      <c r="EJ52" s="49"/>
      <c r="EM52" s="49"/>
    </row>
    <row r="53" spans="2:143" x14ac:dyDescent="0.3">
      <c r="B53" s="3" t="s">
        <v>1369</v>
      </c>
      <c r="C53" s="9">
        <v>1001</v>
      </c>
      <c r="D53" s="97">
        <v>0</v>
      </c>
      <c r="E53" s="95"/>
      <c r="F53" s="37"/>
      <c r="G53" s="38"/>
      <c r="H53" s="95">
        <v>15000</v>
      </c>
      <c r="I53" s="37" t="s">
        <v>222</v>
      </c>
      <c r="J53" s="38">
        <v>44983</v>
      </c>
      <c r="K53" s="95">
        <v>7500</v>
      </c>
      <c r="L53" s="37" t="s">
        <v>277</v>
      </c>
      <c r="M53" s="38">
        <v>45016</v>
      </c>
      <c r="N53" s="95"/>
      <c r="O53" s="37"/>
      <c r="P53" s="38"/>
      <c r="Q53" s="95">
        <v>15000</v>
      </c>
      <c r="R53" s="37" t="s">
        <v>374</v>
      </c>
      <c r="S53" s="38">
        <v>45066</v>
      </c>
      <c r="T53" s="95"/>
      <c r="U53" s="37"/>
      <c r="V53" s="38"/>
      <c r="W53" s="95"/>
      <c r="X53" s="37"/>
      <c r="Y53" s="38"/>
      <c r="Z53" s="95">
        <f>7500*3</f>
        <v>22500</v>
      </c>
      <c r="AA53" s="37" t="s">
        <v>510</v>
      </c>
      <c r="AB53" s="38">
        <v>45165</v>
      </c>
      <c r="AC53" s="95">
        <v>7500</v>
      </c>
      <c r="AD53" s="37" t="s">
        <v>553</v>
      </c>
      <c r="AE53" s="38">
        <v>45199</v>
      </c>
      <c r="AF53" s="95"/>
      <c r="AG53" s="37"/>
      <c r="AH53" s="38"/>
      <c r="AI53" s="95"/>
      <c r="AJ53" s="37"/>
      <c r="AK53" s="38"/>
      <c r="AL53" s="95">
        <f>7500*3</f>
        <v>22500</v>
      </c>
      <c r="AM53" s="37" t="s">
        <v>672</v>
      </c>
      <c r="AN53" s="38">
        <v>45291</v>
      </c>
      <c r="AO53" s="258"/>
      <c r="AP53" s="95"/>
      <c r="AQ53" s="37"/>
      <c r="AR53" s="38"/>
      <c r="AS53" s="95"/>
      <c r="AT53" s="37"/>
      <c r="AU53" s="38"/>
      <c r="AV53" s="95">
        <f>7500*3</f>
        <v>22500</v>
      </c>
      <c r="AW53" s="37" t="s">
        <v>809</v>
      </c>
      <c r="AX53" s="38">
        <v>45382</v>
      </c>
      <c r="AY53" s="95"/>
      <c r="AZ53" s="37"/>
      <c r="BA53" s="38"/>
      <c r="BB53" s="95"/>
      <c r="BC53" s="37"/>
      <c r="BD53" s="38"/>
      <c r="BE53" s="303">
        <f>7500*3</f>
        <v>22500</v>
      </c>
      <c r="BF53" s="331" t="s">
        <v>1112</v>
      </c>
      <c r="BG53" s="332">
        <v>45473</v>
      </c>
      <c r="BH53" s="95"/>
      <c r="BI53" s="37"/>
      <c r="BJ53" s="38"/>
      <c r="BK53" s="95"/>
      <c r="BL53" s="37"/>
      <c r="BM53" s="38"/>
      <c r="BN53" s="157"/>
      <c r="BO53" s="158"/>
      <c r="BP53" s="273"/>
      <c r="BQ53" s="95"/>
      <c r="BR53" s="37"/>
      <c r="BS53" s="38"/>
      <c r="BT53" s="95"/>
      <c r="BU53" s="37"/>
      <c r="BV53" s="352"/>
      <c r="BW53" s="303">
        <f>7500*6</f>
        <v>45000</v>
      </c>
      <c r="BX53" s="331" t="s">
        <v>1114</v>
      </c>
      <c r="BY53" s="332">
        <v>45656</v>
      </c>
      <c r="BZ53" s="357"/>
      <c r="CA53" s="106"/>
      <c r="CB53" s="160"/>
      <c r="CC53" s="161"/>
      <c r="CD53" s="159"/>
      <c r="CE53" s="160"/>
      <c r="CF53" s="161"/>
      <c r="CG53" s="159"/>
      <c r="CH53" s="160"/>
      <c r="CI53" s="161"/>
      <c r="CJ53" s="159"/>
      <c r="CK53" s="160"/>
      <c r="CL53" s="161"/>
      <c r="CM53" s="159"/>
      <c r="CN53" s="160"/>
      <c r="CO53" s="161"/>
      <c r="CP53" s="159"/>
      <c r="CQ53" s="160"/>
      <c r="CR53" s="161"/>
      <c r="CS53" s="159">
        <v>38500</v>
      </c>
      <c r="CT53" s="37" t="s">
        <v>1432</v>
      </c>
      <c r="CU53" s="38">
        <v>45869</v>
      </c>
      <c r="CV53" s="159">
        <v>5500</v>
      </c>
      <c r="CW53" s="37" t="s">
        <v>1492</v>
      </c>
      <c r="CX53" s="38">
        <v>45900</v>
      </c>
      <c r="CY53" s="159">
        <v>4000</v>
      </c>
      <c r="CZ53" s="160" t="s">
        <v>1533</v>
      </c>
      <c r="DA53" s="161">
        <v>45930</v>
      </c>
      <c r="DB53" s="157"/>
      <c r="DC53" s="158"/>
      <c r="DD53" s="273"/>
      <c r="DE53" s="157"/>
      <c r="DF53" s="158"/>
      <c r="DG53" s="273"/>
      <c r="DH53" s="157"/>
      <c r="DI53" s="158"/>
      <c r="DJ53" s="273"/>
      <c r="DK53" s="157"/>
      <c r="DL53" s="158"/>
      <c r="DM53" s="273"/>
      <c r="DN53" s="157"/>
      <c r="DO53" s="158"/>
      <c r="DP53" s="273"/>
      <c r="DQ53" s="77"/>
      <c r="DR53" s="262">
        <v>1001</v>
      </c>
      <c r="DS53" s="480" t="s">
        <v>1369</v>
      </c>
      <c r="DT53" s="263">
        <f>7500*12</f>
        <v>90000</v>
      </c>
      <c r="DU53" s="263">
        <f>E53+H53+K53+N53+Q53+T53+W53+Z53+AC53+AF53+AI53+AL53</f>
        <v>90000</v>
      </c>
      <c r="DV53" s="263">
        <f>DT53-DU53</f>
        <v>0</v>
      </c>
      <c r="DW53" s="263">
        <v>0</v>
      </c>
      <c r="DX53" s="276">
        <f>DV53+DW53</f>
        <v>0</v>
      </c>
      <c r="DY53" s="276">
        <f>7500*12</f>
        <v>90000</v>
      </c>
      <c r="DZ53" s="263">
        <f>+AP53+AS53+AV53+AY53+BB53+BE53+BH53+BK53+BN53+BQ53+BT53+BW53</f>
        <v>90000</v>
      </c>
      <c r="EA53" s="362">
        <f>DX53+DY53-DZ53</f>
        <v>0</v>
      </c>
      <c r="EB53" s="276">
        <f>5500+5500+5500+5500+5500+5500+5500+5500+4000+4000+4000+4000</f>
        <v>60000</v>
      </c>
      <c r="EC53" s="263">
        <f>CA53+CD53+CG53+CJ53+CM53+CP53+CS53+CV53+CY53+DB53+DE53+DH53</f>
        <v>48000</v>
      </c>
      <c r="ED53" s="264">
        <f>EA53+EB53-EC53</f>
        <v>12000</v>
      </c>
      <c r="EE53" s="433"/>
      <c r="EG53" s="262">
        <v>1001</v>
      </c>
      <c r="EH53" s="480" t="s">
        <v>1369</v>
      </c>
      <c r="EI53" s="276">
        <f>4000*12</f>
        <v>48000</v>
      </c>
      <c r="EJ53" s="504">
        <v>12000</v>
      </c>
      <c r="EK53" s="276">
        <f>4000*2</f>
        <v>8000</v>
      </c>
      <c r="EL53" s="263">
        <f>DK53+DN53</f>
        <v>0</v>
      </c>
      <c r="EM53" s="504">
        <f>EJ53+EK53-EL53</f>
        <v>20000</v>
      </c>
    </row>
    <row r="54" spans="2:143" x14ac:dyDescent="0.3">
      <c r="B54" s="3" t="s">
        <v>42</v>
      </c>
      <c r="C54" s="9">
        <v>1002</v>
      </c>
      <c r="D54" s="67">
        <v>0</v>
      </c>
      <c r="E54" s="95">
        <v>5500</v>
      </c>
      <c r="F54" s="37" t="s">
        <v>170</v>
      </c>
      <c r="G54" s="38">
        <v>44929</v>
      </c>
      <c r="H54" s="95">
        <v>5500</v>
      </c>
      <c r="I54" s="37" t="s">
        <v>195</v>
      </c>
      <c r="J54" s="38">
        <v>44958</v>
      </c>
      <c r="K54" s="95">
        <v>5500</v>
      </c>
      <c r="L54" s="37" t="s">
        <v>239</v>
      </c>
      <c r="M54" s="38">
        <v>44986</v>
      </c>
      <c r="N54" s="95">
        <v>5500</v>
      </c>
      <c r="O54" s="37" t="s">
        <v>316</v>
      </c>
      <c r="P54" s="38">
        <v>45019</v>
      </c>
      <c r="Q54" s="95">
        <v>5500</v>
      </c>
      <c r="R54" s="37" t="s">
        <v>341</v>
      </c>
      <c r="S54" s="38">
        <v>45047</v>
      </c>
      <c r="T54" s="95">
        <v>5500</v>
      </c>
      <c r="U54" s="37" t="s">
        <v>420</v>
      </c>
      <c r="V54" s="38">
        <v>45078</v>
      </c>
      <c r="W54" s="95">
        <v>5500</v>
      </c>
      <c r="X54" s="37" t="s">
        <v>444</v>
      </c>
      <c r="Y54" s="38">
        <v>45110</v>
      </c>
      <c r="Z54" s="95">
        <v>5500</v>
      </c>
      <c r="AA54" s="37" t="s">
        <v>467</v>
      </c>
      <c r="AB54" s="38">
        <v>45140</v>
      </c>
      <c r="AC54" s="95">
        <v>5500</v>
      </c>
      <c r="AD54" s="37" t="s">
        <v>554</v>
      </c>
      <c r="AE54" s="38">
        <v>45170</v>
      </c>
      <c r="AF54" s="95">
        <v>5500</v>
      </c>
      <c r="AG54" s="37" t="s">
        <v>575</v>
      </c>
      <c r="AH54" s="38">
        <v>45201</v>
      </c>
      <c r="AI54" s="95">
        <v>5500</v>
      </c>
      <c r="AJ54" s="37" t="s">
        <v>609</v>
      </c>
      <c r="AK54" s="38">
        <v>45231</v>
      </c>
      <c r="AL54" s="95">
        <v>5500</v>
      </c>
      <c r="AM54" s="37" t="s">
        <v>626</v>
      </c>
      <c r="AN54" s="38">
        <v>45261</v>
      </c>
      <c r="AO54" s="258"/>
      <c r="AP54" s="95">
        <v>5500</v>
      </c>
      <c r="AQ54" s="37" t="s">
        <v>649</v>
      </c>
      <c r="AR54" s="38">
        <v>45292</v>
      </c>
      <c r="AS54" s="95">
        <v>5500</v>
      </c>
      <c r="AT54" s="37" t="s">
        <v>704</v>
      </c>
      <c r="AU54" s="38">
        <v>45323</v>
      </c>
      <c r="AV54" s="95">
        <v>5500</v>
      </c>
      <c r="AW54" s="37" t="s">
        <v>761</v>
      </c>
      <c r="AX54" s="38">
        <v>45352</v>
      </c>
      <c r="AY54" s="95">
        <v>5500</v>
      </c>
      <c r="AZ54" s="37" t="s">
        <v>785</v>
      </c>
      <c r="BA54" s="38">
        <v>45384</v>
      </c>
      <c r="BB54" s="95">
        <v>5500</v>
      </c>
      <c r="BC54" s="37" t="s">
        <v>860</v>
      </c>
      <c r="BD54" s="38">
        <v>45413</v>
      </c>
      <c r="BE54" s="95">
        <v>5500</v>
      </c>
      <c r="BF54" s="37" t="s">
        <v>896</v>
      </c>
      <c r="BG54" s="38">
        <v>45444</v>
      </c>
      <c r="BH54" s="95">
        <v>5500</v>
      </c>
      <c r="BI54" s="37" t="s">
        <v>918</v>
      </c>
      <c r="BJ54" s="38">
        <v>45474</v>
      </c>
      <c r="BK54" s="95">
        <v>5500</v>
      </c>
      <c r="BL54" s="37" t="s">
        <v>940</v>
      </c>
      <c r="BM54" s="38">
        <v>45505</v>
      </c>
      <c r="BN54" s="95">
        <v>5500</v>
      </c>
      <c r="BO54" s="37" t="s">
        <v>996</v>
      </c>
      <c r="BP54" s="38">
        <v>45537</v>
      </c>
      <c r="BQ54" s="95">
        <v>5500</v>
      </c>
      <c r="BR54" s="37" t="s">
        <v>1026</v>
      </c>
      <c r="BS54" s="38">
        <v>45566</v>
      </c>
      <c r="BT54" s="95">
        <v>5500</v>
      </c>
      <c r="BU54" s="37" t="s">
        <v>1056</v>
      </c>
      <c r="BV54" s="352">
        <v>45597</v>
      </c>
      <c r="BW54" s="95">
        <v>5500</v>
      </c>
      <c r="BX54" s="37" t="s">
        <v>1091</v>
      </c>
      <c r="BY54" s="38">
        <v>45628</v>
      </c>
      <c r="BZ54" s="350"/>
      <c r="CA54" s="73">
        <v>5500</v>
      </c>
      <c r="CB54" s="37" t="s">
        <v>1168</v>
      </c>
      <c r="CC54" s="38">
        <v>45658</v>
      </c>
      <c r="CD54" s="95">
        <v>5500</v>
      </c>
      <c r="CE54" s="37" t="s">
        <v>1215</v>
      </c>
      <c r="CF54" s="38">
        <v>45689</v>
      </c>
      <c r="CG54" s="95">
        <v>5500</v>
      </c>
      <c r="CH54" s="37" t="s">
        <v>1211</v>
      </c>
      <c r="CI54" s="38">
        <v>45717</v>
      </c>
      <c r="CJ54" s="95">
        <v>5500</v>
      </c>
      <c r="CK54" s="37" t="s">
        <v>1276</v>
      </c>
      <c r="CL54" s="38">
        <v>45748</v>
      </c>
      <c r="CM54" s="95">
        <v>5500</v>
      </c>
      <c r="CN54" s="37" t="s">
        <v>1295</v>
      </c>
      <c r="CO54" s="38">
        <v>45781</v>
      </c>
      <c r="CP54" s="95">
        <v>5500</v>
      </c>
      <c r="CQ54" s="37" t="s">
        <v>1307</v>
      </c>
      <c r="CR54" s="38">
        <v>45809</v>
      </c>
      <c r="CS54" s="95">
        <v>5500</v>
      </c>
      <c r="CT54" s="37" t="s">
        <v>1386</v>
      </c>
      <c r="CU54" s="38">
        <v>45839</v>
      </c>
      <c r="CV54" s="95">
        <v>5500</v>
      </c>
      <c r="CW54" s="37" t="s">
        <v>1463</v>
      </c>
      <c r="CX54" s="38">
        <v>45870</v>
      </c>
      <c r="CY54" s="95">
        <v>5500</v>
      </c>
      <c r="CZ54" s="37" t="s">
        <v>1495</v>
      </c>
      <c r="DA54" s="38">
        <v>45901</v>
      </c>
      <c r="DB54" s="95">
        <v>5500</v>
      </c>
      <c r="DC54" s="37" t="s">
        <v>1563</v>
      </c>
      <c r="DD54" s="38">
        <v>45931</v>
      </c>
      <c r="DE54" s="95">
        <v>5500</v>
      </c>
      <c r="DF54" s="37" t="s">
        <v>1639</v>
      </c>
      <c r="DG54" s="38">
        <v>45962</v>
      </c>
      <c r="DH54" s="95">
        <v>5500</v>
      </c>
      <c r="DI54" s="37" t="s">
        <v>1709</v>
      </c>
      <c r="DJ54" s="38">
        <v>45992</v>
      </c>
      <c r="DK54" s="95">
        <v>5500</v>
      </c>
      <c r="DL54" s="37" t="s">
        <v>1798</v>
      </c>
      <c r="DM54" s="38">
        <v>46023</v>
      </c>
      <c r="DN54" s="95">
        <v>5500</v>
      </c>
      <c r="DO54" s="37" t="s">
        <v>1837</v>
      </c>
      <c r="DP54" s="38">
        <v>46054</v>
      </c>
      <c r="DQ54" s="77"/>
      <c r="DR54" s="265">
        <v>1002</v>
      </c>
      <c r="DS54" s="481" t="s">
        <v>42</v>
      </c>
      <c r="DT54" s="260">
        <f>5500*12</f>
        <v>66000</v>
      </c>
      <c r="DU54" s="260">
        <f>E54+H54+K54+N54+Q54+T54+W54+Z54+AC54+AF54+AI54+AL54</f>
        <v>66000</v>
      </c>
      <c r="DV54" s="260">
        <f>DT54-DU54</f>
        <v>0</v>
      </c>
      <c r="DW54" s="260">
        <v>0</v>
      </c>
      <c r="DX54" s="277">
        <f>DV54+DW54</f>
        <v>0</v>
      </c>
      <c r="DY54" s="277">
        <f>5500*12</f>
        <v>66000</v>
      </c>
      <c r="DZ54" s="260">
        <f>+AP54+AS54+AV54+AY54+BB54+BE54+BH54+BK54+BN54+BQ54+BT54+BW54</f>
        <v>66000</v>
      </c>
      <c r="EA54" s="363">
        <f>DX54+DY54-DZ54</f>
        <v>0</v>
      </c>
      <c r="EB54" s="277">
        <f>5500*12</f>
        <v>66000</v>
      </c>
      <c r="EC54" s="260">
        <f t="shared" ref="EC54:EC56" si="10">CA54+CD54+CG54+CJ54+CM54+CP54+CS54+CV54+CY54+DB54+DE54+DH54</f>
        <v>66000</v>
      </c>
      <c r="ED54" s="338">
        <f>EA54+EB54-EC54</f>
        <v>0</v>
      </c>
      <c r="EE54" s="434"/>
      <c r="EG54" s="265">
        <v>1002</v>
      </c>
      <c r="EH54" s="481" t="s">
        <v>42</v>
      </c>
      <c r="EI54" s="277">
        <f>5500*12</f>
        <v>66000</v>
      </c>
      <c r="EJ54" s="505">
        <v>0</v>
      </c>
      <c r="EK54" s="277">
        <f>5500*2</f>
        <v>11000</v>
      </c>
      <c r="EL54" s="260">
        <f>DK54+DN54</f>
        <v>11000</v>
      </c>
      <c r="EM54" s="505">
        <f>EJ54+EK54-EL54</f>
        <v>0</v>
      </c>
    </row>
    <row r="55" spans="2:143" x14ac:dyDescent="0.3">
      <c r="B55" s="3" t="s">
        <v>1370</v>
      </c>
      <c r="C55" s="9">
        <v>1003</v>
      </c>
      <c r="D55" s="96">
        <v>-9000</v>
      </c>
      <c r="E55" s="95">
        <v>9000</v>
      </c>
      <c r="F55" s="37" t="s">
        <v>177</v>
      </c>
      <c r="G55" s="38">
        <v>44933</v>
      </c>
      <c r="H55" s="95">
        <v>9000</v>
      </c>
      <c r="I55" s="37" t="s">
        <v>203</v>
      </c>
      <c r="J55" s="38">
        <v>44962</v>
      </c>
      <c r="K55" s="95">
        <v>9000</v>
      </c>
      <c r="L55" s="37" t="s">
        <v>242</v>
      </c>
      <c r="M55" s="38">
        <v>44988</v>
      </c>
      <c r="N55" s="95">
        <v>9000</v>
      </c>
      <c r="O55" s="37" t="s">
        <v>321</v>
      </c>
      <c r="P55" s="38">
        <v>45020</v>
      </c>
      <c r="Q55" s="95">
        <v>9000</v>
      </c>
      <c r="R55" s="37" t="s">
        <v>345</v>
      </c>
      <c r="S55" s="38">
        <v>45049</v>
      </c>
      <c r="T55" s="95">
        <v>9000</v>
      </c>
      <c r="U55" s="37" t="s">
        <v>421</v>
      </c>
      <c r="V55" s="38">
        <v>45078</v>
      </c>
      <c r="W55" s="95">
        <v>9000</v>
      </c>
      <c r="X55" s="37" t="s">
        <v>448</v>
      </c>
      <c r="Y55" s="38">
        <v>45113</v>
      </c>
      <c r="Z55" s="95">
        <v>9000</v>
      </c>
      <c r="AA55" s="37" t="s">
        <v>472</v>
      </c>
      <c r="AB55" s="38">
        <v>45142</v>
      </c>
      <c r="AC55" s="95">
        <v>9000</v>
      </c>
      <c r="AD55" s="37" t="s">
        <v>561</v>
      </c>
      <c r="AE55" s="38">
        <v>45175</v>
      </c>
      <c r="AF55" s="95">
        <v>9000</v>
      </c>
      <c r="AG55" s="37" t="s">
        <v>581</v>
      </c>
      <c r="AH55" s="38">
        <v>45204</v>
      </c>
      <c r="AI55" s="95"/>
      <c r="AJ55" s="37"/>
      <c r="AK55" s="38"/>
      <c r="AL55" s="95">
        <v>9000</v>
      </c>
      <c r="AM55" s="37" t="s">
        <v>641</v>
      </c>
      <c r="AN55" s="38">
        <v>45274</v>
      </c>
      <c r="AO55" s="258"/>
      <c r="AP55" s="95">
        <v>9000</v>
      </c>
      <c r="AQ55" s="37" t="s">
        <v>652</v>
      </c>
      <c r="AR55" s="38">
        <v>45295</v>
      </c>
      <c r="AS55" s="95">
        <v>9000</v>
      </c>
      <c r="AT55" s="37" t="s">
        <v>713</v>
      </c>
      <c r="AU55" s="38">
        <v>45334</v>
      </c>
      <c r="AV55" s="95">
        <v>9000</v>
      </c>
      <c r="AW55" s="37" t="s">
        <v>765</v>
      </c>
      <c r="AX55" s="38">
        <v>45356</v>
      </c>
      <c r="AY55" s="95">
        <v>9000</v>
      </c>
      <c r="AZ55" s="37" t="s">
        <v>790</v>
      </c>
      <c r="BA55" s="38">
        <v>45386</v>
      </c>
      <c r="BB55" s="95">
        <v>9000</v>
      </c>
      <c r="BC55" s="37" t="s">
        <v>866</v>
      </c>
      <c r="BD55" s="38">
        <v>45419</v>
      </c>
      <c r="BE55" s="95">
        <v>9000</v>
      </c>
      <c r="BF55" s="37" t="s">
        <v>904</v>
      </c>
      <c r="BG55" s="38">
        <v>45448</v>
      </c>
      <c r="BH55" s="95">
        <v>9000</v>
      </c>
      <c r="BI55" s="37" t="s">
        <v>922</v>
      </c>
      <c r="BJ55" s="38">
        <v>45479</v>
      </c>
      <c r="BK55" s="95">
        <v>9000</v>
      </c>
      <c r="BL55" s="37" t="s">
        <v>1040</v>
      </c>
      <c r="BM55" s="38">
        <v>45518</v>
      </c>
      <c r="BN55" s="95">
        <v>9000</v>
      </c>
      <c r="BO55" s="37" t="s">
        <v>1015</v>
      </c>
      <c r="BP55" s="38">
        <v>45545</v>
      </c>
      <c r="BQ55" s="95">
        <v>9000</v>
      </c>
      <c r="BR55" s="37" t="s">
        <v>1034</v>
      </c>
      <c r="BS55" s="38">
        <v>45570</v>
      </c>
      <c r="BT55" s="95">
        <v>9000</v>
      </c>
      <c r="BU55" s="37" t="s">
        <v>1065</v>
      </c>
      <c r="BV55" s="352">
        <v>45605</v>
      </c>
      <c r="BW55" s="95">
        <v>9000</v>
      </c>
      <c r="BX55" s="37" t="s">
        <v>1094</v>
      </c>
      <c r="BY55" s="38">
        <v>45630</v>
      </c>
      <c r="BZ55" s="350"/>
      <c r="CA55" s="73">
        <v>9000</v>
      </c>
      <c r="CB55" s="37" t="s">
        <v>1180</v>
      </c>
      <c r="CC55" s="38">
        <v>45667</v>
      </c>
      <c r="CD55" s="95">
        <v>9000</v>
      </c>
      <c r="CE55" s="37" t="s">
        <v>1193</v>
      </c>
      <c r="CF55" s="38">
        <v>45692</v>
      </c>
      <c r="CG55" s="95">
        <v>9000</v>
      </c>
      <c r="CH55" s="37" t="s">
        <v>1229</v>
      </c>
      <c r="CI55" s="38">
        <v>45723</v>
      </c>
      <c r="CJ55" s="95">
        <v>9000</v>
      </c>
      <c r="CK55" s="37" t="s">
        <v>1314</v>
      </c>
      <c r="CL55" s="38">
        <v>45753</v>
      </c>
      <c r="CM55" s="95">
        <v>9000</v>
      </c>
      <c r="CN55" s="37" t="s">
        <v>1309</v>
      </c>
      <c r="CO55" s="38">
        <v>45789</v>
      </c>
      <c r="CP55" s="95">
        <v>9000</v>
      </c>
      <c r="CQ55" s="37" t="s">
        <v>1329</v>
      </c>
      <c r="CR55" s="38">
        <v>45818</v>
      </c>
      <c r="CS55" s="95">
        <v>9000</v>
      </c>
      <c r="CT55" s="37" t="s">
        <v>1451</v>
      </c>
      <c r="CU55" s="38">
        <v>45869</v>
      </c>
      <c r="CV55" s="419">
        <v>18000</v>
      </c>
      <c r="CW55" s="37" t="s">
        <v>1465</v>
      </c>
      <c r="CX55" s="38">
        <v>45874</v>
      </c>
      <c r="CY55" s="95">
        <v>9000</v>
      </c>
      <c r="CZ55" s="37" t="s">
        <v>1502</v>
      </c>
      <c r="DA55" s="38">
        <v>45905</v>
      </c>
      <c r="DB55" s="95">
        <v>9000</v>
      </c>
      <c r="DC55" s="37" t="s">
        <v>1607</v>
      </c>
      <c r="DD55" s="38">
        <v>45936</v>
      </c>
      <c r="DE55" s="95">
        <v>9000</v>
      </c>
      <c r="DF55" s="37" t="s">
        <v>1660</v>
      </c>
      <c r="DG55" s="38">
        <v>45966</v>
      </c>
      <c r="DH55" s="95">
        <v>9000</v>
      </c>
      <c r="DI55" s="37" t="s">
        <v>1714</v>
      </c>
      <c r="DJ55" s="38">
        <v>45996</v>
      </c>
      <c r="DK55" s="95">
        <v>9000</v>
      </c>
      <c r="DL55" s="37" t="s">
        <v>1779</v>
      </c>
      <c r="DM55" s="38">
        <v>46030</v>
      </c>
      <c r="DN55" s="95">
        <v>9000</v>
      </c>
      <c r="DO55" s="37" t="s">
        <v>1846</v>
      </c>
      <c r="DP55" s="38">
        <v>46058</v>
      </c>
      <c r="DQ55" s="77"/>
      <c r="DR55" s="265">
        <v>1003</v>
      </c>
      <c r="DS55" s="481" t="s">
        <v>1370</v>
      </c>
      <c r="DT55" s="260">
        <f>9000*12</f>
        <v>108000</v>
      </c>
      <c r="DU55" s="260">
        <f>E55+H55+K55+N55+Q55+T55+W55+Z55+AC55+AF55+AI55+AL55</f>
        <v>99000</v>
      </c>
      <c r="DV55" s="260">
        <f>DT55-DU55</f>
        <v>9000</v>
      </c>
      <c r="DW55" s="260">
        <v>0</v>
      </c>
      <c r="DX55" s="277">
        <f>DV55+DW55</f>
        <v>9000</v>
      </c>
      <c r="DY55" s="277">
        <f>9000*12</f>
        <v>108000</v>
      </c>
      <c r="DZ55" s="260">
        <f>+AP55+AS55+AV55+AY55+BB55+BE55+BH55+BK55+BN55+BQ55+BT55+BW55</f>
        <v>108000</v>
      </c>
      <c r="EA55" s="366">
        <f>DX55+DY55-DZ55</f>
        <v>9000</v>
      </c>
      <c r="EB55" s="277">
        <f>9000*12</f>
        <v>108000</v>
      </c>
      <c r="EC55" s="260">
        <f t="shared" si="10"/>
        <v>117000</v>
      </c>
      <c r="ED55" s="379">
        <f>EA55+EB55-EC55</f>
        <v>0</v>
      </c>
      <c r="EE55" s="434"/>
      <c r="EG55" s="265">
        <v>1003</v>
      </c>
      <c r="EH55" s="481" t="s">
        <v>1370</v>
      </c>
      <c r="EI55" s="510">
        <f>9000*12</f>
        <v>108000</v>
      </c>
      <c r="EJ55" s="505">
        <v>0</v>
      </c>
      <c r="EK55" s="510">
        <f>9000*2</f>
        <v>18000</v>
      </c>
      <c r="EL55" s="260">
        <f>DK55+DN55</f>
        <v>18000</v>
      </c>
      <c r="EM55" s="505">
        <f>EJ55+EK55-EL55</f>
        <v>0</v>
      </c>
    </row>
    <row r="56" spans="2:143" ht="15" thickBot="1" x14ac:dyDescent="0.35">
      <c r="B56" s="3" t="s">
        <v>1371</v>
      </c>
      <c r="C56" s="9">
        <v>1004</v>
      </c>
      <c r="D56" s="96">
        <v>-5500</v>
      </c>
      <c r="E56" s="95">
        <v>5500</v>
      </c>
      <c r="F56" s="37" t="s">
        <v>179</v>
      </c>
      <c r="G56" s="38">
        <v>44934</v>
      </c>
      <c r="H56" s="95">
        <v>5500</v>
      </c>
      <c r="I56" s="37" t="s">
        <v>199</v>
      </c>
      <c r="J56" s="38">
        <v>44960</v>
      </c>
      <c r="K56" s="95">
        <v>5500</v>
      </c>
      <c r="L56" s="37" t="s">
        <v>250</v>
      </c>
      <c r="M56" s="38">
        <v>44990</v>
      </c>
      <c r="N56" s="95">
        <v>5500</v>
      </c>
      <c r="O56" s="37" t="s">
        <v>333</v>
      </c>
      <c r="P56" s="38">
        <v>45027</v>
      </c>
      <c r="Q56" s="95">
        <v>5500</v>
      </c>
      <c r="R56" s="37" t="s">
        <v>344</v>
      </c>
      <c r="S56" s="38">
        <v>45049</v>
      </c>
      <c r="T56" s="95">
        <v>5500</v>
      </c>
      <c r="U56" s="37" t="s">
        <v>419</v>
      </c>
      <c r="V56" s="38">
        <v>45078</v>
      </c>
      <c r="W56" s="95">
        <v>5500</v>
      </c>
      <c r="X56" s="37" t="s">
        <v>455</v>
      </c>
      <c r="Y56" s="38">
        <v>45118</v>
      </c>
      <c r="Z56" s="95">
        <v>5500</v>
      </c>
      <c r="AA56" s="37" t="s">
        <v>471</v>
      </c>
      <c r="AB56" s="38">
        <v>45142</v>
      </c>
      <c r="AC56" s="95">
        <v>5500</v>
      </c>
      <c r="AD56" s="37" t="s">
        <v>570</v>
      </c>
      <c r="AE56" s="38">
        <v>45183</v>
      </c>
      <c r="AF56" s="95">
        <v>5500</v>
      </c>
      <c r="AG56" s="37" t="s">
        <v>579</v>
      </c>
      <c r="AH56" s="38">
        <v>45202</v>
      </c>
      <c r="AI56" s="286">
        <v>5500</v>
      </c>
      <c r="AJ56" s="287" t="s">
        <v>885</v>
      </c>
      <c r="AK56" s="288">
        <v>45260</v>
      </c>
      <c r="AL56" s="95">
        <v>5500</v>
      </c>
      <c r="AM56" s="37" t="s">
        <v>633</v>
      </c>
      <c r="AN56" s="38">
        <v>45263</v>
      </c>
      <c r="AO56" s="258"/>
      <c r="AP56" s="95">
        <v>5500</v>
      </c>
      <c r="AQ56" s="37" t="s">
        <v>656</v>
      </c>
      <c r="AR56" s="38">
        <v>45300</v>
      </c>
      <c r="AS56" s="95">
        <v>5500</v>
      </c>
      <c r="AT56" s="37" t="s">
        <v>708</v>
      </c>
      <c r="AU56" s="38">
        <v>45330</v>
      </c>
      <c r="AV56" s="95">
        <v>5500</v>
      </c>
      <c r="AW56" s="37" t="s">
        <v>763</v>
      </c>
      <c r="AX56" s="38">
        <v>45355</v>
      </c>
      <c r="AY56" s="95">
        <v>5500</v>
      </c>
      <c r="AZ56" s="37" t="s">
        <v>791</v>
      </c>
      <c r="BA56" s="38">
        <v>45387</v>
      </c>
      <c r="BB56" s="95">
        <v>5500</v>
      </c>
      <c r="BC56" s="37" t="s">
        <v>863</v>
      </c>
      <c r="BD56" s="38">
        <v>45415</v>
      </c>
      <c r="BE56" s="95">
        <v>5500</v>
      </c>
      <c r="BF56" s="37" t="s">
        <v>901</v>
      </c>
      <c r="BG56" s="38">
        <v>45447</v>
      </c>
      <c r="BH56" s="95">
        <v>5500</v>
      </c>
      <c r="BI56" s="37" t="s">
        <v>932</v>
      </c>
      <c r="BJ56" s="38">
        <v>45486</v>
      </c>
      <c r="BK56" s="95">
        <v>5500</v>
      </c>
      <c r="BL56" s="37" t="s">
        <v>943</v>
      </c>
      <c r="BM56" s="38">
        <v>45505</v>
      </c>
      <c r="BN56" s="95">
        <v>5500</v>
      </c>
      <c r="BO56" s="37" t="s">
        <v>1001</v>
      </c>
      <c r="BP56" s="38">
        <v>45539</v>
      </c>
      <c r="BQ56" s="95">
        <v>5500</v>
      </c>
      <c r="BR56" s="37" t="s">
        <v>1045</v>
      </c>
      <c r="BS56" s="38">
        <v>45571</v>
      </c>
      <c r="BT56" s="95">
        <v>5500</v>
      </c>
      <c r="BU56" s="37" t="s">
        <v>1060</v>
      </c>
      <c r="BV56" s="352">
        <v>45598</v>
      </c>
      <c r="BW56" s="95">
        <v>5500</v>
      </c>
      <c r="BX56" s="37" t="s">
        <v>1097</v>
      </c>
      <c r="BY56" s="38">
        <v>45635</v>
      </c>
      <c r="BZ56" s="350"/>
      <c r="CA56" s="73">
        <v>5500</v>
      </c>
      <c r="CB56" s="37" t="s">
        <v>1174</v>
      </c>
      <c r="CC56" s="38">
        <v>45662</v>
      </c>
      <c r="CD56" s="95">
        <v>5500</v>
      </c>
      <c r="CE56" s="37" t="s">
        <v>1197</v>
      </c>
      <c r="CF56" s="38">
        <v>45696</v>
      </c>
      <c r="CG56" s="95">
        <v>5500</v>
      </c>
      <c r="CH56" s="37" t="s">
        <v>1270</v>
      </c>
      <c r="CI56" s="38">
        <v>45730</v>
      </c>
      <c r="CJ56" s="95">
        <v>5500</v>
      </c>
      <c r="CK56" s="37" t="s">
        <v>1285</v>
      </c>
      <c r="CL56" s="38">
        <v>45760</v>
      </c>
      <c r="CM56" s="95">
        <v>5500</v>
      </c>
      <c r="CN56" s="37" t="s">
        <v>1294</v>
      </c>
      <c r="CO56" s="38">
        <v>45781</v>
      </c>
      <c r="CP56" s="95">
        <v>5500</v>
      </c>
      <c r="CQ56" s="37" t="s">
        <v>1323</v>
      </c>
      <c r="CR56" s="38">
        <v>45812</v>
      </c>
      <c r="CS56" s="95">
        <v>5500</v>
      </c>
      <c r="CT56" s="37" t="s">
        <v>1466</v>
      </c>
      <c r="CU56" s="38">
        <v>45869</v>
      </c>
      <c r="CV56" s="95">
        <v>5500</v>
      </c>
      <c r="CW56" s="37" t="s">
        <v>1453</v>
      </c>
      <c r="CX56" s="38">
        <v>45874</v>
      </c>
      <c r="CY56" s="95">
        <v>5500</v>
      </c>
      <c r="CZ56" s="37" t="s">
        <v>1520</v>
      </c>
      <c r="DA56" s="38">
        <v>45914</v>
      </c>
      <c r="DB56" s="95">
        <v>5500</v>
      </c>
      <c r="DC56" s="37" t="s">
        <v>1615</v>
      </c>
      <c r="DD56" s="38">
        <v>45938</v>
      </c>
      <c r="DE56" s="95">
        <v>5500</v>
      </c>
      <c r="DF56" s="37" t="s">
        <v>1664</v>
      </c>
      <c r="DG56" s="38">
        <v>45967</v>
      </c>
      <c r="DH56" s="95">
        <v>5500</v>
      </c>
      <c r="DI56" s="37" t="s">
        <v>1721</v>
      </c>
      <c r="DJ56" s="38">
        <v>46007</v>
      </c>
      <c r="DK56" s="95">
        <v>5500</v>
      </c>
      <c r="DL56" s="37" t="s">
        <v>1777</v>
      </c>
      <c r="DM56" s="38">
        <v>46030</v>
      </c>
      <c r="DN56" s="95">
        <v>5500</v>
      </c>
      <c r="DO56" s="37" t="s">
        <v>1854</v>
      </c>
      <c r="DP56" s="38">
        <v>46065</v>
      </c>
      <c r="DQ56" s="77"/>
      <c r="DR56" s="266">
        <v>1004</v>
      </c>
      <c r="DS56" s="482" t="s">
        <v>1371</v>
      </c>
      <c r="DT56" s="267">
        <f>5500*12</f>
        <v>66000</v>
      </c>
      <c r="DU56" s="267">
        <f>E56+H56+K56+N56+Q56+T56+W56+Z56+AC56+AF56+AI56+AL56</f>
        <v>66000</v>
      </c>
      <c r="DV56" s="267">
        <f>DT56-DU56</f>
        <v>0</v>
      </c>
      <c r="DW56" s="267">
        <v>0</v>
      </c>
      <c r="DX56" s="339">
        <f>DV56+DW56</f>
        <v>0</v>
      </c>
      <c r="DY56" s="339">
        <f>5500*12</f>
        <v>66000</v>
      </c>
      <c r="DZ56" s="267">
        <f>+AP56+AS56+AV56+AY56+BB56+BE56+BH56+BK56+BN56+BQ56+BT56+BW56</f>
        <v>66000</v>
      </c>
      <c r="EA56" s="364">
        <f>DX56+DY56-DZ56</f>
        <v>0</v>
      </c>
      <c r="EB56" s="339">
        <f>5500*12</f>
        <v>66000</v>
      </c>
      <c r="EC56" s="267">
        <f t="shared" si="10"/>
        <v>66000</v>
      </c>
      <c r="ED56" s="340">
        <f>EA56+EB56-EC56</f>
        <v>0</v>
      </c>
      <c r="EE56" s="435"/>
      <c r="EG56" s="266">
        <v>1004</v>
      </c>
      <c r="EH56" s="482" t="s">
        <v>1371</v>
      </c>
      <c r="EI56" s="339">
        <f>5500*12</f>
        <v>66000</v>
      </c>
      <c r="EJ56" s="506">
        <v>0</v>
      </c>
      <c r="EK56" s="339">
        <f>5500*2</f>
        <v>11000</v>
      </c>
      <c r="EL56" s="267">
        <f>DK56+DN56</f>
        <v>11000</v>
      </c>
      <c r="EM56" s="506">
        <f>EJ56+EK56-EL56</f>
        <v>0</v>
      </c>
    </row>
    <row r="57" spans="2:143" ht="6" customHeight="1" thickBot="1" x14ac:dyDescent="0.35">
      <c r="B57" s="13"/>
      <c r="C57" s="14"/>
      <c r="D57" s="66"/>
      <c r="E57" s="40"/>
      <c r="F57" s="15"/>
      <c r="G57" s="16"/>
      <c r="H57" s="142"/>
      <c r="I57" s="141"/>
      <c r="J57" s="143"/>
      <c r="K57" s="142"/>
      <c r="L57" s="141"/>
      <c r="M57" s="143"/>
      <c r="N57" s="142"/>
      <c r="O57" s="141"/>
      <c r="P57" s="143"/>
      <c r="Q57" s="142"/>
      <c r="R57" s="141"/>
      <c r="S57" s="143"/>
      <c r="T57" s="142"/>
      <c r="U57" s="141"/>
      <c r="V57" s="143"/>
      <c r="W57" s="142"/>
      <c r="X57" s="141"/>
      <c r="Y57" s="143"/>
      <c r="Z57" s="142"/>
      <c r="AA57" s="141"/>
      <c r="AB57" s="143"/>
      <c r="AC57" s="142"/>
      <c r="AD57" s="141"/>
      <c r="AE57" s="143"/>
      <c r="AF57" s="142"/>
      <c r="AG57" s="141"/>
      <c r="AH57" s="143"/>
      <c r="AI57" s="142"/>
      <c r="AJ57" s="141"/>
      <c r="AK57" s="143"/>
      <c r="AL57" s="142"/>
      <c r="AM57" s="141"/>
      <c r="AN57" s="143"/>
      <c r="AO57" s="257"/>
      <c r="AP57" s="142"/>
      <c r="AQ57" s="141"/>
      <c r="AR57" s="143"/>
      <c r="AS57" s="142"/>
      <c r="AT57" s="141"/>
      <c r="AU57" s="143"/>
      <c r="AV57" s="142"/>
      <c r="AW57" s="141"/>
      <c r="AX57" s="143"/>
      <c r="AY57" s="142"/>
      <c r="AZ57" s="141"/>
      <c r="BA57" s="143"/>
      <c r="BB57" s="142"/>
      <c r="BC57" s="141"/>
      <c r="BD57" s="143"/>
      <c r="BE57" s="142"/>
      <c r="BF57" s="141"/>
      <c r="BG57" s="143"/>
      <c r="BH57" s="142"/>
      <c r="BI57" s="141"/>
      <c r="BJ57" s="143"/>
      <c r="BK57" s="142"/>
      <c r="BL57" s="141"/>
      <c r="BM57" s="143"/>
      <c r="BN57" s="142"/>
      <c r="BO57" s="141"/>
      <c r="BP57" s="143"/>
      <c r="BQ57" s="142"/>
      <c r="BR57" s="141"/>
      <c r="BS57" s="143"/>
      <c r="BT57" s="142"/>
      <c r="BU57" s="141"/>
      <c r="BV57" s="141"/>
      <c r="BW57" s="142"/>
      <c r="BX57" s="141"/>
      <c r="BY57" s="143"/>
      <c r="BZ57" s="349"/>
      <c r="CA57" s="141"/>
      <c r="CB57" s="141"/>
      <c r="CC57" s="143"/>
      <c r="CD57" s="142"/>
      <c r="CE57" s="141"/>
      <c r="CF57" s="143"/>
      <c r="CG57" s="142"/>
      <c r="CH57" s="141"/>
      <c r="CI57" s="143"/>
      <c r="CJ57" s="142"/>
      <c r="CK57" s="141"/>
      <c r="CL57" s="143"/>
      <c r="CM57" s="142"/>
      <c r="CN57" s="141"/>
      <c r="CO57" s="143"/>
      <c r="CP57" s="142"/>
      <c r="CQ57" s="141"/>
      <c r="CR57" s="143"/>
      <c r="CS57" s="142"/>
      <c r="CT57" s="141"/>
      <c r="CU57" s="143"/>
      <c r="CV57" s="142"/>
      <c r="CW57" s="141"/>
      <c r="CX57" s="143"/>
      <c r="CY57" s="142"/>
      <c r="CZ57" s="141"/>
      <c r="DA57" s="143"/>
      <c r="DB57" s="142"/>
      <c r="DC57" s="141"/>
      <c r="DD57" s="143"/>
      <c r="DE57" s="142"/>
      <c r="DF57" s="141"/>
      <c r="DG57" s="143"/>
      <c r="DH57" s="142"/>
      <c r="DI57" s="141"/>
      <c r="DJ57" s="143"/>
      <c r="DK57" s="142"/>
      <c r="DL57" s="141"/>
      <c r="DM57" s="143"/>
      <c r="DN57" s="142"/>
      <c r="DO57" s="141"/>
      <c r="DP57" s="143"/>
      <c r="DQ57" s="244"/>
      <c r="DR57" s="261"/>
      <c r="DS57" s="261"/>
      <c r="DT57" s="261"/>
      <c r="DU57" s="261"/>
      <c r="DV57" s="261"/>
      <c r="DW57" s="261"/>
      <c r="DX57" s="341">
        <f>DV57+DW57</f>
        <v>0</v>
      </c>
      <c r="DY57" s="261"/>
      <c r="DZ57" s="261"/>
      <c r="EA57" s="261"/>
      <c r="EB57" s="261"/>
      <c r="EC57" s="261"/>
      <c r="ED57" s="261"/>
      <c r="EE57" s="432"/>
      <c r="EG57" s="261"/>
      <c r="EH57" s="261"/>
    </row>
    <row r="58" spans="2:143" ht="15" thickBot="1" x14ac:dyDescent="0.35">
      <c r="B58" s="17" t="s">
        <v>8</v>
      </c>
      <c r="C58" s="10"/>
      <c r="D58" s="68"/>
      <c r="E58" s="41">
        <f>SUM(E8:E56)</f>
        <v>184500</v>
      </c>
      <c r="F58" s="12"/>
      <c r="G58" s="1"/>
      <c r="H58" s="41">
        <f>SUM(H8:H56)</f>
        <v>350000</v>
      </c>
      <c r="I58" s="147"/>
      <c r="J58" s="148"/>
      <c r="K58" s="41">
        <f>SUM(K8:K56)</f>
        <v>291500</v>
      </c>
      <c r="L58" s="147"/>
      <c r="M58" s="148"/>
      <c r="N58" s="41">
        <f>SUM(N8:N56)</f>
        <v>212500</v>
      </c>
      <c r="O58" s="147"/>
      <c r="P58" s="148"/>
      <c r="Q58" s="41">
        <f>SUM(Q8:Q56)</f>
        <v>213000</v>
      </c>
      <c r="R58" s="147"/>
      <c r="S58" s="148"/>
      <c r="T58" s="41">
        <f>SUM(T8:T56)</f>
        <v>236000</v>
      </c>
      <c r="U58" s="147"/>
      <c r="V58" s="148"/>
      <c r="W58" s="41">
        <f>SUM(W8:W56)</f>
        <v>191500</v>
      </c>
      <c r="X58" s="147"/>
      <c r="Y58" s="148"/>
      <c r="Z58" s="41">
        <f>SUM(Z8:Z56)</f>
        <v>362500</v>
      </c>
      <c r="AA58" s="147"/>
      <c r="AB58" s="148"/>
      <c r="AC58" s="41">
        <f>SUM(AC8:AC56)</f>
        <v>210000</v>
      </c>
      <c r="AD58" s="147"/>
      <c r="AE58" s="148"/>
      <c r="AF58" s="41">
        <f>SUM(AF8:AF56)</f>
        <v>160000</v>
      </c>
      <c r="AG58" s="147"/>
      <c r="AH58" s="148"/>
      <c r="AI58" s="41">
        <f>SUM(AI8:AI56)</f>
        <v>194000</v>
      </c>
      <c r="AJ58" s="147"/>
      <c r="AK58" s="148"/>
      <c r="AL58" s="41">
        <f>SUM(AL8:AL56)</f>
        <v>293000</v>
      </c>
      <c r="AM58" s="147"/>
      <c r="AN58" s="148"/>
      <c r="AO58" s="257"/>
      <c r="AP58" s="41">
        <f>SUM(AP8:AP56)</f>
        <v>477000</v>
      </c>
      <c r="AQ58" s="147"/>
      <c r="AR58" s="148"/>
      <c r="AS58" s="41">
        <f>SUM(AS8:AS56)</f>
        <v>185500</v>
      </c>
      <c r="AT58" s="147"/>
      <c r="AU58" s="148"/>
      <c r="AV58" s="41">
        <f>SUM(AV8:AV56)</f>
        <v>213000</v>
      </c>
      <c r="AW58" s="147"/>
      <c r="AX58" s="148"/>
      <c r="AY58" s="41">
        <f>SUM(AY8:AY56)</f>
        <v>376500</v>
      </c>
      <c r="AZ58" s="147"/>
      <c r="BA58" s="148"/>
      <c r="BB58" s="41">
        <f>SUM(BB8:BB56)</f>
        <v>161000</v>
      </c>
      <c r="BC58" s="147"/>
      <c r="BD58" s="148"/>
      <c r="BE58" s="41">
        <f>SUM(BE8:BE56)</f>
        <v>249500</v>
      </c>
      <c r="BF58" s="147"/>
      <c r="BG58" s="148"/>
      <c r="BH58" s="41">
        <f>SUM(BH8:BH56)</f>
        <v>173500</v>
      </c>
      <c r="BI58" s="147"/>
      <c r="BJ58" s="148"/>
      <c r="BK58" s="41">
        <f>SUM(BK8:BK56)</f>
        <v>179000</v>
      </c>
      <c r="BL58" s="147"/>
      <c r="BM58" s="148"/>
      <c r="BN58" s="41">
        <f>SUM(BN8:BN56)</f>
        <v>290500</v>
      </c>
      <c r="BO58" s="147"/>
      <c r="BP58" s="148"/>
      <c r="BQ58" s="41">
        <f>SUM(BQ8:BQ56)</f>
        <v>254500</v>
      </c>
      <c r="BR58" s="147"/>
      <c r="BS58" s="148"/>
      <c r="BT58" s="41">
        <f>SUM(BT8:BT56)</f>
        <v>206500</v>
      </c>
      <c r="BU58" s="147"/>
      <c r="BV58" s="147"/>
      <c r="BW58" s="41">
        <f>SUM(BW8:BW56)</f>
        <v>406000</v>
      </c>
      <c r="BX58" s="147"/>
      <c r="BY58" s="148"/>
      <c r="BZ58" s="72"/>
      <c r="CA58" s="355">
        <f>SUM(CA8:CA56)</f>
        <v>264500</v>
      </c>
      <c r="CB58" s="147"/>
      <c r="CC58" s="148"/>
      <c r="CD58" s="41">
        <f>SUM(CD8:CD56)</f>
        <v>161000</v>
      </c>
      <c r="CE58" s="147"/>
      <c r="CF58" s="148"/>
      <c r="CG58" s="41">
        <f>SUM(CG8:CG56)</f>
        <v>257000</v>
      </c>
      <c r="CH58" s="147"/>
      <c r="CI58" s="148"/>
      <c r="CJ58" s="41">
        <f>SUM(CJ8:CJ56)</f>
        <v>120500</v>
      </c>
      <c r="CK58" s="147"/>
      <c r="CL58" s="148"/>
      <c r="CM58" s="41">
        <f>SUM(CM8:CM56)</f>
        <v>157500</v>
      </c>
      <c r="CN58" s="147"/>
      <c r="CO58" s="148"/>
      <c r="CP58" s="41">
        <f>SUM(CP8:CP56)</f>
        <v>215500</v>
      </c>
      <c r="CQ58" s="147"/>
      <c r="CR58" s="148"/>
      <c r="CS58" s="41">
        <f>SUM(CS8:CS56)</f>
        <v>370500</v>
      </c>
      <c r="CT58" s="147"/>
      <c r="CU58" s="148"/>
      <c r="CV58" s="41">
        <f>SUM(CV8:CV56)</f>
        <v>912000</v>
      </c>
      <c r="CW58" s="147"/>
      <c r="CX58" s="148"/>
      <c r="CY58" s="41">
        <f>SUM(CY8:CY56)</f>
        <v>300500</v>
      </c>
      <c r="CZ58" s="147"/>
      <c r="DA58" s="148"/>
      <c r="DB58" s="41">
        <f>SUM(DB8:DB56)</f>
        <v>232500</v>
      </c>
      <c r="DC58" s="147"/>
      <c r="DD58" s="148"/>
      <c r="DE58" s="41">
        <f>SUM(DE8:DE56)</f>
        <v>200000</v>
      </c>
      <c r="DF58" s="147"/>
      <c r="DG58" s="148"/>
      <c r="DH58" s="41">
        <f>SUM(DH8:DH56)</f>
        <v>163001</v>
      </c>
      <c r="DI58" s="147"/>
      <c r="DJ58" s="148"/>
      <c r="DK58" s="41">
        <f>SUM(DK8:DK56)</f>
        <v>262500</v>
      </c>
      <c r="DL58" s="147"/>
      <c r="DM58" s="148"/>
      <c r="DN58" s="41">
        <f>SUM(DN8:DN56)</f>
        <v>172500</v>
      </c>
      <c r="DO58" s="147"/>
      <c r="DP58" s="148"/>
      <c r="DR58" s="342" t="s">
        <v>8</v>
      </c>
      <c r="DS58" s="478"/>
      <c r="DT58" s="343">
        <f t="shared" ref="DT58:EC58" si="11">SUM(DT8:DT56)</f>
        <v>3084500</v>
      </c>
      <c r="DU58" s="343">
        <f t="shared" si="11"/>
        <v>2898500</v>
      </c>
      <c r="DV58" s="343">
        <f t="shared" si="11"/>
        <v>186000</v>
      </c>
      <c r="DW58" s="343">
        <f t="shared" si="11"/>
        <v>281500</v>
      </c>
      <c r="DX58" s="343">
        <f t="shared" si="11"/>
        <v>469000</v>
      </c>
      <c r="DY58" s="343"/>
      <c r="DZ58" s="343">
        <f>SUM(DZ8:DZ56)</f>
        <v>3172500</v>
      </c>
      <c r="EA58" s="344">
        <f t="shared" si="11"/>
        <v>404500</v>
      </c>
      <c r="EB58" s="344">
        <f t="shared" si="11"/>
        <v>3140001</v>
      </c>
      <c r="EC58" s="344">
        <f t="shared" si="11"/>
        <v>3354501</v>
      </c>
      <c r="ED58" s="344">
        <f>SUM(ED8:ED56)</f>
        <v>190000</v>
      </c>
      <c r="EE58" s="344">
        <f>SUM(EE8:EE56)</f>
        <v>0</v>
      </c>
      <c r="EG58" s="345" t="s">
        <v>1043</v>
      </c>
      <c r="EH58" s="507"/>
      <c r="EI58" s="514">
        <f>7500*12</f>
        <v>90000</v>
      </c>
      <c r="EJ58" s="514">
        <v>22500</v>
      </c>
      <c r="EK58" s="514">
        <f>7500*2</f>
        <v>15000</v>
      </c>
      <c r="EL58" s="335">
        <f>DK61+DN61</f>
        <v>0</v>
      </c>
      <c r="EM58" s="508">
        <f>EJ58+EK58-EL58</f>
        <v>37500</v>
      </c>
    </row>
    <row r="59" spans="2:143" ht="8.25" customHeight="1" thickBot="1" x14ac:dyDescent="0.35">
      <c r="B59" s="246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  <c r="AA59" s="246"/>
      <c r="AB59" s="246"/>
      <c r="AC59" s="246"/>
      <c r="AD59" s="246"/>
      <c r="AE59" s="246"/>
      <c r="AF59" s="246"/>
      <c r="AG59" s="246"/>
      <c r="AH59" s="246"/>
      <c r="AI59" s="246"/>
      <c r="AJ59" s="246"/>
      <c r="AK59" s="246"/>
      <c r="AL59" s="246"/>
      <c r="AM59" s="246"/>
      <c r="AN59" s="246"/>
      <c r="AO59" s="257"/>
      <c r="AP59" s="246"/>
      <c r="AQ59" s="246"/>
      <c r="AR59" s="246"/>
      <c r="AS59" s="246"/>
      <c r="AT59" s="246"/>
      <c r="AU59" s="246"/>
      <c r="AV59" s="246"/>
      <c r="AW59" s="246"/>
      <c r="AX59" s="246"/>
      <c r="AY59" s="246"/>
      <c r="AZ59" s="246"/>
      <c r="BA59" s="246"/>
      <c r="BB59" s="246"/>
      <c r="BC59" s="246"/>
      <c r="BD59" s="246"/>
      <c r="BE59" s="246"/>
      <c r="BF59" s="246"/>
      <c r="BG59" s="246"/>
      <c r="BH59" s="246"/>
      <c r="BI59" s="246"/>
      <c r="BJ59" s="246"/>
      <c r="BK59" s="246"/>
      <c r="BL59" s="246"/>
      <c r="BM59" s="246"/>
      <c r="BN59" s="246"/>
      <c r="BO59" s="246"/>
      <c r="BP59" s="246"/>
      <c r="BQ59" s="246"/>
      <c r="BR59" s="246"/>
      <c r="BS59" s="246"/>
      <c r="BT59" s="246"/>
      <c r="BU59" s="246"/>
      <c r="BV59" s="246"/>
      <c r="BW59" s="359"/>
      <c r="BX59" s="360"/>
      <c r="BY59" s="361"/>
      <c r="BZ59" s="72"/>
      <c r="CA59" s="246"/>
      <c r="CB59" s="246"/>
      <c r="CC59" s="246"/>
      <c r="CD59" s="246"/>
      <c r="CE59" s="246"/>
      <c r="CF59" s="246"/>
      <c r="CG59" s="246"/>
      <c r="CH59" s="246"/>
      <c r="CI59" s="246"/>
      <c r="CJ59" s="246"/>
      <c r="CK59" s="246"/>
      <c r="CL59" s="246"/>
      <c r="CM59" s="246"/>
      <c r="CN59" s="246"/>
      <c r="CO59" s="246"/>
      <c r="CP59" s="246"/>
      <c r="CQ59" s="246"/>
      <c r="CR59" s="246"/>
      <c r="CS59" s="246"/>
      <c r="CT59" s="246"/>
      <c r="CU59" s="246"/>
      <c r="CV59" s="246"/>
      <c r="CW59" s="246"/>
      <c r="CX59" s="246"/>
      <c r="CY59" s="246"/>
      <c r="CZ59" s="246"/>
      <c r="DA59" s="246"/>
      <c r="DB59" s="246"/>
      <c r="DC59" s="246"/>
      <c r="DD59" s="246"/>
      <c r="DE59" s="246"/>
      <c r="DF59" s="246"/>
      <c r="DG59" s="246"/>
      <c r="DH59" s="246"/>
      <c r="DI59" s="246"/>
      <c r="DJ59" s="246"/>
      <c r="DK59" s="246"/>
      <c r="DL59" s="246"/>
      <c r="DM59" s="246"/>
      <c r="DN59" s="246"/>
      <c r="DO59" s="246"/>
      <c r="DP59" s="246"/>
    </row>
    <row r="60" spans="2:143" ht="15" thickBot="1" x14ac:dyDescent="0.35">
      <c r="B60" s="29" t="s">
        <v>35</v>
      </c>
      <c r="AO60" s="257"/>
      <c r="BZ60" s="72"/>
      <c r="EG60" s="509" t="s">
        <v>8</v>
      </c>
      <c r="EH60" s="478"/>
      <c r="EI60" s="344">
        <f>SUM(EI8:EI58)</f>
        <v>3186000</v>
      </c>
      <c r="EJ60" s="344">
        <f>SUM(EJ8:EJ58)</f>
        <v>212500</v>
      </c>
      <c r="EK60" s="344">
        <f>SUM(EK8:EK58)</f>
        <v>529500</v>
      </c>
      <c r="EL60" s="344">
        <f>SUM(EL8:EL58)</f>
        <v>435000</v>
      </c>
      <c r="EM60" s="344">
        <f>SUM(EM8:EM58)</f>
        <v>307000</v>
      </c>
    </row>
    <row r="61" spans="2:143" ht="15" thickBot="1" x14ac:dyDescent="0.35">
      <c r="B61" s="557" t="s">
        <v>145</v>
      </c>
      <c r="C61" s="558"/>
      <c r="D61" s="561">
        <f>-7500-7500+7500-7500-7500+15000-7500-7500-7500+15000-7500+15000-7500+7500</f>
        <v>-7500</v>
      </c>
      <c r="E61" s="545"/>
      <c r="F61" s="249"/>
      <c r="G61" s="250"/>
      <c r="H61" s="248">
        <v>7500</v>
      </c>
      <c r="I61" s="249" t="s">
        <v>215</v>
      </c>
      <c r="J61" s="250">
        <v>44969</v>
      </c>
      <c r="K61" s="248"/>
      <c r="L61" s="249"/>
      <c r="M61" s="250"/>
      <c r="N61" s="248">
        <v>15000</v>
      </c>
      <c r="O61" s="249" t="s">
        <v>335</v>
      </c>
      <c r="P61" s="250">
        <v>45028</v>
      </c>
      <c r="Q61" s="248"/>
      <c r="R61" s="249"/>
      <c r="S61" s="250"/>
      <c r="T61" s="248"/>
      <c r="U61" s="249"/>
      <c r="V61" s="250"/>
      <c r="W61" s="248">
        <v>15000</v>
      </c>
      <c r="X61" s="249" t="s">
        <v>450</v>
      </c>
      <c r="Y61" s="250">
        <v>45115</v>
      </c>
      <c r="Z61" s="248">
        <v>15000</v>
      </c>
      <c r="AA61" s="249" t="s">
        <v>499</v>
      </c>
      <c r="AB61" s="250">
        <v>45149</v>
      </c>
      <c r="AC61" s="248">
        <v>7500</v>
      </c>
      <c r="AD61" s="249" t="s">
        <v>568</v>
      </c>
      <c r="AE61" s="250">
        <v>45182</v>
      </c>
      <c r="AF61" s="248"/>
      <c r="AG61" s="249"/>
      <c r="AH61" s="250"/>
      <c r="AI61" s="248">
        <v>15000</v>
      </c>
      <c r="AJ61" s="249" t="s">
        <v>622</v>
      </c>
      <c r="AK61" s="250">
        <v>45247</v>
      </c>
      <c r="AL61" s="248"/>
      <c r="AM61" s="249"/>
      <c r="AN61" s="250"/>
      <c r="AO61" s="258"/>
      <c r="AP61" s="248">
        <v>15000</v>
      </c>
      <c r="AQ61" s="249" t="s">
        <v>655</v>
      </c>
      <c r="AR61" s="250">
        <v>45294</v>
      </c>
      <c r="AS61" s="248">
        <v>15000</v>
      </c>
      <c r="AT61" s="249" t="s">
        <v>708</v>
      </c>
      <c r="AU61" s="250">
        <v>45342</v>
      </c>
      <c r="AV61" s="248"/>
      <c r="AW61" s="249"/>
      <c r="AX61" s="250"/>
      <c r="AY61" s="248"/>
      <c r="AZ61" s="249"/>
      <c r="BA61" s="250"/>
      <c r="BB61" s="248"/>
      <c r="BC61" s="249"/>
      <c r="BD61" s="250"/>
      <c r="BE61" s="248">
        <f>15000+15000</f>
        <v>30000</v>
      </c>
      <c r="BF61" s="249" t="s">
        <v>909</v>
      </c>
      <c r="BG61" s="250">
        <v>45453</v>
      </c>
      <c r="BH61" s="248"/>
      <c r="BI61" s="249"/>
      <c r="BJ61" s="250"/>
      <c r="BK61" s="248"/>
      <c r="BL61" s="249"/>
      <c r="BM61" s="250"/>
      <c r="BN61" s="248"/>
      <c r="BO61" s="249"/>
      <c r="BP61" s="250"/>
      <c r="BQ61" s="248"/>
      <c r="BR61" s="249"/>
      <c r="BS61" s="250"/>
      <c r="BT61" s="248">
        <v>15000</v>
      </c>
      <c r="BU61" s="249" t="s">
        <v>1066</v>
      </c>
      <c r="BV61" s="250">
        <v>45605</v>
      </c>
      <c r="BW61" s="248"/>
      <c r="BX61" s="249"/>
      <c r="BY61" s="250"/>
      <c r="BZ61" s="350"/>
      <c r="CA61" s="248"/>
      <c r="CB61" s="249"/>
      <c r="CC61" s="250"/>
      <c r="CD61" s="248"/>
      <c r="CE61" s="249"/>
      <c r="CF61" s="250"/>
      <c r="CG61" s="248"/>
      <c r="CH61" s="249"/>
      <c r="CI61" s="250"/>
      <c r="CJ61" s="248"/>
      <c r="CK61" s="249"/>
      <c r="CL61" s="250"/>
      <c r="CM61" s="248"/>
      <c r="CN61" s="249"/>
      <c r="CO61" s="250"/>
      <c r="CP61" s="248"/>
      <c r="CQ61" s="249"/>
      <c r="CR61" s="250"/>
      <c r="CS61" s="248"/>
      <c r="CT61" s="249"/>
      <c r="CU61" s="250"/>
      <c r="CV61" s="422">
        <v>90000</v>
      </c>
      <c r="CW61" s="249" t="s">
        <v>1488</v>
      </c>
      <c r="CX61" s="250">
        <v>45900</v>
      </c>
      <c r="CY61" s="418"/>
      <c r="CZ61" s="249"/>
      <c r="DA61" s="250"/>
      <c r="DB61" s="418"/>
      <c r="DC61" s="249"/>
      <c r="DD61" s="250"/>
      <c r="DE61" s="418">
        <v>7500</v>
      </c>
      <c r="DF61" s="472" t="s">
        <v>1698</v>
      </c>
      <c r="DG61" s="250">
        <v>45983</v>
      </c>
      <c r="DH61" s="248"/>
      <c r="DI61" s="472"/>
      <c r="DJ61" s="548"/>
      <c r="DK61" s="549"/>
      <c r="DL61" s="550"/>
      <c r="DM61" s="551"/>
      <c r="DN61" s="549"/>
      <c r="DO61" s="550"/>
      <c r="DP61" s="551"/>
      <c r="DQ61" s="77"/>
      <c r="DR61" s="345" t="s">
        <v>1043</v>
      </c>
      <c r="DS61" s="479"/>
      <c r="DT61" s="335">
        <f>7500*12</f>
        <v>90000</v>
      </c>
      <c r="DU61" s="335">
        <f>E61+H61+K61+N61+Q61+T61+W61+Z61+AC61+AF61+AI61+AL61</f>
        <v>75000</v>
      </c>
      <c r="DV61" s="335">
        <f>DT61-DU61</f>
        <v>15000</v>
      </c>
      <c r="DW61" s="335">
        <v>0</v>
      </c>
      <c r="DX61" s="335">
        <f>DV61+DW61</f>
        <v>15000</v>
      </c>
      <c r="DY61" s="335">
        <f>7500*12</f>
        <v>90000</v>
      </c>
      <c r="DZ61" s="335">
        <f>+AP61+AS61+AV61+AY61+BB61+BE61+BH61+BK61+BN61+BQ61+BT61+BW61</f>
        <v>75000</v>
      </c>
      <c r="EA61" s="335">
        <f>DX61+DY61-DZ61</f>
        <v>30000</v>
      </c>
      <c r="EB61" s="335">
        <f>7500*12</f>
        <v>90000</v>
      </c>
      <c r="EC61" s="263">
        <f>CA61+CD61+CG61+CJ61+CM61+CP61+CS61+CV61+CY61+DB61+DE61+DH61</f>
        <v>97500</v>
      </c>
      <c r="ED61" s="336">
        <f>EA61+EB61-EC61</f>
        <v>22500</v>
      </c>
      <c r="EE61" s="74"/>
    </row>
    <row r="62" spans="2:143" x14ac:dyDescent="0.3">
      <c r="B62" s="145" t="s">
        <v>25</v>
      </c>
      <c r="C62" s="547"/>
      <c r="D62" s="562"/>
      <c r="E62" s="73"/>
      <c r="F62" s="37"/>
      <c r="G62" s="38"/>
      <c r="H62" s="95">
        <v>4000</v>
      </c>
      <c r="I62" s="37" t="s">
        <v>293</v>
      </c>
      <c r="J62" s="38">
        <v>44960</v>
      </c>
      <c r="K62" s="95">
        <f>4000</f>
        <v>4000</v>
      </c>
      <c r="L62" s="37" t="s">
        <v>294</v>
      </c>
      <c r="M62" s="38">
        <v>45004</v>
      </c>
      <c r="N62" s="95">
        <v>4000</v>
      </c>
      <c r="O62" s="37" t="s">
        <v>320</v>
      </c>
      <c r="P62" s="38">
        <v>45020</v>
      </c>
      <c r="Q62" s="95">
        <v>4000</v>
      </c>
      <c r="R62" s="37" t="s">
        <v>368</v>
      </c>
      <c r="S62" s="38">
        <v>45060</v>
      </c>
      <c r="T62" s="95"/>
      <c r="U62" s="37"/>
      <c r="V62" s="38"/>
      <c r="W62" s="95"/>
      <c r="X62" s="37"/>
      <c r="Y62" s="38"/>
      <c r="Z62" s="95"/>
      <c r="AA62" s="37"/>
      <c r="AB62" s="38"/>
      <c r="AC62" s="95"/>
      <c r="AD62" s="37"/>
      <c r="AE62" s="38"/>
      <c r="AF62" s="95"/>
      <c r="AG62" s="37"/>
      <c r="AH62" s="38"/>
      <c r="AI62" s="95"/>
      <c r="AJ62" s="37"/>
      <c r="AK62" s="38"/>
      <c r="AL62" s="95">
        <v>4000</v>
      </c>
      <c r="AM62" s="37" t="s">
        <v>646</v>
      </c>
      <c r="AN62" s="38">
        <v>45282</v>
      </c>
      <c r="AO62" s="258"/>
      <c r="AP62" s="95"/>
      <c r="AQ62" s="37"/>
      <c r="AR62" s="38"/>
      <c r="AS62" s="95"/>
      <c r="AT62" s="37"/>
      <c r="AU62" s="38"/>
      <c r="AV62" s="95"/>
      <c r="AW62" s="37"/>
      <c r="AX62" s="38"/>
      <c r="AY62" s="95"/>
      <c r="AZ62" s="37"/>
      <c r="BA62" s="38"/>
      <c r="BB62" s="95"/>
      <c r="BC62" s="37"/>
      <c r="BD62" s="38"/>
      <c r="BE62" s="95"/>
      <c r="BF62" s="37"/>
      <c r="BG62" s="38"/>
      <c r="BH62" s="95"/>
      <c r="BI62" s="37"/>
      <c r="BJ62" s="38"/>
      <c r="BK62" s="95"/>
      <c r="BL62" s="37"/>
      <c r="BM62" s="38"/>
      <c r="BN62" s="95"/>
      <c r="BO62" s="37"/>
      <c r="BP62" s="38"/>
      <c r="BQ62" s="95"/>
      <c r="BR62" s="37"/>
      <c r="BS62" s="38"/>
      <c r="BT62" s="95"/>
      <c r="BU62" s="37"/>
      <c r="BV62" s="38"/>
      <c r="BW62" s="95">
        <f>4000+4000</f>
        <v>8000</v>
      </c>
      <c r="BX62" s="37" t="s">
        <v>1116</v>
      </c>
      <c r="BY62" s="38" t="s">
        <v>1115</v>
      </c>
      <c r="BZ62" s="350"/>
      <c r="CA62" s="95"/>
      <c r="CB62" s="37"/>
      <c r="CC62" s="38"/>
      <c r="CD62" s="95"/>
      <c r="CE62" s="37"/>
      <c r="CF62" s="38"/>
      <c r="CG62" s="95"/>
      <c r="CH62" s="37"/>
      <c r="CI62" s="38"/>
      <c r="CJ62" s="95"/>
      <c r="CK62" s="37"/>
      <c r="CL62" s="38"/>
      <c r="CM62" s="95">
        <v>8000</v>
      </c>
      <c r="CN62" s="37" t="s">
        <v>1312</v>
      </c>
      <c r="CO62" s="38">
        <v>45789</v>
      </c>
      <c r="CP62" s="95">
        <v>4000</v>
      </c>
      <c r="CQ62" s="37" t="s">
        <v>1429</v>
      </c>
      <c r="CR62" s="38">
        <v>45853</v>
      </c>
      <c r="CS62" s="95">
        <v>8000</v>
      </c>
      <c r="CT62" s="37" t="s">
        <v>1402</v>
      </c>
      <c r="CU62" s="38">
        <v>45865</v>
      </c>
      <c r="CV62" s="95"/>
      <c r="CW62" s="37"/>
      <c r="CX62" s="38"/>
      <c r="CY62" s="95"/>
      <c r="CZ62" s="37"/>
      <c r="DA62" s="38"/>
      <c r="DB62" s="95">
        <v>4000</v>
      </c>
      <c r="DC62" s="37" t="s">
        <v>1623</v>
      </c>
      <c r="DD62" s="38">
        <v>45957</v>
      </c>
      <c r="DE62" s="95"/>
      <c r="DF62" s="37"/>
      <c r="DG62" s="38"/>
      <c r="DH62" s="95">
        <v>8000</v>
      </c>
      <c r="DI62" s="37" t="s">
        <v>1722</v>
      </c>
      <c r="DJ62" s="352">
        <v>46007</v>
      </c>
      <c r="DK62" s="552"/>
      <c r="DL62" s="272"/>
      <c r="DM62" s="137"/>
      <c r="DN62" s="552"/>
      <c r="DO62" s="272"/>
      <c r="DP62" s="137"/>
      <c r="DQ62" s="77"/>
      <c r="DR62" s="77"/>
      <c r="DS62" s="77"/>
      <c r="DT62" s="77"/>
      <c r="DU62" s="77"/>
      <c r="DV62" s="77"/>
      <c r="DW62" s="77"/>
      <c r="DX62" s="77"/>
      <c r="DY62" s="77"/>
      <c r="DZ62" s="77"/>
      <c r="EA62" s="77"/>
    </row>
    <row r="63" spans="2:143" x14ac:dyDescent="0.3">
      <c r="B63" s="145" t="s">
        <v>63</v>
      </c>
      <c r="C63" s="547"/>
      <c r="D63" s="562"/>
      <c r="E63" s="73">
        <v>500000</v>
      </c>
      <c r="F63" s="37"/>
      <c r="G63" s="38">
        <v>44957</v>
      </c>
      <c r="H63" s="95">
        <v>500000</v>
      </c>
      <c r="I63" s="37"/>
      <c r="J63" s="38">
        <v>44985</v>
      </c>
      <c r="K63" s="95">
        <v>625000</v>
      </c>
      <c r="L63" s="37"/>
      <c r="M63" s="38">
        <v>45016</v>
      </c>
      <c r="N63" s="95">
        <v>1625000</v>
      </c>
      <c r="O63" s="37"/>
      <c r="P63" s="38"/>
      <c r="Q63" s="95"/>
      <c r="R63" s="37"/>
      <c r="S63" s="38"/>
      <c r="T63" s="95"/>
      <c r="U63" s="37"/>
      <c r="V63" s="38"/>
      <c r="W63" s="95">
        <v>1625000</v>
      </c>
      <c r="X63" s="37"/>
      <c r="Y63" s="38"/>
      <c r="Z63" s="95"/>
      <c r="AA63" s="37"/>
      <c r="AB63" s="38"/>
      <c r="AC63" s="95"/>
      <c r="AD63" s="37"/>
      <c r="AE63" s="38"/>
      <c r="AF63" s="95">
        <v>1625000</v>
      </c>
      <c r="AG63" s="37"/>
      <c r="AH63" s="38"/>
      <c r="AI63" s="95"/>
      <c r="AJ63" s="37"/>
      <c r="AK63" s="38"/>
      <c r="AL63" s="95"/>
      <c r="AM63" s="37"/>
      <c r="AN63" s="38"/>
      <c r="AO63" s="258"/>
      <c r="AP63" s="95">
        <f>+Advertisment!D22</f>
        <v>1706250</v>
      </c>
      <c r="AQ63" s="37"/>
      <c r="AR63" s="38"/>
      <c r="AS63" s="95"/>
      <c r="AT63" s="37"/>
      <c r="AU63" s="38"/>
      <c r="AV63" s="95"/>
      <c r="AW63" s="37"/>
      <c r="AX63" s="38"/>
      <c r="AY63" s="95">
        <f>+Advertisment!D23</f>
        <v>1791562.5</v>
      </c>
      <c r="AZ63" s="37"/>
      <c r="BA63" s="38"/>
      <c r="BB63" s="95"/>
      <c r="BC63" s="37"/>
      <c r="BD63" s="38"/>
      <c r="BE63" s="95"/>
      <c r="BF63" s="37"/>
      <c r="BG63" s="38"/>
      <c r="BH63" s="95">
        <f>+Advertisment!D24</f>
        <v>1791563</v>
      </c>
      <c r="BI63" s="37"/>
      <c r="BJ63" s="38"/>
      <c r="BK63" s="95"/>
      <c r="BL63" s="37"/>
      <c r="BM63" s="38"/>
      <c r="BN63" s="95"/>
      <c r="BO63" s="37"/>
      <c r="BP63" s="38"/>
      <c r="BQ63" s="95">
        <f>+Advertisment!D25</f>
        <v>1791563</v>
      </c>
      <c r="BR63" s="37"/>
      <c r="BS63" s="38"/>
      <c r="BT63" s="95">
        <v>0</v>
      </c>
      <c r="BU63" s="37"/>
      <c r="BV63" s="38"/>
      <c r="BW63" s="95"/>
      <c r="BX63" s="37"/>
      <c r="BY63" s="38"/>
      <c r="BZ63" s="350"/>
      <c r="CA63" s="95">
        <f>+Advertisment!D26</f>
        <v>1791563</v>
      </c>
      <c r="CB63" s="37"/>
      <c r="CC63" s="38"/>
      <c r="CD63" s="95"/>
      <c r="CE63" s="37"/>
      <c r="CF63" s="38"/>
      <c r="CG63" s="95"/>
      <c r="CH63" s="37"/>
      <c r="CI63" s="38"/>
      <c r="CJ63" s="95"/>
      <c r="CK63" s="37"/>
      <c r="CL63" s="38"/>
      <c r="CM63" s="95">
        <f>+Advertisment!D27-89578</f>
        <v>1791562.625</v>
      </c>
      <c r="CN63" s="37" t="s">
        <v>1947</v>
      </c>
      <c r="CO63" s="38"/>
      <c r="CP63" s="95"/>
      <c r="CQ63" s="37"/>
      <c r="CR63" s="38"/>
      <c r="CS63" s="95"/>
      <c r="CT63" s="37"/>
      <c r="CU63" s="38"/>
      <c r="CV63" s="95">
        <f>1100000+781000</f>
        <v>1881000</v>
      </c>
      <c r="CW63" s="37"/>
      <c r="CX63" s="38"/>
      <c r="CY63" s="95">
        <v>600000</v>
      </c>
      <c r="CZ63" s="471" t="s">
        <v>1696</v>
      </c>
      <c r="DA63" s="471">
        <v>45924</v>
      </c>
      <c r="DB63" s="95">
        <v>500000</v>
      </c>
      <c r="DC63" s="37" t="s">
        <v>1697</v>
      </c>
      <c r="DD63" s="38">
        <v>45951</v>
      </c>
      <c r="DE63" s="95">
        <f>600000+270000</f>
        <v>870000</v>
      </c>
      <c r="DF63" s="37" t="s">
        <v>1697</v>
      </c>
      <c r="DG63" s="471" t="s">
        <v>1748</v>
      </c>
      <c r="DH63" s="95">
        <v>500000</v>
      </c>
      <c r="DI63" s="37" t="s">
        <v>1697</v>
      </c>
      <c r="DJ63" s="471">
        <v>46010</v>
      </c>
      <c r="DK63" s="552"/>
      <c r="DL63" s="272"/>
      <c r="DM63" s="553"/>
      <c r="DN63" s="552"/>
      <c r="DO63" s="272"/>
      <c r="DP63" s="553"/>
      <c r="DQ63" s="77"/>
      <c r="DR63" s="77"/>
      <c r="DS63" s="77"/>
      <c r="DT63" s="77"/>
      <c r="DU63" s="77"/>
      <c r="DV63" s="77"/>
      <c r="DW63" s="77"/>
      <c r="DX63" s="77"/>
      <c r="DY63" s="77"/>
      <c r="DZ63" s="77"/>
      <c r="EA63" s="77"/>
      <c r="ED63">
        <f>7500*4</f>
        <v>30000</v>
      </c>
    </row>
    <row r="64" spans="2:143" x14ac:dyDescent="0.3">
      <c r="B64" s="145" t="s">
        <v>64</v>
      </c>
      <c r="C64" s="547"/>
      <c r="D64" s="562"/>
      <c r="E64" s="73">
        <v>400000</v>
      </c>
      <c r="F64" s="37"/>
      <c r="G64" s="38">
        <v>44957</v>
      </c>
      <c r="H64" s="95"/>
      <c r="I64" s="37"/>
      <c r="J64" s="38"/>
      <c r="K64" s="95"/>
      <c r="L64" s="37"/>
      <c r="M64" s="38"/>
      <c r="N64" s="95"/>
      <c r="O64" s="37"/>
      <c r="P64" s="38"/>
      <c r="Q64" s="95">
        <v>400000</v>
      </c>
      <c r="R64" s="37"/>
      <c r="S64" s="38"/>
      <c r="T64" s="95"/>
      <c r="U64" s="37"/>
      <c r="V64" s="38"/>
      <c r="W64" s="95"/>
      <c r="X64" s="37"/>
      <c r="Y64" s="38"/>
      <c r="Z64" s="95"/>
      <c r="AA64" s="37"/>
      <c r="AB64" s="38"/>
      <c r="AC64" s="95"/>
      <c r="AD64" s="37"/>
      <c r="AE64" s="38"/>
      <c r="AF64" s="95">
        <v>400000</v>
      </c>
      <c r="AG64" s="37"/>
      <c r="AH64" s="38"/>
      <c r="AI64" s="95"/>
      <c r="AJ64" s="37"/>
      <c r="AK64" s="38"/>
      <c r="AL64" s="95"/>
      <c r="AM64" s="37"/>
      <c r="AN64" s="38"/>
      <c r="AO64" s="258"/>
      <c r="AP64" s="95"/>
      <c r="AQ64" s="37"/>
      <c r="AR64" s="38"/>
      <c r="AS64" s="95"/>
      <c r="AT64" s="37"/>
      <c r="AU64" s="38"/>
      <c r="AV64" s="95"/>
      <c r="AW64" s="37"/>
      <c r="AX64" s="38"/>
      <c r="AY64" s="95"/>
      <c r="AZ64" s="37"/>
      <c r="BA64" s="38"/>
      <c r="BB64" s="95"/>
      <c r="BC64" s="37"/>
      <c r="BD64" s="38"/>
      <c r="BE64" s="95"/>
      <c r="BF64" s="37"/>
      <c r="BG64" s="38"/>
      <c r="BH64" s="95"/>
      <c r="BI64" s="37"/>
      <c r="BJ64" s="38"/>
      <c r="BK64" s="95"/>
      <c r="BL64" s="37"/>
      <c r="BM64" s="38"/>
      <c r="BN64" s="95"/>
      <c r="BO64" s="37"/>
      <c r="BP64" s="38"/>
      <c r="BQ64" s="95"/>
      <c r="BR64" s="37"/>
      <c r="BS64" s="38"/>
      <c r="BT64" s="95"/>
      <c r="BU64" s="37"/>
      <c r="BV64" s="38"/>
      <c r="BW64" s="95"/>
      <c r="BX64" s="37"/>
      <c r="BY64" s="38"/>
      <c r="BZ64" s="350"/>
      <c r="CA64" s="95"/>
      <c r="CB64" s="37"/>
      <c r="CC64" s="38"/>
      <c r="CD64" s="95"/>
      <c r="CE64" s="37"/>
      <c r="CF64" s="38"/>
      <c r="CG64" s="95">
        <v>100000</v>
      </c>
      <c r="CH64" s="37" t="s">
        <v>1418</v>
      </c>
      <c r="CI64" s="38"/>
      <c r="CJ64" s="95"/>
      <c r="CK64" s="37"/>
      <c r="CL64" s="38"/>
      <c r="CM64" s="95"/>
      <c r="CN64" s="37"/>
      <c r="CO64" s="38"/>
      <c r="CP64" s="95"/>
      <c r="CQ64" s="37"/>
      <c r="CR64" s="38"/>
      <c r="CS64" s="95"/>
      <c r="CT64" s="37"/>
      <c r="CU64" s="38"/>
      <c r="CV64" s="95"/>
      <c r="CW64" s="37"/>
      <c r="CX64" s="38"/>
      <c r="CY64" s="95">
        <v>300000</v>
      </c>
      <c r="CZ64" s="37"/>
      <c r="DA64" s="38"/>
      <c r="DB64" s="95"/>
      <c r="DC64" s="37"/>
      <c r="DD64" s="38"/>
      <c r="DE64" s="95"/>
      <c r="DF64" s="37"/>
      <c r="DG64" s="471"/>
      <c r="DH64" s="95"/>
      <c r="DI64" s="37"/>
      <c r="DJ64" s="471"/>
      <c r="DK64" s="552"/>
      <c r="DL64" s="272"/>
      <c r="DM64" s="553"/>
      <c r="DN64" s="552"/>
      <c r="DO64" s="272"/>
      <c r="DP64" s="553"/>
      <c r="DQ64" s="77"/>
      <c r="DR64" s="77"/>
      <c r="DS64" s="77"/>
      <c r="DT64" s="77"/>
      <c r="DU64" s="77"/>
      <c r="DV64" s="77"/>
      <c r="DW64" s="77"/>
      <c r="DX64" s="77"/>
      <c r="DY64" s="77"/>
      <c r="DZ64" s="77"/>
      <c r="EA64" s="77"/>
    </row>
    <row r="65" spans="2:131" ht="15" thickBot="1" x14ac:dyDescent="0.35">
      <c r="B65" s="145" t="s">
        <v>1699</v>
      </c>
      <c r="C65" s="547"/>
      <c r="D65" s="562"/>
      <c r="E65" s="546">
        <v>300000</v>
      </c>
      <c r="F65" s="252"/>
      <c r="G65" s="253">
        <v>44957</v>
      </c>
      <c r="H65" s="251"/>
      <c r="I65" s="252"/>
      <c r="J65" s="253"/>
      <c r="K65" s="251"/>
      <c r="L65" s="252"/>
      <c r="M65" s="253"/>
      <c r="N65" s="251">
        <v>300000</v>
      </c>
      <c r="O65" s="252"/>
      <c r="P65" s="253">
        <v>45046</v>
      </c>
      <c r="Q65" s="251"/>
      <c r="R65" s="252"/>
      <c r="S65" s="253"/>
      <c r="T65" s="251"/>
      <c r="U65" s="252"/>
      <c r="V65" s="253"/>
      <c r="W65" s="251">
        <v>300000</v>
      </c>
      <c r="X65" s="252"/>
      <c r="Y65" s="253">
        <v>45115</v>
      </c>
      <c r="Z65" s="251"/>
      <c r="AA65" s="252"/>
      <c r="AB65" s="253"/>
      <c r="AC65" s="251"/>
      <c r="AD65" s="252"/>
      <c r="AE65" s="253"/>
      <c r="AF65" s="251">
        <v>300000</v>
      </c>
      <c r="AG65" s="252"/>
      <c r="AH65" s="253">
        <v>45230</v>
      </c>
      <c r="AI65" s="251"/>
      <c r="AJ65" s="252"/>
      <c r="AK65" s="253"/>
      <c r="AL65" s="251"/>
      <c r="AM65" s="252"/>
      <c r="AN65" s="253"/>
      <c r="AO65" s="258"/>
      <c r="AP65" s="251">
        <v>300000</v>
      </c>
      <c r="AQ65" s="252"/>
      <c r="AR65" s="253">
        <v>45322</v>
      </c>
      <c r="AS65" s="251"/>
      <c r="AT65" s="252"/>
      <c r="AU65" s="253"/>
      <c r="AV65" s="251"/>
      <c r="AW65" s="252"/>
      <c r="AX65" s="253"/>
      <c r="AY65" s="251">
        <v>300000</v>
      </c>
      <c r="AZ65" s="252"/>
      <c r="BA65" s="253">
        <v>45412</v>
      </c>
      <c r="BB65" s="251"/>
      <c r="BC65" s="252"/>
      <c r="BD65" s="253"/>
      <c r="BE65" s="251"/>
      <c r="BF65" s="252"/>
      <c r="BG65" s="253"/>
      <c r="BH65" s="251">
        <v>300000</v>
      </c>
      <c r="BI65" s="252"/>
      <c r="BJ65" s="253">
        <v>45504</v>
      </c>
      <c r="BK65" s="251"/>
      <c r="BL65" s="252"/>
      <c r="BM65" s="253"/>
      <c r="BN65" s="251"/>
      <c r="BO65" s="252"/>
      <c r="BP65" s="253"/>
      <c r="BQ65" s="251">
        <f>+Advertisment!D58</f>
        <v>300000</v>
      </c>
      <c r="BR65" s="252"/>
      <c r="BS65" s="253">
        <v>45596</v>
      </c>
      <c r="BT65" s="251">
        <v>0</v>
      </c>
      <c r="BU65" s="252"/>
      <c r="BV65" s="253"/>
      <c r="BW65" s="251"/>
      <c r="BX65" s="252"/>
      <c r="BY65" s="253"/>
      <c r="BZ65" s="350"/>
      <c r="CA65" s="251">
        <v>300000</v>
      </c>
      <c r="CB65" s="252"/>
      <c r="CC65" s="253">
        <v>45688</v>
      </c>
      <c r="CD65" s="251"/>
      <c r="CE65" s="252"/>
      <c r="CF65" s="253"/>
      <c r="CG65" s="251"/>
      <c r="CH65" s="252"/>
      <c r="CI65" s="253"/>
      <c r="CJ65" s="251">
        <v>300000</v>
      </c>
      <c r="CK65" s="252"/>
      <c r="CL65" s="253">
        <v>45777</v>
      </c>
      <c r="CM65" s="251"/>
      <c r="CN65" s="252"/>
      <c r="CO65" s="253"/>
      <c r="CP65" s="251"/>
      <c r="CQ65" s="252"/>
      <c r="CR65" s="253"/>
      <c r="CS65" s="251"/>
      <c r="CT65" s="252"/>
      <c r="CU65" s="253"/>
      <c r="CV65" s="251">
        <v>200000</v>
      </c>
      <c r="CW65" s="252"/>
      <c r="CX65" s="253"/>
      <c r="CY65" s="251">
        <v>100000</v>
      </c>
      <c r="CZ65" s="252"/>
      <c r="DA65" s="253"/>
      <c r="DB65" s="251"/>
      <c r="DC65" s="252"/>
      <c r="DD65" s="253"/>
      <c r="DE65" s="251">
        <v>150000</v>
      </c>
      <c r="DF65" s="252" t="s">
        <v>1697</v>
      </c>
      <c r="DG65" s="497">
        <v>45979</v>
      </c>
      <c r="DH65" s="251">
        <v>150000</v>
      </c>
      <c r="DI65" s="252" t="s">
        <v>1697</v>
      </c>
      <c r="DJ65" s="497">
        <v>46006</v>
      </c>
      <c r="DK65" s="552"/>
      <c r="DL65" s="272"/>
      <c r="DM65" s="553"/>
      <c r="DN65" s="552"/>
      <c r="DO65" s="272"/>
      <c r="DP65" s="553"/>
      <c r="DQ65" s="77"/>
      <c r="DR65" s="77"/>
      <c r="DS65" s="77"/>
      <c r="DT65" s="77"/>
      <c r="DU65" s="77"/>
      <c r="DV65" s="77"/>
      <c r="DW65" s="77"/>
      <c r="DX65" s="77"/>
      <c r="DY65" s="77"/>
      <c r="DZ65" s="77"/>
      <c r="EA65" s="77"/>
    </row>
    <row r="66" spans="2:131" x14ac:dyDescent="0.3">
      <c r="B66" s="145" t="s">
        <v>1267</v>
      </c>
      <c r="C66" s="547"/>
      <c r="D66" s="562"/>
      <c r="E66" s="255"/>
      <c r="F66" s="272"/>
      <c r="G66" s="77"/>
      <c r="H66" s="255"/>
      <c r="I66" s="272"/>
      <c r="J66" s="77"/>
      <c r="K66" s="255"/>
      <c r="L66" s="272"/>
      <c r="M66" s="77"/>
      <c r="N66" s="255"/>
      <c r="O66" s="272"/>
      <c r="P66" s="77"/>
      <c r="Q66" s="255"/>
      <c r="R66" s="272"/>
      <c r="S66" s="77"/>
      <c r="T66" s="255"/>
      <c r="U66" s="272"/>
      <c r="V66" s="77"/>
      <c r="W66" s="255"/>
      <c r="X66" s="272"/>
      <c r="Y66" s="77"/>
      <c r="Z66" s="255"/>
      <c r="AA66" s="272"/>
      <c r="AB66" s="77"/>
      <c r="AC66" s="255"/>
      <c r="AD66" s="272"/>
      <c r="AE66" s="77"/>
      <c r="AF66" s="255"/>
      <c r="AG66" s="272"/>
      <c r="AH66" s="77"/>
      <c r="AI66" s="255"/>
      <c r="AJ66" s="272"/>
      <c r="AK66" s="77"/>
      <c r="AL66" s="255"/>
      <c r="AM66" s="272"/>
      <c r="AN66" s="77"/>
      <c r="AO66" s="258"/>
      <c r="AP66" s="255"/>
      <c r="AQ66" s="272"/>
      <c r="AR66" s="77"/>
      <c r="AS66" s="255"/>
      <c r="AT66" s="272"/>
      <c r="AU66" s="77"/>
      <c r="AV66" s="255"/>
      <c r="AW66" s="272"/>
      <c r="AX66" s="77"/>
      <c r="AY66" s="255"/>
      <c r="AZ66" s="272"/>
      <c r="BA66" s="77"/>
      <c r="BB66" s="255"/>
      <c r="BC66" s="272"/>
      <c r="BD66" s="77"/>
      <c r="BE66" s="255"/>
      <c r="BF66" s="272"/>
      <c r="BG66" s="77"/>
      <c r="BH66" s="255"/>
      <c r="BI66" s="272"/>
      <c r="BJ66" s="77"/>
      <c r="BK66" s="255"/>
      <c r="BL66" s="272"/>
      <c r="BM66" s="77"/>
      <c r="BN66" s="255"/>
      <c r="BO66" s="272"/>
      <c r="BP66" s="77"/>
      <c r="BQ66" s="255"/>
      <c r="BR66" s="272"/>
      <c r="BS66" s="77"/>
      <c r="BT66" s="255"/>
      <c r="BU66" s="272"/>
      <c r="BV66" s="77"/>
      <c r="BW66" s="255"/>
      <c r="BX66" s="272"/>
      <c r="BY66" s="77"/>
      <c r="BZ66" s="350"/>
      <c r="CA66" s="255">
        <v>10000</v>
      </c>
      <c r="CB66" s="272"/>
      <c r="CC66" s="77"/>
      <c r="CD66" s="255">
        <v>60000</v>
      </c>
      <c r="CE66" s="272"/>
      <c r="CF66" s="77"/>
      <c r="CG66" s="255"/>
      <c r="CH66" s="272"/>
      <c r="CI66" s="77"/>
      <c r="CJ66" s="255"/>
      <c r="CK66" s="272"/>
      <c r="CL66" s="77"/>
      <c r="CM66" s="255"/>
      <c r="CN66" s="272"/>
      <c r="CO66" s="77"/>
      <c r="CP66" s="255"/>
      <c r="CQ66" s="272"/>
      <c r="CR66" s="77"/>
      <c r="CS66" s="255"/>
      <c r="CT66" s="272"/>
      <c r="CU66" s="77"/>
      <c r="CV66" s="255"/>
      <c r="CW66" s="272"/>
      <c r="CX66" s="77"/>
      <c r="CY66" s="255"/>
      <c r="CZ66" s="272"/>
      <c r="DA66" s="77"/>
      <c r="DB66" s="255"/>
      <c r="DC66" s="272"/>
      <c r="DD66" s="77"/>
      <c r="DE66" s="255"/>
      <c r="DF66" s="272"/>
      <c r="DG66" s="77"/>
      <c r="DH66" s="255">
        <v>50000</v>
      </c>
      <c r="DI66" s="495" t="s">
        <v>1697</v>
      </c>
      <c r="DJ66" s="496">
        <v>45993</v>
      </c>
      <c r="DK66" s="552"/>
      <c r="DL66" s="272"/>
      <c r="DM66" s="553"/>
      <c r="DN66" s="552"/>
      <c r="DO66" s="272"/>
      <c r="DP66" s="553"/>
      <c r="DQ66" s="77"/>
      <c r="DR66" s="77"/>
      <c r="DS66" s="77"/>
      <c r="DT66" s="77"/>
      <c r="DU66" s="77"/>
      <c r="DV66" s="77"/>
      <c r="DW66" s="77"/>
      <c r="DX66" s="77"/>
      <c r="DY66" s="77"/>
      <c r="DZ66" s="77"/>
      <c r="EA66" s="77"/>
    </row>
    <row r="67" spans="2:131" ht="15" thickBot="1" x14ac:dyDescent="0.35">
      <c r="B67" s="559" t="s">
        <v>1866</v>
      </c>
      <c r="C67" s="560"/>
      <c r="D67" s="563"/>
      <c r="E67" s="255"/>
      <c r="F67" s="272"/>
      <c r="G67" s="77"/>
      <c r="H67" s="255"/>
      <c r="I67" s="272"/>
      <c r="J67" s="77"/>
      <c r="K67" s="255"/>
      <c r="L67" s="272"/>
      <c r="M67" s="77"/>
      <c r="N67" s="255"/>
      <c r="O67" s="272"/>
      <c r="P67" s="77"/>
      <c r="Q67" s="255"/>
      <c r="R67" s="272"/>
      <c r="S67" s="77"/>
      <c r="T67" s="255"/>
      <c r="U67" s="272"/>
      <c r="V67" s="77"/>
      <c r="W67" s="255"/>
      <c r="X67" s="272"/>
      <c r="Y67" s="77"/>
      <c r="Z67" s="255"/>
      <c r="AA67" s="272"/>
      <c r="AB67" s="77"/>
      <c r="AC67" s="255"/>
      <c r="AD67" s="272"/>
      <c r="AE67" s="77"/>
      <c r="AF67" s="255"/>
      <c r="AG67" s="272"/>
      <c r="AH67" s="77"/>
      <c r="AI67" s="255"/>
      <c r="AJ67" s="272"/>
      <c r="AK67" s="77"/>
      <c r="AL67" s="255"/>
      <c r="AM67" s="272"/>
      <c r="AN67" s="77"/>
      <c r="AO67" s="258"/>
      <c r="AP67" s="255"/>
      <c r="AQ67" s="272"/>
      <c r="AR67" s="77"/>
      <c r="AS67" s="255"/>
      <c r="AT67" s="272"/>
      <c r="AU67" s="77"/>
      <c r="AV67" s="255"/>
      <c r="AW67" s="272"/>
      <c r="AX67" s="77"/>
      <c r="AY67" s="255"/>
      <c r="AZ67" s="272"/>
      <c r="BA67" s="77"/>
      <c r="BB67" s="255"/>
      <c r="BC67" s="272"/>
      <c r="BD67" s="77"/>
      <c r="BE67" s="255"/>
      <c r="BF67" s="272"/>
      <c r="BG67" s="77"/>
      <c r="BH67" s="255"/>
      <c r="BI67" s="272"/>
      <c r="BJ67" s="77"/>
      <c r="BK67" s="255"/>
      <c r="BL67" s="272"/>
      <c r="BM67" s="77"/>
      <c r="BN67" s="255"/>
      <c r="BO67" s="272"/>
      <c r="BP67" s="77"/>
      <c r="BQ67" s="255"/>
      <c r="BR67" s="272"/>
      <c r="BS67" s="77"/>
      <c r="BT67" s="255"/>
      <c r="BU67" s="272"/>
      <c r="BV67" s="77"/>
      <c r="BW67" s="255"/>
      <c r="BX67" s="272"/>
      <c r="BY67" s="77"/>
      <c r="BZ67" s="350"/>
      <c r="CA67" s="255"/>
      <c r="CB67" s="272"/>
      <c r="CC67" s="77"/>
      <c r="CD67" s="255"/>
      <c r="CE67" s="272"/>
      <c r="CF67" s="77"/>
      <c r="CG67" s="255"/>
      <c r="CH67" s="272"/>
      <c r="CI67" s="77"/>
      <c r="CJ67" s="255"/>
      <c r="CK67" s="272"/>
      <c r="CL67" s="77"/>
      <c r="CM67" s="255"/>
      <c r="CN67" s="272"/>
      <c r="CO67" s="77"/>
      <c r="CP67" s="255"/>
      <c r="CQ67" s="272"/>
      <c r="CR67" s="77"/>
      <c r="CS67" s="255"/>
      <c r="CT67" s="272"/>
      <c r="CU67" s="77"/>
      <c r="CV67" s="255"/>
      <c r="CW67" s="272"/>
      <c r="CX67" s="77"/>
      <c r="CY67" s="255"/>
      <c r="CZ67" s="272"/>
      <c r="DA67" s="77"/>
      <c r="DB67" s="255"/>
      <c r="DC67" s="272"/>
      <c r="DD67" s="77"/>
      <c r="DE67" s="255"/>
      <c r="DF67" s="272"/>
      <c r="DG67" s="77"/>
      <c r="DH67" s="255"/>
      <c r="DI67" s="272"/>
      <c r="DJ67" s="162"/>
      <c r="DK67" s="554"/>
      <c r="DL67" s="555"/>
      <c r="DM67" s="556"/>
      <c r="DN67" s="554"/>
      <c r="DO67" s="555"/>
      <c r="DP67" s="556"/>
      <c r="DQ67" s="77"/>
      <c r="DR67" s="77"/>
      <c r="DS67" s="77"/>
      <c r="DT67" s="77"/>
      <c r="DU67" s="77"/>
      <c r="DV67" s="77"/>
      <c r="DW67" s="77"/>
      <c r="DX67" s="77"/>
      <c r="DY67" s="77"/>
      <c r="DZ67" s="77"/>
      <c r="EA67" s="77"/>
    </row>
    <row r="68" spans="2:131" ht="15" thickBot="1" x14ac:dyDescent="0.35">
      <c r="B68" s="247" t="s">
        <v>36</v>
      </c>
      <c r="C68" s="247"/>
      <c r="D68" s="247"/>
      <c r="E68" s="254">
        <f>E62+E63+E64+E65+E58+E61</f>
        <v>1384500</v>
      </c>
      <c r="F68" s="247"/>
      <c r="G68" s="247"/>
      <c r="H68" s="254">
        <f>H62+H63+H64+H65+H58+H61</f>
        <v>861500</v>
      </c>
      <c r="I68" s="247"/>
      <c r="J68" s="247"/>
      <c r="K68" s="254">
        <f>K62+K63+K64+K65+K58+K61</f>
        <v>920500</v>
      </c>
      <c r="L68" s="247"/>
      <c r="M68" s="247"/>
      <c r="N68" s="254">
        <f>N62+N63+N64+N65+N58+N61</f>
        <v>2156500</v>
      </c>
      <c r="O68" s="247"/>
      <c r="P68" s="247"/>
      <c r="Q68" s="254">
        <f>Q62+Q63+Q64+Q65+Q58+Q61</f>
        <v>617000</v>
      </c>
      <c r="R68" s="247"/>
      <c r="S68" s="247"/>
      <c r="T68" s="254">
        <f>T62+T63+T64+T65+T58+T61</f>
        <v>236000</v>
      </c>
      <c r="U68" s="247"/>
      <c r="V68" s="247"/>
      <c r="W68" s="254">
        <f>W62+W63+W64+W65+W58+W61</f>
        <v>2131500</v>
      </c>
      <c r="X68" s="247"/>
      <c r="Y68" s="247"/>
      <c r="Z68" s="254">
        <f>Z62+Z63+Z64+Z65+Z58+Z61</f>
        <v>377500</v>
      </c>
      <c r="AA68" s="247"/>
      <c r="AB68" s="247"/>
      <c r="AC68" s="254">
        <f>AC62+AC63+AC64+AC65+AC58+AC61</f>
        <v>217500</v>
      </c>
      <c r="AD68" s="247"/>
      <c r="AE68" s="247"/>
      <c r="AF68" s="254">
        <f>AF62+AF63+AF64+AF65+AF58+AF61</f>
        <v>2485000</v>
      </c>
      <c r="AG68" s="247"/>
      <c r="AH68" s="247"/>
      <c r="AI68" s="254">
        <f>AI62+AI63+AI64+AI65+AI58+AI61</f>
        <v>209000</v>
      </c>
      <c r="AJ68" s="247"/>
      <c r="AK68" s="247"/>
      <c r="AL68" s="254">
        <f>AL62+AL63+AL64+AL65+AL58+AL61</f>
        <v>297000</v>
      </c>
      <c r="AM68" s="247"/>
      <c r="AN68" s="247"/>
      <c r="AO68" s="259"/>
      <c r="AP68" s="254">
        <f>AP62+AP63+AP64+AP65+AP58+AP61</f>
        <v>2498250</v>
      </c>
      <c r="AQ68" s="247"/>
      <c r="AR68" s="247"/>
      <c r="AS68" s="254">
        <f>AS62+AS63+AS64+AS65+AS58+AS61</f>
        <v>200500</v>
      </c>
      <c r="AT68" s="247"/>
      <c r="AU68" s="247"/>
      <c r="AV68" s="254">
        <f>AV62+AV63+AV64+AV65+AV58+AV61</f>
        <v>213000</v>
      </c>
      <c r="AW68" s="247"/>
      <c r="AX68" s="247"/>
      <c r="AY68" s="254">
        <f>AY62+AY63+AY64+AY65+AY58+AY61</f>
        <v>2468062.5</v>
      </c>
      <c r="AZ68" s="247"/>
      <c r="BA68" s="247"/>
      <c r="BB68" s="254">
        <f>BB62+BB63+BB64+BB65+BB58+BB61</f>
        <v>161000</v>
      </c>
      <c r="BC68" s="247"/>
      <c r="BD68" s="247"/>
      <c r="BE68" s="254">
        <f>BE62+BE63+BE64+BE65+BE58+BE61</f>
        <v>279500</v>
      </c>
      <c r="BF68" s="247"/>
      <c r="BG68" s="247"/>
      <c r="BH68" s="254">
        <f>BH62+BH63+BH64+BH65+BH58+BH61</f>
        <v>2265063</v>
      </c>
      <c r="BI68" s="247"/>
      <c r="BJ68" s="247"/>
      <c r="BK68" s="254">
        <f>BK62+BK63+BK64+BK65+BK58+BK61</f>
        <v>179000</v>
      </c>
      <c r="BL68" s="247"/>
      <c r="BM68" s="247"/>
      <c r="BN68" s="254">
        <f>BN62+BN63+BN64+BN65+BN58+BN61</f>
        <v>290500</v>
      </c>
      <c r="BO68" s="247"/>
      <c r="BP68" s="247"/>
      <c r="BQ68" s="254">
        <f>BQ62+BQ63+BQ64+BQ65+BQ58+BQ61</f>
        <v>2346063</v>
      </c>
      <c r="BR68" s="247"/>
      <c r="BS68" s="247"/>
      <c r="BT68" s="254">
        <f>BT62+BT63+BT64+BT65+BT58+BT61</f>
        <v>221500</v>
      </c>
      <c r="BU68" s="247"/>
      <c r="BV68" s="247"/>
      <c r="BW68" s="254">
        <f>BW62+BW63+BW64+BW65+BW58+BW61</f>
        <v>414000</v>
      </c>
      <c r="BX68" s="247"/>
      <c r="BY68" s="247"/>
      <c r="BZ68" s="127"/>
      <c r="CA68" s="254">
        <f>CA62+CA63+CA64+CA65+CA58+CA61+CA66</f>
        <v>2366063</v>
      </c>
      <c r="CB68" s="247"/>
      <c r="CC68" s="247"/>
      <c r="CD68" s="254">
        <f>CD62+CD63+CD64+CD65+CD58+CD61+CD66</f>
        <v>221000</v>
      </c>
      <c r="CE68" s="247"/>
      <c r="CF68" s="247"/>
      <c r="CG68" s="254">
        <f>CG62+CG63+CG64+CG65+CG58+CG61+CG66</f>
        <v>357000</v>
      </c>
      <c r="CH68" s="247"/>
      <c r="CI68" s="247"/>
      <c r="CJ68" s="254">
        <f>CJ62+CJ63+CJ64+CJ65+CJ58+CJ61+CJ66</f>
        <v>420500</v>
      </c>
      <c r="CK68" s="247"/>
      <c r="CL68" s="247"/>
      <c r="CM68" s="254">
        <f>CM62+CM63+CM64+CM65+CM58+CM61+CM66</f>
        <v>1957062.625</v>
      </c>
      <c r="CN68" s="247"/>
      <c r="CO68" s="247"/>
      <c r="CP68" s="254">
        <f>CP62+CP63+CP64+CP65+CP58+CP61+CP66</f>
        <v>219500</v>
      </c>
      <c r="CQ68" s="247"/>
      <c r="CR68" s="247"/>
      <c r="CS68" s="254">
        <f>CS62+CS63+CS64+CS65+CS58+CS61+CS66</f>
        <v>378500</v>
      </c>
      <c r="CT68" s="247"/>
      <c r="CU68" s="247"/>
      <c r="CV68" s="254">
        <f>CV62+CV63+CV64+CV65+CV58+CV61+CV66</f>
        <v>3083000</v>
      </c>
      <c r="CW68" s="247"/>
      <c r="CX68" s="247"/>
      <c r="CY68" s="254">
        <f>CY62+CY63+CY64+CY65+CY58+CY61+CY66</f>
        <v>1300500</v>
      </c>
      <c r="CZ68" s="247"/>
      <c r="DA68" s="247"/>
      <c r="DB68" s="254">
        <f>DB62+DB63+DB64+DB65+DB58+DB61+DB66</f>
        <v>736500</v>
      </c>
      <c r="DC68" s="247"/>
      <c r="DD68" s="247"/>
      <c r="DE68" s="254">
        <f>DE62+DE63+DE64+DE65+DE58+DE61+DE66</f>
        <v>1227500</v>
      </c>
      <c r="DF68" s="247"/>
      <c r="DG68" s="247"/>
      <c r="DH68" s="254">
        <f>DH62+DH63+DH64+DH65+DH58+DH61+DH66</f>
        <v>871001</v>
      </c>
      <c r="DI68" s="247"/>
      <c r="DJ68" s="247"/>
      <c r="DK68" s="254">
        <f>DK62+DK63+DK64+DK65+DK58+DK61+DK66</f>
        <v>262500</v>
      </c>
      <c r="DL68" s="247"/>
      <c r="DM68" s="247"/>
      <c r="DN68" s="254">
        <f>DN62+DN63+DN64+DN65+DN58+DN61+DN66</f>
        <v>172500</v>
      </c>
      <c r="DO68" s="247"/>
      <c r="DP68" s="247"/>
    </row>
    <row r="69" spans="2:131" ht="15" thickTop="1" x14ac:dyDescent="0.3"/>
    <row r="70" spans="2:131" x14ac:dyDescent="0.3">
      <c r="CM70" s="74">
        <f>CM63-CA63</f>
        <v>-0.375</v>
      </c>
      <c r="CS70" t="s">
        <v>1625</v>
      </c>
      <c r="CV70" s="74">
        <f>CV9+CV10+CV11+CV14+CV15+CV16+CV25+CV26+CV28+CV29+CV30+CV35+CV41+CV48+CV55+CV61</f>
        <v>837500</v>
      </c>
      <c r="CW70" s="74">
        <f>CV70+CV84+CV85</f>
        <v>859000</v>
      </c>
      <c r="CY70" s="49">
        <v>300500</v>
      </c>
      <c r="DB70" s="74">
        <f>+DB58+DB62</f>
        <v>236500</v>
      </c>
      <c r="DE70" s="74">
        <f>+DE58+DE61</f>
        <v>207500</v>
      </c>
      <c r="DH70" s="74">
        <f>+DH58+DH62</f>
        <v>171001</v>
      </c>
      <c r="DK70" s="74">
        <f>+DK58+DK62</f>
        <v>262500</v>
      </c>
      <c r="DN70" s="74">
        <f>+DN58+DN62</f>
        <v>172500</v>
      </c>
    </row>
    <row r="71" spans="2:131" hidden="1" x14ac:dyDescent="0.3"/>
    <row r="72" spans="2:131" hidden="1" x14ac:dyDescent="0.3"/>
    <row r="73" spans="2:131" hidden="1" x14ac:dyDescent="0.3"/>
    <row r="74" spans="2:131" hidden="1" x14ac:dyDescent="0.3"/>
    <row r="75" spans="2:131" hidden="1" x14ac:dyDescent="0.3"/>
    <row r="76" spans="2:131" x14ac:dyDescent="0.3">
      <c r="CS76" t="s">
        <v>1626</v>
      </c>
      <c r="CV76" s="74">
        <f>CV13+CV18+CV20+CV23+CV31+CV33+CV34+CV36+CV38+CV39+CV40+CV43+CV44+CV45+CV46+CV49+CV51+CV53+CV54+CV56</f>
        <v>164500</v>
      </c>
      <c r="CW76" s="74">
        <f>CV76-CV87-CV88-CV84-CV85</f>
        <v>128500</v>
      </c>
      <c r="CY76">
        <v>0</v>
      </c>
      <c r="DB76">
        <v>0</v>
      </c>
      <c r="DE76">
        <v>0</v>
      </c>
    </row>
    <row r="77" spans="2:131" x14ac:dyDescent="0.3">
      <c r="CS77" t="s">
        <v>1627</v>
      </c>
      <c r="CV77" s="74">
        <f>CV63+CV65</f>
        <v>2081000</v>
      </c>
      <c r="CW77" s="74">
        <f>CV63+CV65</f>
        <v>2081000</v>
      </c>
      <c r="CY77" s="74">
        <f>+CY64+CY65</f>
        <v>400000</v>
      </c>
      <c r="DB77">
        <v>0</v>
      </c>
      <c r="DE77">
        <v>0</v>
      </c>
    </row>
    <row r="78" spans="2:131" x14ac:dyDescent="0.3">
      <c r="CS78" t="s">
        <v>1628</v>
      </c>
      <c r="CY78" s="74">
        <f>+CY63</f>
        <v>600000</v>
      </c>
      <c r="DB78">
        <v>0</v>
      </c>
      <c r="DE78">
        <v>0</v>
      </c>
    </row>
    <row r="79" spans="2:131" x14ac:dyDescent="0.3">
      <c r="CS79" t="s">
        <v>1656</v>
      </c>
      <c r="CY79" s="74"/>
      <c r="DB79" s="74">
        <f>+DB63</f>
        <v>500000</v>
      </c>
      <c r="DE79" s="74">
        <f>+DE63+DE64</f>
        <v>870000</v>
      </c>
      <c r="DH79" s="74">
        <f>+DH63+DH65+DH66</f>
        <v>700000</v>
      </c>
    </row>
    <row r="80" spans="2:131" x14ac:dyDescent="0.3">
      <c r="CS80" t="s">
        <v>1657</v>
      </c>
      <c r="CY80" s="74"/>
    </row>
    <row r="81" spans="97:111" x14ac:dyDescent="0.3">
      <c r="CS81" t="s">
        <v>1629</v>
      </c>
      <c r="CW81" s="49">
        <f>+CV87+CV88</f>
        <v>14500</v>
      </c>
    </row>
    <row r="82" spans="97:111" ht="15" thickBot="1" x14ac:dyDescent="0.35">
      <c r="CV82" s="437">
        <f>CV70+CV76+CV77</f>
        <v>3083000</v>
      </c>
      <c r="CW82" s="437">
        <f>CW70+CW76+CW77+CW81</f>
        <v>3083000</v>
      </c>
    </row>
    <row r="83" spans="97:111" ht="15" thickTop="1" x14ac:dyDescent="0.3"/>
    <row r="84" spans="97:111" x14ac:dyDescent="0.3">
      <c r="CT84" t="s">
        <v>37</v>
      </c>
      <c r="CV84">
        <v>16000</v>
      </c>
    </row>
    <row r="85" spans="97:111" x14ac:dyDescent="0.3">
      <c r="CT85" t="s">
        <v>1576</v>
      </c>
      <c r="CV85">
        <v>5500</v>
      </c>
      <c r="DG85" t="s">
        <v>1910</v>
      </c>
    </row>
    <row r="86" spans="97:111" x14ac:dyDescent="0.3">
      <c r="DC86" t="s">
        <v>1641</v>
      </c>
      <c r="DE86" s="49">
        <f>+Naveed!AZ151</f>
        <v>206030</v>
      </c>
      <c r="DG86" s="49">
        <v>206030</v>
      </c>
    </row>
    <row r="87" spans="97:111" x14ac:dyDescent="0.3">
      <c r="CT87" t="s">
        <v>1574</v>
      </c>
      <c r="CV87">
        <v>5500</v>
      </c>
      <c r="DE87" s="74">
        <f>CW70+CY70+DB70+DE70+DH70+'Recpt 2026'!D58+'Recpt 2026'!G58+'Recpt 2026'!J58</f>
        <v>2450001</v>
      </c>
      <c r="DG87" s="74">
        <f>CW70+CY70+DB70+DE70+DH70</f>
        <v>1774501</v>
      </c>
    </row>
    <row r="88" spans="97:111" x14ac:dyDescent="0.3">
      <c r="CT88" t="s">
        <v>1575</v>
      </c>
      <c r="CV88">
        <v>9000</v>
      </c>
    </row>
    <row r="89" spans="97:111" x14ac:dyDescent="0.3">
      <c r="DB89" t="s">
        <v>1582</v>
      </c>
      <c r="DC89" s="77">
        <v>45901</v>
      </c>
      <c r="DD89" s="49">
        <v>261172</v>
      </c>
      <c r="DE89" s="38"/>
    </row>
    <row r="90" spans="97:111" x14ac:dyDescent="0.3">
      <c r="DB90" t="s">
        <v>1582</v>
      </c>
      <c r="DC90" s="77">
        <v>45931</v>
      </c>
      <c r="DD90" s="49">
        <v>237312</v>
      </c>
    </row>
    <row r="91" spans="97:111" x14ac:dyDescent="0.3">
      <c r="DB91" t="s">
        <v>1581</v>
      </c>
      <c r="DC91" s="77">
        <v>45933</v>
      </c>
      <c r="DD91" s="49">
        <v>25000</v>
      </c>
    </row>
    <row r="92" spans="97:111" x14ac:dyDescent="0.3">
      <c r="DB92" t="s">
        <v>1580</v>
      </c>
      <c r="DC92" s="77">
        <v>45934</v>
      </c>
      <c r="DD92" s="49">
        <v>100000</v>
      </c>
    </row>
    <row r="93" spans="97:111" x14ac:dyDescent="0.3">
      <c r="DB93" t="s">
        <v>1579</v>
      </c>
      <c r="DC93" s="77">
        <v>45931</v>
      </c>
      <c r="DD93" s="75">
        <v>129000</v>
      </c>
    </row>
    <row r="94" spans="97:111" x14ac:dyDescent="0.3">
      <c r="DB94" t="s">
        <v>1582</v>
      </c>
      <c r="DC94" s="77">
        <v>45964</v>
      </c>
      <c r="DD94" s="75">
        <v>249928</v>
      </c>
    </row>
    <row r="95" spans="97:111" x14ac:dyDescent="0.3">
      <c r="DB95" t="s">
        <v>1582</v>
      </c>
      <c r="DC95" s="77">
        <v>46025</v>
      </c>
      <c r="DD95" s="75">
        <v>219111</v>
      </c>
    </row>
    <row r="96" spans="97:111" x14ac:dyDescent="0.3">
      <c r="DB96" t="s">
        <v>1582</v>
      </c>
      <c r="DC96" s="77">
        <v>46055</v>
      </c>
      <c r="DD96" s="75">
        <v>226381</v>
      </c>
    </row>
    <row r="97" spans="106:109" ht="15" thickBot="1" x14ac:dyDescent="0.35">
      <c r="DB97" t="s">
        <v>1582</v>
      </c>
      <c r="DC97" s="77">
        <v>46087</v>
      </c>
      <c r="DD97" s="468">
        <v>242468</v>
      </c>
    </row>
    <row r="98" spans="106:109" x14ac:dyDescent="0.3">
      <c r="DE98" s="74">
        <f>-SUM(DD89:DD97)</f>
        <v>-1690372</v>
      </c>
    </row>
    <row r="100" spans="106:109" x14ac:dyDescent="0.3">
      <c r="DB100" t="s">
        <v>1606</v>
      </c>
      <c r="DC100" s="208">
        <v>45910</v>
      </c>
      <c r="DD100" s="49">
        <v>48960</v>
      </c>
    </row>
    <row r="101" spans="106:109" x14ac:dyDescent="0.3">
      <c r="DB101" t="s">
        <v>1606</v>
      </c>
      <c r="DC101" s="208">
        <v>45971</v>
      </c>
      <c r="DD101" s="49">
        <v>17900</v>
      </c>
    </row>
    <row r="102" spans="106:109" x14ac:dyDescent="0.3">
      <c r="DB102" t="s">
        <v>1605</v>
      </c>
      <c r="DC102" s="208">
        <v>45971</v>
      </c>
      <c r="DD102" s="49">
        <v>20000</v>
      </c>
    </row>
    <row r="103" spans="106:109" x14ac:dyDescent="0.3">
      <c r="DB103" t="s">
        <v>1605</v>
      </c>
      <c r="DC103" s="208" t="s">
        <v>1601</v>
      </c>
      <c r="DD103" s="49">
        <v>20000</v>
      </c>
    </row>
    <row r="104" spans="106:109" x14ac:dyDescent="0.3">
      <c r="DB104" t="s">
        <v>1606</v>
      </c>
      <c r="DC104" s="208" t="s">
        <v>1602</v>
      </c>
      <c r="DD104" s="49">
        <v>29850</v>
      </c>
    </row>
    <row r="105" spans="106:109" x14ac:dyDescent="0.3">
      <c r="DB105" t="s">
        <v>1605</v>
      </c>
      <c r="DC105" s="208" t="s">
        <v>1603</v>
      </c>
      <c r="DD105" s="49">
        <v>20000</v>
      </c>
    </row>
    <row r="106" spans="106:109" x14ac:dyDescent="0.3">
      <c r="DB106" t="s">
        <v>1605</v>
      </c>
      <c r="DC106" s="208" t="s">
        <v>1604</v>
      </c>
      <c r="DD106" s="49">
        <v>30000</v>
      </c>
    </row>
    <row r="107" spans="106:109" x14ac:dyDescent="0.3">
      <c r="DB107" t="s">
        <v>1606</v>
      </c>
      <c r="DC107" s="208" t="s">
        <v>1630</v>
      </c>
      <c r="DD107" s="49">
        <v>74480</v>
      </c>
    </row>
    <row r="108" spans="106:109" x14ac:dyDescent="0.3">
      <c r="DB108" t="s">
        <v>1606</v>
      </c>
      <c r="DC108" s="208">
        <v>45727</v>
      </c>
      <c r="DD108" s="49">
        <v>51640</v>
      </c>
    </row>
    <row r="109" spans="106:109" x14ac:dyDescent="0.3">
      <c r="DB109" t="s">
        <v>1605</v>
      </c>
      <c r="DC109" s="208">
        <v>45727</v>
      </c>
      <c r="DD109" s="75">
        <v>30000</v>
      </c>
    </row>
    <row r="110" spans="106:109" x14ac:dyDescent="0.3">
      <c r="DB110" t="s">
        <v>1606</v>
      </c>
      <c r="DC110" s="208">
        <v>45788</v>
      </c>
      <c r="DD110" s="255">
        <v>6260</v>
      </c>
    </row>
    <row r="111" spans="106:109" x14ac:dyDescent="0.3">
      <c r="DB111" t="s">
        <v>1606</v>
      </c>
      <c r="DC111" s="208">
        <v>45788</v>
      </c>
      <c r="DD111" s="255">
        <v>6000</v>
      </c>
    </row>
    <row r="112" spans="106:109" x14ac:dyDescent="0.3">
      <c r="DB112" t="s">
        <v>1606</v>
      </c>
      <c r="DC112" s="208">
        <v>45880</v>
      </c>
      <c r="DD112" s="255">
        <v>62570</v>
      </c>
    </row>
    <row r="113" spans="106:109" x14ac:dyDescent="0.3">
      <c r="DB113" t="s">
        <v>1605</v>
      </c>
      <c r="DC113" s="208">
        <v>45880</v>
      </c>
      <c r="DD113" s="49">
        <v>60000</v>
      </c>
    </row>
    <row r="114" spans="106:109" x14ac:dyDescent="0.3">
      <c r="DB114" t="s">
        <v>1605</v>
      </c>
      <c r="DC114" s="208">
        <v>45972</v>
      </c>
      <c r="DD114" s="75">
        <v>50000</v>
      </c>
    </row>
    <row r="115" spans="106:109" ht="15" thickBot="1" x14ac:dyDescent="0.35">
      <c r="DB115" t="s">
        <v>1606</v>
      </c>
      <c r="DC115" s="208" t="s">
        <v>1680</v>
      </c>
      <c r="DD115" s="468">
        <v>6450</v>
      </c>
    </row>
    <row r="116" spans="106:109" x14ac:dyDescent="0.3">
      <c r="DE116" s="453">
        <f>-SUM(DD100:DD115)</f>
        <v>-534110</v>
      </c>
    </row>
    <row r="117" spans="106:109" ht="15" thickBot="1" x14ac:dyDescent="0.35">
      <c r="DE117" s="115">
        <f>DE86+DE87+DE98+DE116</f>
        <v>431549</v>
      </c>
    </row>
    <row r="118" spans="106:109" ht="15" thickTop="1" x14ac:dyDescent="0.3"/>
    <row r="119" spans="106:109" x14ac:dyDescent="0.3">
      <c r="DC119" t="s">
        <v>1599</v>
      </c>
      <c r="DE119" s="49">
        <v>126516</v>
      </c>
    </row>
    <row r="120" spans="106:109" x14ac:dyDescent="0.3">
      <c r="DC120" t="s">
        <v>1600</v>
      </c>
      <c r="DE120" s="452">
        <v>247000</v>
      </c>
    </row>
    <row r="121" spans="106:109" x14ac:dyDescent="0.3">
      <c r="DE121" s="74">
        <f>DE117-DE119-DE120</f>
        <v>58033</v>
      </c>
    </row>
    <row r="122" spans="106:109" x14ac:dyDescent="0.3">
      <c r="DE122" s="49"/>
    </row>
    <row r="123" spans="106:109" x14ac:dyDescent="0.3">
      <c r="DC123" t="s">
        <v>1578</v>
      </c>
      <c r="DE123" s="49">
        <v>7000</v>
      </c>
    </row>
    <row r="124" spans="106:109" x14ac:dyDescent="0.3">
      <c r="DC124" t="s">
        <v>1245</v>
      </c>
      <c r="DE124" s="49">
        <v>5000</v>
      </c>
    </row>
    <row r="125" spans="106:109" ht="15" thickBot="1" x14ac:dyDescent="0.35">
      <c r="DE125" s="115">
        <f>DE121-DE123-DE124</f>
        <v>46033</v>
      </c>
    </row>
    <row r="126" spans="106:109" ht="15" thickTop="1" x14ac:dyDescent="0.3"/>
  </sheetData>
  <mergeCells count="61">
    <mergeCell ref="DN5:DP5"/>
    <mergeCell ref="EE5:EE6"/>
    <mergeCell ref="AC5:AE5"/>
    <mergeCell ref="B5:C5"/>
    <mergeCell ref="D5:D6"/>
    <mergeCell ref="K5:M5"/>
    <mergeCell ref="T5:V5"/>
    <mergeCell ref="W5:Y5"/>
    <mergeCell ref="Q5:S5"/>
    <mergeCell ref="N5:P5"/>
    <mergeCell ref="E5:G5"/>
    <mergeCell ref="H5:J5"/>
    <mergeCell ref="Z5:AB5"/>
    <mergeCell ref="DT5:DT6"/>
    <mergeCell ref="CD5:CF5"/>
    <mergeCell ref="BT5:BV5"/>
    <mergeCell ref="BW5:BY5"/>
    <mergeCell ref="AF5:AH5"/>
    <mergeCell ref="AL5:AN5"/>
    <mergeCell ref="AP5:AR5"/>
    <mergeCell ref="BE5:BG5"/>
    <mergeCell ref="BH5:BJ5"/>
    <mergeCell ref="ED5:ED6"/>
    <mergeCell ref="EB5:EB6"/>
    <mergeCell ref="CG5:CI5"/>
    <mergeCell ref="AS5:AU5"/>
    <mergeCell ref="AV5:AX5"/>
    <mergeCell ref="AY5:BA5"/>
    <mergeCell ref="BB5:BD5"/>
    <mergeCell ref="EA5:EA6"/>
    <mergeCell ref="DR5:DR6"/>
    <mergeCell ref="DU5:DU6"/>
    <mergeCell ref="DV5:DV6"/>
    <mergeCell ref="DW5:DW6"/>
    <mergeCell ref="DX5:DX6"/>
    <mergeCell ref="CV5:CX5"/>
    <mergeCell ref="CY5:DA5"/>
    <mergeCell ref="DB5:DD5"/>
    <mergeCell ref="DZ5:DZ6"/>
    <mergeCell ref="DY5:DY6"/>
    <mergeCell ref="BK5:BM5"/>
    <mergeCell ref="AI5:AK5"/>
    <mergeCell ref="EC5:EC6"/>
    <mergeCell ref="BN5:BP5"/>
    <mergeCell ref="BQ5:BS5"/>
    <mergeCell ref="CA5:CC5"/>
    <mergeCell ref="CJ5:CL5"/>
    <mergeCell ref="CM5:CO5"/>
    <mergeCell ref="CP5:CR5"/>
    <mergeCell ref="CS5:CU5"/>
    <mergeCell ref="DE5:DG5"/>
    <mergeCell ref="DH5:DJ5"/>
    <mergeCell ref="DS5:DS6"/>
    <mergeCell ref="DK5:DM5"/>
    <mergeCell ref="EG5:EG6"/>
    <mergeCell ref="EH5:EH6"/>
    <mergeCell ref="EI5:EI6"/>
    <mergeCell ref="EL5:EL6"/>
    <mergeCell ref="EM5:EM6"/>
    <mergeCell ref="EJ5:EJ6"/>
    <mergeCell ref="EK5:EK6"/>
  </mergeCells>
  <pageMargins left="0.7" right="0.7" top="0.75" bottom="0.75" header="0.3" footer="0.3"/>
  <pageSetup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4D4E-21BF-4480-BFCE-1B357FA687F5}">
  <sheetPr>
    <pageSetUpPr fitToPage="1"/>
  </sheetPr>
  <dimension ref="A1:I52"/>
  <sheetViews>
    <sheetView workbookViewId="0"/>
  </sheetViews>
  <sheetFormatPr defaultRowHeight="14.4" x14ac:dyDescent="0.3"/>
  <cols>
    <col min="1" max="1" width="14.21875" bestFit="1" customWidth="1"/>
    <col min="2" max="2" width="12.5546875" bestFit="1" customWidth="1"/>
    <col min="3" max="3" width="14.88671875" customWidth="1"/>
    <col min="4" max="5" width="11.109375" bestFit="1" customWidth="1"/>
    <col min="6" max="6" width="12.88671875" customWidth="1"/>
    <col min="7" max="7" width="18.44140625" customWidth="1"/>
    <col min="8" max="8" width="17.44140625" customWidth="1"/>
    <col min="9" max="9" width="12.77734375" customWidth="1"/>
  </cols>
  <sheetData>
    <row r="1" spans="1:9" ht="57.6" x14ac:dyDescent="0.3">
      <c r="A1" s="279" t="s">
        <v>670</v>
      </c>
      <c r="B1" s="279" t="s">
        <v>61</v>
      </c>
      <c r="C1" s="279" t="s">
        <v>813</v>
      </c>
      <c r="D1" s="279" t="s">
        <v>668</v>
      </c>
      <c r="E1" s="279" t="s">
        <v>667</v>
      </c>
      <c r="F1" s="279" t="s">
        <v>812</v>
      </c>
      <c r="G1" s="279" t="s">
        <v>814</v>
      </c>
      <c r="H1" s="279" t="s">
        <v>811</v>
      </c>
      <c r="I1" s="279" t="s">
        <v>669</v>
      </c>
    </row>
    <row r="2" spans="1:9" ht="7.8" customHeight="1" x14ac:dyDescent="0.3">
      <c r="A2" s="280"/>
      <c r="B2" s="281"/>
      <c r="C2" s="281"/>
      <c r="D2" s="281"/>
      <c r="E2" s="281"/>
      <c r="F2" s="281"/>
      <c r="G2" s="281"/>
      <c r="H2" s="281"/>
      <c r="I2" s="281"/>
    </row>
    <row r="3" spans="1:9" x14ac:dyDescent="0.3">
      <c r="A3" s="24">
        <v>101</v>
      </c>
      <c r="B3" s="81">
        <v>90000</v>
      </c>
      <c r="C3" s="81">
        <v>82500</v>
      </c>
      <c r="D3" s="81">
        <v>7500</v>
      </c>
      <c r="E3" s="81">
        <v>7500</v>
      </c>
      <c r="F3" s="81">
        <v>15000</v>
      </c>
      <c r="G3" s="81">
        <v>30000</v>
      </c>
      <c r="H3" s="81">
        <v>45000</v>
      </c>
      <c r="I3" s="81">
        <v>0</v>
      </c>
    </row>
    <row r="4" spans="1:9" x14ac:dyDescent="0.3">
      <c r="A4" s="24">
        <v>102</v>
      </c>
      <c r="B4" s="81">
        <v>84000</v>
      </c>
      <c r="C4" s="81">
        <v>70000</v>
      </c>
      <c r="D4" s="81">
        <v>14000</v>
      </c>
      <c r="E4" s="81">
        <v>7000</v>
      </c>
      <c r="F4" s="81">
        <v>21000</v>
      </c>
      <c r="G4" s="81">
        <v>28000</v>
      </c>
      <c r="H4" s="81">
        <v>35000</v>
      </c>
      <c r="I4" s="81">
        <v>14000</v>
      </c>
    </row>
    <row r="5" spans="1:9" x14ac:dyDescent="0.3">
      <c r="A5" s="24">
        <v>103</v>
      </c>
      <c r="B5" s="81">
        <v>30000</v>
      </c>
      <c r="C5" s="81">
        <v>30000</v>
      </c>
      <c r="D5" s="81">
        <v>0</v>
      </c>
      <c r="E5" s="81">
        <v>0</v>
      </c>
      <c r="F5" s="81">
        <v>0</v>
      </c>
      <c r="G5" s="81">
        <v>10000</v>
      </c>
      <c r="H5" s="81">
        <f>7500+2500</f>
        <v>10000</v>
      </c>
      <c r="I5" s="81">
        <v>0</v>
      </c>
    </row>
    <row r="6" spans="1:9" x14ac:dyDescent="0.3">
      <c r="A6" s="24">
        <v>104</v>
      </c>
      <c r="B6" s="81">
        <v>84000</v>
      </c>
      <c r="C6" s="81">
        <v>84000</v>
      </c>
      <c r="D6" s="81">
        <v>0</v>
      </c>
      <c r="E6" s="81">
        <v>0</v>
      </c>
      <c r="F6" s="81">
        <v>0</v>
      </c>
      <c r="G6" s="81">
        <v>28000</v>
      </c>
      <c r="H6" s="81">
        <v>28000</v>
      </c>
      <c r="I6" s="81">
        <v>0</v>
      </c>
    </row>
    <row r="7" spans="1:9" ht="4.8" customHeight="1" x14ac:dyDescent="0.3">
      <c r="A7" s="280"/>
      <c r="B7" s="281"/>
      <c r="C7" s="281"/>
      <c r="D7" s="281"/>
      <c r="E7" s="281"/>
      <c r="F7" s="281"/>
      <c r="G7" s="281"/>
      <c r="H7" s="281"/>
      <c r="I7" s="281"/>
    </row>
    <row r="8" spans="1:9" x14ac:dyDescent="0.3">
      <c r="A8" s="24">
        <v>201</v>
      </c>
      <c r="B8" s="81">
        <v>66000</v>
      </c>
      <c r="C8" s="81">
        <v>66000</v>
      </c>
      <c r="D8" s="81">
        <v>0</v>
      </c>
      <c r="E8" s="81">
        <v>0</v>
      </c>
      <c r="F8" s="81">
        <v>0</v>
      </c>
      <c r="G8" s="81">
        <v>22000</v>
      </c>
      <c r="H8" s="81">
        <v>22000</v>
      </c>
      <c r="I8" s="81">
        <v>0</v>
      </c>
    </row>
    <row r="9" spans="1:9" x14ac:dyDescent="0.3">
      <c r="A9" s="24">
        <v>202</v>
      </c>
      <c r="B9" s="81">
        <v>84000</v>
      </c>
      <c r="C9" s="81">
        <v>83000</v>
      </c>
      <c r="D9" s="81">
        <v>1000</v>
      </c>
      <c r="E9" s="81">
        <v>500</v>
      </c>
      <c r="F9" s="81">
        <v>1500</v>
      </c>
      <c r="G9" s="81">
        <v>28000</v>
      </c>
      <c r="H9" s="81">
        <v>28000</v>
      </c>
      <c r="I9" s="81">
        <v>1500</v>
      </c>
    </row>
    <row r="10" spans="1:9" x14ac:dyDescent="0.3">
      <c r="A10" s="24">
        <v>203</v>
      </c>
      <c r="B10" s="81">
        <v>84000</v>
      </c>
      <c r="C10" s="81">
        <v>98000</v>
      </c>
      <c r="D10" s="81">
        <v>-14000</v>
      </c>
      <c r="E10" s="81">
        <v>14000</v>
      </c>
      <c r="F10" s="81">
        <v>0</v>
      </c>
      <c r="G10" s="81">
        <v>28000</v>
      </c>
      <c r="H10" s="81">
        <v>14000</v>
      </c>
      <c r="I10" s="81">
        <v>14000</v>
      </c>
    </row>
    <row r="11" spans="1:9" x14ac:dyDescent="0.3">
      <c r="A11" s="24">
        <v>204</v>
      </c>
      <c r="B11" s="81">
        <v>90000</v>
      </c>
      <c r="C11" s="81">
        <v>82500</v>
      </c>
      <c r="D11" s="81">
        <v>7500</v>
      </c>
      <c r="E11" s="81">
        <v>0</v>
      </c>
      <c r="F11" s="81">
        <v>7500</v>
      </c>
      <c r="G11" s="81">
        <v>30000</v>
      </c>
      <c r="H11" s="81">
        <v>37500</v>
      </c>
      <c r="I11" s="81">
        <v>0</v>
      </c>
    </row>
    <row r="12" spans="1:9" ht="5.4" customHeight="1" x14ac:dyDescent="0.3">
      <c r="A12" s="280"/>
      <c r="B12" s="281"/>
      <c r="C12" s="281"/>
      <c r="D12" s="281"/>
      <c r="E12" s="281"/>
      <c r="F12" s="281"/>
      <c r="G12" s="281"/>
      <c r="H12" s="281"/>
      <c r="I12" s="281"/>
    </row>
    <row r="13" spans="1:9" x14ac:dyDescent="0.3">
      <c r="A13" s="24">
        <v>301</v>
      </c>
      <c r="B13" s="81">
        <v>66000</v>
      </c>
      <c r="C13" s="81">
        <v>60500</v>
      </c>
      <c r="D13" s="81">
        <v>5500</v>
      </c>
      <c r="E13" s="81">
        <v>0</v>
      </c>
      <c r="F13" s="81">
        <v>5500</v>
      </c>
      <c r="G13" s="81">
        <v>22000</v>
      </c>
      <c r="H13" s="81">
        <v>22000</v>
      </c>
      <c r="I13" s="81">
        <v>5500</v>
      </c>
    </row>
    <row r="14" spans="1:9" x14ac:dyDescent="0.3">
      <c r="A14" s="24">
        <v>302</v>
      </c>
      <c r="B14" s="81">
        <v>90000</v>
      </c>
      <c r="C14" s="81">
        <v>90000</v>
      </c>
      <c r="D14" s="81">
        <v>0</v>
      </c>
      <c r="E14" s="81">
        <v>0</v>
      </c>
      <c r="F14" s="81">
        <v>0</v>
      </c>
      <c r="G14" s="81">
        <v>30000</v>
      </c>
      <c r="H14" s="81">
        <v>45000</v>
      </c>
      <c r="I14" s="81">
        <v>-15000</v>
      </c>
    </row>
    <row r="15" spans="1:9" x14ac:dyDescent="0.3">
      <c r="A15" s="24">
        <v>303</v>
      </c>
      <c r="B15" s="81">
        <v>108000</v>
      </c>
      <c r="C15" s="81">
        <v>108000</v>
      </c>
      <c r="D15" s="81">
        <v>0</v>
      </c>
      <c r="E15" s="81">
        <v>0</v>
      </c>
      <c r="F15" s="81">
        <v>0</v>
      </c>
      <c r="G15" s="81">
        <v>36000</v>
      </c>
      <c r="H15" s="81">
        <v>36000</v>
      </c>
      <c r="I15" s="81">
        <v>0</v>
      </c>
    </row>
    <row r="16" spans="1:9" x14ac:dyDescent="0.3">
      <c r="A16" s="24">
        <v>304</v>
      </c>
      <c r="B16" s="81">
        <v>66000</v>
      </c>
      <c r="C16" s="81">
        <v>55000</v>
      </c>
      <c r="D16" s="81">
        <v>11000</v>
      </c>
      <c r="E16" s="81">
        <v>63000</v>
      </c>
      <c r="F16" s="81">
        <v>74000</v>
      </c>
      <c r="G16" s="81">
        <v>22000</v>
      </c>
      <c r="H16" s="81">
        <v>33000</v>
      </c>
      <c r="I16" s="81">
        <v>63000</v>
      </c>
    </row>
    <row r="17" spans="1:9" ht="5.4" customHeight="1" x14ac:dyDescent="0.3">
      <c r="A17" s="280"/>
      <c r="B17" s="281"/>
      <c r="C17" s="281"/>
      <c r="D17" s="281"/>
      <c r="E17" s="281"/>
      <c r="F17" s="281"/>
      <c r="G17" s="281"/>
      <c r="H17" s="281"/>
      <c r="I17" s="281"/>
    </row>
    <row r="18" spans="1:9" x14ac:dyDescent="0.3">
      <c r="A18" s="24">
        <v>401</v>
      </c>
      <c r="B18" s="81">
        <v>90000</v>
      </c>
      <c r="C18" s="81">
        <v>90000</v>
      </c>
      <c r="D18" s="81">
        <v>0</v>
      </c>
      <c r="E18" s="81">
        <v>0</v>
      </c>
      <c r="F18" s="81">
        <v>0</v>
      </c>
      <c r="G18" s="81">
        <v>30000</v>
      </c>
      <c r="H18" s="81">
        <v>22500</v>
      </c>
      <c r="I18" s="81">
        <v>7500</v>
      </c>
    </row>
    <row r="19" spans="1:9" x14ac:dyDescent="0.3">
      <c r="A19" s="24">
        <v>402</v>
      </c>
      <c r="B19" s="81">
        <v>55500</v>
      </c>
      <c r="C19" s="81">
        <v>44000</v>
      </c>
      <c r="D19" s="81">
        <v>11500</v>
      </c>
      <c r="E19" s="81">
        <v>18500</v>
      </c>
      <c r="F19" s="81">
        <v>30000</v>
      </c>
      <c r="G19" s="203">
        <v>22000</v>
      </c>
      <c r="H19" s="203">
        <v>56500</v>
      </c>
      <c r="I19" s="203">
        <v>-4500</v>
      </c>
    </row>
    <row r="20" spans="1:9" x14ac:dyDescent="0.3">
      <c r="A20" s="24">
        <v>403</v>
      </c>
      <c r="B20" s="81">
        <v>84000</v>
      </c>
      <c r="C20" s="81">
        <v>63000</v>
      </c>
      <c r="D20" s="81">
        <v>21000</v>
      </c>
      <c r="E20" s="81">
        <v>14000</v>
      </c>
      <c r="F20" s="81">
        <v>35000</v>
      </c>
      <c r="G20" s="81">
        <v>28000</v>
      </c>
      <c r="H20" s="81">
        <v>0</v>
      </c>
      <c r="I20" s="81">
        <v>63000</v>
      </c>
    </row>
    <row r="21" spans="1:9" x14ac:dyDescent="0.3">
      <c r="A21" s="24">
        <v>404</v>
      </c>
      <c r="B21" s="81">
        <v>90000</v>
      </c>
      <c r="C21" s="81">
        <v>0</v>
      </c>
      <c r="D21" s="81">
        <v>90000</v>
      </c>
      <c r="E21" s="81">
        <v>37500</v>
      </c>
      <c r="F21" s="81">
        <v>127500</v>
      </c>
      <c r="G21" s="81">
        <v>30000</v>
      </c>
      <c r="H21" s="81">
        <v>105000</v>
      </c>
      <c r="I21" s="81">
        <v>52500</v>
      </c>
    </row>
    <row r="22" spans="1:9" ht="5.4" customHeight="1" x14ac:dyDescent="0.3">
      <c r="A22" s="280"/>
      <c r="B22" s="281"/>
      <c r="C22" s="281"/>
      <c r="D22" s="281"/>
      <c r="E22" s="281"/>
      <c r="F22" s="281"/>
      <c r="G22" s="281"/>
      <c r="H22" s="281"/>
      <c r="I22" s="281"/>
    </row>
    <row r="23" spans="1:9" x14ac:dyDescent="0.3">
      <c r="A23" s="24">
        <v>501</v>
      </c>
      <c r="B23" s="81">
        <v>68000</v>
      </c>
      <c r="C23" s="81">
        <v>49500</v>
      </c>
      <c r="D23" s="81">
        <v>18500</v>
      </c>
      <c r="E23" s="81">
        <v>0</v>
      </c>
      <c r="F23" s="81">
        <v>18500</v>
      </c>
      <c r="G23" s="81">
        <v>30000</v>
      </c>
      <c r="H23" s="81">
        <v>16500</v>
      </c>
      <c r="I23" s="81">
        <v>32000</v>
      </c>
    </row>
    <row r="24" spans="1:9" x14ac:dyDescent="0.3">
      <c r="A24" s="24">
        <v>502</v>
      </c>
      <c r="B24" s="81">
        <v>66000</v>
      </c>
      <c r="C24" s="81">
        <v>66000</v>
      </c>
      <c r="D24" s="81">
        <v>0</v>
      </c>
      <c r="E24" s="81">
        <v>0</v>
      </c>
      <c r="F24" s="81">
        <v>0</v>
      </c>
      <c r="G24" s="81">
        <v>22000</v>
      </c>
      <c r="H24" s="81">
        <v>16500</v>
      </c>
      <c r="I24" s="81">
        <v>5500</v>
      </c>
    </row>
    <row r="25" spans="1:9" x14ac:dyDescent="0.3">
      <c r="A25" s="24">
        <v>503</v>
      </c>
      <c r="B25" s="81">
        <v>75000</v>
      </c>
      <c r="C25" s="81">
        <v>47000</v>
      </c>
      <c r="D25" s="81">
        <v>28000</v>
      </c>
      <c r="E25" s="81">
        <v>0</v>
      </c>
      <c r="F25" s="81">
        <v>28000</v>
      </c>
      <c r="G25" s="81">
        <v>28000</v>
      </c>
      <c r="H25" s="81">
        <v>28000</v>
      </c>
      <c r="I25" s="81">
        <v>28000</v>
      </c>
    </row>
    <row r="26" spans="1:9" x14ac:dyDescent="0.3">
      <c r="A26" s="24">
        <v>504</v>
      </c>
      <c r="B26" s="81">
        <v>76000</v>
      </c>
      <c r="C26" s="81">
        <v>76000</v>
      </c>
      <c r="D26" s="81">
        <v>0</v>
      </c>
      <c r="E26" s="81">
        <v>0</v>
      </c>
      <c r="F26" s="81">
        <v>0</v>
      </c>
      <c r="G26" s="81">
        <v>22000</v>
      </c>
      <c r="H26" s="81">
        <v>22000</v>
      </c>
      <c r="I26" s="81">
        <v>0</v>
      </c>
    </row>
    <row r="27" spans="1:9" ht="6" customHeight="1" x14ac:dyDescent="0.3">
      <c r="A27" s="280"/>
      <c r="B27" s="281"/>
      <c r="C27" s="281"/>
      <c r="D27" s="281"/>
      <c r="E27" s="281"/>
      <c r="F27" s="281"/>
      <c r="G27" s="281"/>
      <c r="H27" s="281"/>
      <c r="I27" s="281"/>
    </row>
    <row r="28" spans="1:9" x14ac:dyDescent="0.3">
      <c r="A28" s="24">
        <v>601</v>
      </c>
      <c r="B28" s="81">
        <v>66000</v>
      </c>
      <c r="C28" s="81">
        <v>66000</v>
      </c>
      <c r="D28" s="81">
        <v>0</v>
      </c>
      <c r="E28" s="81">
        <v>5500</v>
      </c>
      <c r="F28" s="81">
        <v>5500</v>
      </c>
      <c r="G28" s="81">
        <v>22000</v>
      </c>
      <c r="H28" s="81">
        <v>22000</v>
      </c>
      <c r="I28" s="81">
        <v>5500</v>
      </c>
    </row>
    <row r="29" spans="1:9" x14ac:dyDescent="0.3">
      <c r="A29" s="24">
        <v>602</v>
      </c>
      <c r="B29" s="81">
        <v>66000</v>
      </c>
      <c r="C29" s="81">
        <v>66000</v>
      </c>
      <c r="D29" s="81">
        <v>0</v>
      </c>
      <c r="E29" s="81">
        <v>0</v>
      </c>
      <c r="F29" s="81">
        <v>0</v>
      </c>
      <c r="G29" s="81">
        <v>22000</v>
      </c>
      <c r="H29" s="81">
        <v>22000</v>
      </c>
      <c r="I29" s="81">
        <v>0</v>
      </c>
    </row>
    <row r="30" spans="1:9" x14ac:dyDescent="0.3">
      <c r="A30" s="24">
        <v>603</v>
      </c>
      <c r="B30" s="81">
        <v>96000</v>
      </c>
      <c r="C30" s="81">
        <v>105000</v>
      </c>
      <c r="D30" s="81">
        <v>-9000</v>
      </c>
      <c r="E30" s="81">
        <v>9000</v>
      </c>
      <c r="F30" s="81">
        <v>0</v>
      </c>
      <c r="G30" s="81">
        <v>32000</v>
      </c>
      <c r="H30" s="81">
        <v>16000</v>
      </c>
      <c r="I30" s="81">
        <v>16000</v>
      </c>
    </row>
    <row r="31" spans="1:9" x14ac:dyDescent="0.3">
      <c r="A31" s="24">
        <v>604</v>
      </c>
      <c r="B31" s="81">
        <v>66000</v>
      </c>
      <c r="C31" s="81">
        <v>110000</v>
      </c>
      <c r="D31" s="81">
        <v>-44000</v>
      </c>
      <c r="E31" s="81">
        <v>44000</v>
      </c>
      <c r="F31" s="81">
        <v>0</v>
      </c>
      <c r="G31" s="81">
        <v>22000</v>
      </c>
      <c r="H31" s="81">
        <v>16500</v>
      </c>
      <c r="I31" s="81">
        <v>5500</v>
      </c>
    </row>
    <row r="32" spans="1:9" ht="6.6" customHeight="1" x14ac:dyDescent="0.3">
      <c r="A32" s="280"/>
      <c r="B32" s="281"/>
      <c r="C32" s="281"/>
      <c r="D32" s="281"/>
      <c r="E32" s="281"/>
      <c r="F32" s="281"/>
      <c r="G32" s="281"/>
      <c r="H32" s="281"/>
      <c r="I32" s="281"/>
    </row>
    <row r="33" spans="1:9" x14ac:dyDescent="0.3">
      <c r="A33" s="24">
        <v>701</v>
      </c>
      <c r="B33" s="81">
        <v>90000</v>
      </c>
      <c r="C33" s="81">
        <v>82500</v>
      </c>
      <c r="D33" s="81">
        <v>7500</v>
      </c>
      <c r="E33" s="81">
        <v>-7500</v>
      </c>
      <c r="F33" s="81">
        <v>0</v>
      </c>
      <c r="G33" s="81">
        <v>30000</v>
      </c>
      <c r="H33" s="81">
        <v>30000</v>
      </c>
      <c r="I33" s="81">
        <v>0</v>
      </c>
    </row>
    <row r="34" spans="1:9" x14ac:dyDescent="0.3">
      <c r="A34" s="24">
        <v>702</v>
      </c>
      <c r="B34" s="81">
        <v>63000</v>
      </c>
      <c r="C34" s="81">
        <v>63000</v>
      </c>
      <c r="D34" s="81">
        <v>0</v>
      </c>
      <c r="E34" s="81">
        <v>0</v>
      </c>
      <c r="F34" s="81">
        <v>0</v>
      </c>
      <c r="G34" s="81">
        <v>22000</v>
      </c>
      <c r="H34" s="81">
        <v>22000</v>
      </c>
      <c r="I34" s="81">
        <v>0</v>
      </c>
    </row>
    <row r="35" spans="1:9" x14ac:dyDescent="0.3">
      <c r="A35" s="24">
        <v>703</v>
      </c>
      <c r="B35" s="81">
        <v>108000</v>
      </c>
      <c r="C35" s="81">
        <v>99000</v>
      </c>
      <c r="D35" s="81">
        <v>9000</v>
      </c>
      <c r="E35" s="81">
        <v>0</v>
      </c>
      <c r="F35" s="81">
        <v>9000</v>
      </c>
      <c r="G35" s="81">
        <v>36000</v>
      </c>
      <c r="H35" s="81">
        <v>27000</v>
      </c>
      <c r="I35" s="81">
        <v>18000</v>
      </c>
    </row>
    <row r="36" spans="1:9" x14ac:dyDescent="0.3">
      <c r="A36" s="24">
        <v>704</v>
      </c>
      <c r="B36" s="81">
        <v>90000</v>
      </c>
      <c r="C36" s="81">
        <v>112500</v>
      </c>
      <c r="D36" s="81">
        <v>-22500</v>
      </c>
      <c r="E36" s="81">
        <v>15000</v>
      </c>
      <c r="F36" s="81">
        <v>-7500</v>
      </c>
      <c r="G36" s="81">
        <v>30000</v>
      </c>
      <c r="H36" s="81">
        <v>22500</v>
      </c>
      <c r="I36" s="81">
        <v>0</v>
      </c>
    </row>
    <row r="37" spans="1:9" ht="6.6" customHeight="1" x14ac:dyDescent="0.3">
      <c r="A37" s="280"/>
      <c r="B37" s="281"/>
      <c r="C37" s="281"/>
      <c r="D37" s="281"/>
      <c r="E37" s="281"/>
      <c r="F37" s="281"/>
      <c r="G37" s="281"/>
      <c r="H37" s="281"/>
      <c r="I37" s="281"/>
    </row>
    <row r="38" spans="1:9" x14ac:dyDescent="0.3">
      <c r="A38" s="24">
        <v>801</v>
      </c>
      <c r="B38" s="81">
        <v>90000</v>
      </c>
      <c r="C38" s="81">
        <v>90000</v>
      </c>
      <c r="D38" s="81">
        <v>0</v>
      </c>
      <c r="E38" s="81">
        <v>0</v>
      </c>
      <c r="F38" s="81">
        <v>0</v>
      </c>
      <c r="G38" s="81">
        <v>30000</v>
      </c>
      <c r="H38" s="81">
        <v>30000</v>
      </c>
      <c r="I38" s="81">
        <v>0</v>
      </c>
    </row>
    <row r="39" spans="1:9" x14ac:dyDescent="0.3">
      <c r="A39" s="24">
        <v>802</v>
      </c>
      <c r="B39" s="81">
        <v>66000</v>
      </c>
      <c r="C39" s="81">
        <v>38500</v>
      </c>
      <c r="D39" s="81">
        <v>27500</v>
      </c>
      <c r="E39" s="81">
        <v>0</v>
      </c>
      <c r="F39" s="81">
        <v>27500</v>
      </c>
      <c r="G39" s="81">
        <v>22000</v>
      </c>
      <c r="H39" s="81">
        <v>44000</v>
      </c>
      <c r="I39" s="81">
        <v>5500</v>
      </c>
    </row>
    <row r="40" spans="1:9" x14ac:dyDescent="0.3">
      <c r="A40" s="24">
        <v>803</v>
      </c>
      <c r="B40" s="81">
        <v>84000</v>
      </c>
      <c r="C40" s="81">
        <v>84000</v>
      </c>
      <c r="D40" s="81">
        <v>0</v>
      </c>
      <c r="E40" s="81">
        <v>0</v>
      </c>
      <c r="F40" s="81">
        <v>0</v>
      </c>
      <c r="G40" s="81">
        <v>28000</v>
      </c>
      <c r="H40" s="81">
        <v>21000</v>
      </c>
      <c r="I40" s="81">
        <v>7000</v>
      </c>
    </row>
    <row r="41" spans="1:9" x14ac:dyDescent="0.3">
      <c r="A41" s="24">
        <v>804</v>
      </c>
      <c r="B41" s="81">
        <v>66000</v>
      </c>
      <c r="C41" s="81">
        <v>71500</v>
      </c>
      <c r="D41" s="81">
        <v>-5500</v>
      </c>
      <c r="E41" s="81">
        <v>38500</v>
      </c>
      <c r="F41" s="81">
        <v>33000</v>
      </c>
      <c r="G41" s="81">
        <v>22000</v>
      </c>
      <c r="H41" s="81">
        <v>55000</v>
      </c>
      <c r="I41" s="81">
        <v>0</v>
      </c>
    </row>
    <row r="42" spans="1:9" ht="6" customHeight="1" x14ac:dyDescent="0.3">
      <c r="A42" s="280"/>
      <c r="B42" s="281"/>
      <c r="C42" s="281"/>
      <c r="D42" s="281"/>
      <c r="E42" s="281"/>
      <c r="F42" s="281"/>
      <c r="G42" s="281"/>
      <c r="H42" s="281"/>
      <c r="I42" s="281"/>
    </row>
    <row r="43" spans="1:9" x14ac:dyDescent="0.3">
      <c r="A43" s="24">
        <v>901</v>
      </c>
      <c r="B43" s="81">
        <v>48000</v>
      </c>
      <c r="C43" s="81">
        <v>32000</v>
      </c>
      <c r="D43" s="81">
        <v>16000</v>
      </c>
      <c r="E43" s="81">
        <v>0</v>
      </c>
      <c r="F43" s="81">
        <v>16000</v>
      </c>
      <c r="G43" s="81">
        <v>16000</v>
      </c>
      <c r="H43" s="81">
        <v>28000</v>
      </c>
      <c r="I43" s="81">
        <v>4000</v>
      </c>
    </row>
    <row r="44" spans="1:9" x14ac:dyDescent="0.3">
      <c r="A44" s="24">
        <v>902</v>
      </c>
      <c r="B44" s="81">
        <v>60000</v>
      </c>
      <c r="C44" s="81">
        <v>68000</v>
      </c>
      <c r="D44" s="81">
        <v>-8000</v>
      </c>
      <c r="E44" s="81">
        <v>8000</v>
      </c>
      <c r="F44" s="81">
        <v>0</v>
      </c>
      <c r="G44" s="81">
        <v>22000</v>
      </c>
      <c r="H44" s="81">
        <v>22000</v>
      </c>
      <c r="I44" s="81">
        <v>0</v>
      </c>
    </row>
    <row r="45" spans="1:9" x14ac:dyDescent="0.3">
      <c r="A45" s="24">
        <v>903</v>
      </c>
      <c r="B45" s="81">
        <v>84000</v>
      </c>
      <c r="C45" s="81">
        <v>77000</v>
      </c>
      <c r="D45" s="81">
        <v>7000</v>
      </c>
      <c r="E45" s="81">
        <v>7000</v>
      </c>
      <c r="F45" s="81">
        <v>14000</v>
      </c>
      <c r="G45" s="81">
        <v>28000</v>
      </c>
      <c r="H45" s="81">
        <v>42000</v>
      </c>
      <c r="I45" s="81">
        <v>0</v>
      </c>
    </row>
    <row r="46" spans="1:9" x14ac:dyDescent="0.3">
      <c r="A46" s="24">
        <v>904</v>
      </c>
      <c r="B46" s="81">
        <v>66000</v>
      </c>
      <c r="C46" s="81">
        <v>60500</v>
      </c>
      <c r="D46" s="81">
        <v>5500</v>
      </c>
      <c r="E46" s="81">
        <v>0</v>
      </c>
      <c r="F46" s="81">
        <v>5500</v>
      </c>
      <c r="G46" s="81">
        <v>22000</v>
      </c>
      <c r="H46" s="81">
        <v>27500</v>
      </c>
      <c r="I46" s="81">
        <v>0</v>
      </c>
    </row>
    <row r="47" spans="1:9" ht="7.2" customHeight="1" x14ac:dyDescent="0.3">
      <c r="A47" s="280"/>
      <c r="B47" s="281"/>
      <c r="C47" s="281"/>
      <c r="D47" s="281"/>
      <c r="E47" s="281"/>
      <c r="F47" s="281"/>
      <c r="G47" s="281"/>
      <c r="H47" s="281"/>
      <c r="I47" s="281"/>
    </row>
    <row r="48" spans="1:9" x14ac:dyDescent="0.3">
      <c r="A48" s="24">
        <v>1001</v>
      </c>
      <c r="B48" s="81">
        <v>90000</v>
      </c>
      <c r="C48" s="81">
        <v>90000</v>
      </c>
      <c r="D48" s="81">
        <v>0</v>
      </c>
      <c r="E48" s="81">
        <v>0</v>
      </c>
      <c r="F48" s="81">
        <v>0</v>
      </c>
      <c r="G48" s="81">
        <v>30000</v>
      </c>
      <c r="H48" s="81">
        <v>22500</v>
      </c>
      <c r="I48" s="81">
        <v>7500</v>
      </c>
    </row>
    <row r="49" spans="1:9" x14ac:dyDescent="0.3">
      <c r="A49" s="24">
        <v>1002</v>
      </c>
      <c r="B49" s="81">
        <v>66000</v>
      </c>
      <c r="C49" s="81">
        <v>66000</v>
      </c>
      <c r="D49" s="81">
        <v>0</v>
      </c>
      <c r="E49" s="81">
        <v>0</v>
      </c>
      <c r="F49" s="81">
        <v>0</v>
      </c>
      <c r="G49" s="81">
        <v>22000</v>
      </c>
      <c r="H49" s="81">
        <v>22000</v>
      </c>
      <c r="I49" s="81">
        <v>0</v>
      </c>
    </row>
    <row r="50" spans="1:9" x14ac:dyDescent="0.3">
      <c r="A50" s="24">
        <v>1003</v>
      </c>
      <c r="B50" s="81">
        <v>108000</v>
      </c>
      <c r="C50" s="81">
        <v>99000</v>
      </c>
      <c r="D50" s="81">
        <v>9000</v>
      </c>
      <c r="E50" s="81">
        <v>0</v>
      </c>
      <c r="F50" s="81">
        <v>9000</v>
      </c>
      <c r="G50" s="81">
        <v>36000</v>
      </c>
      <c r="H50" s="81">
        <v>36000</v>
      </c>
      <c r="I50" s="81">
        <v>9000</v>
      </c>
    </row>
    <row r="51" spans="1:9" x14ac:dyDescent="0.3">
      <c r="A51" s="24">
        <v>1004</v>
      </c>
      <c r="B51" s="81">
        <v>66000</v>
      </c>
      <c r="C51" s="81">
        <v>60500</v>
      </c>
      <c r="D51" s="81">
        <v>5500</v>
      </c>
      <c r="E51" s="81">
        <v>0</v>
      </c>
      <c r="F51" s="81">
        <v>5500</v>
      </c>
      <c r="G51" s="81">
        <v>22000</v>
      </c>
      <c r="H51" s="81">
        <v>22000</v>
      </c>
      <c r="I51" s="81">
        <v>5500</v>
      </c>
    </row>
    <row r="52" spans="1:9" x14ac:dyDescent="0.3">
      <c r="B52" s="49"/>
      <c r="C52" s="49"/>
      <c r="D52" s="49"/>
      <c r="E52" s="49"/>
      <c r="F52" s="49"/>
      <c r="G52" s="49"/>
      <c r="H52" s="49"/>
      <c r="I52" s="49"/>
    </row>
  </sheetData>
  <pageMargins left="0.7" right="0.7" top="0.75" bottom="0.75" header="0.3" footer="0.3"/>
  <pageSetup paperSize="9" scale="70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BD104"/>
  <sheetViews>
    <sheetView zoomScale="85" zoomScaleNormal="85" workbookViewId="0">
      <selection activeCell="L1" sqref="L1"/>
    </sheetView>
  </sheetViews>
  <sheetFormatPr defaultRowHeight="14.4" x14ac:dyDescent="0.3"/>
  <cols>
    <col min="2" max="2" width="27.77734375" customWidth="1"/>
    <col min="3" max="3" width="36.21875" customWidth="1"/>
    <col min="4" max="4" width="9" customWidth="1"/>
    <col min="5" max="5" width="9.109375" customWidth="1"/>
    <col min="6" max="6" width="9" customWidth="1"/>
    <col min="7" max="7" width="9.6640625" customWidth="1"/>
    <col min="8" max="8" width="9" customWidth="1"/>
    <col min="9" max="9" width="9.77734375" customWidth="1"/>
    <col min="10" max="10" width="9" customWidth="1"/>
    <col min="11" max="11" width="9.5546875" customWidth="1"/>
    <col min="12" max="12" width="10.5546875" style="104" customWidth="1"/>
    <col min="13" max="13" width="10" customWidth="1"/>
    <col min="14" max="14" width="10.5546875" customWidth="1"/>
    <col min="15" max="15" width="11.44140625" customWidth="1"/>
    <col min="16" max="16" width="9" customWidth="1"/>
    <col min="17" max="18" width="8.88671875" customWidth="1"/>
    <col min="19" max="19" width="9.6640625" customWidth="1"/>
    <col min="20" max="20" width="8.88671875" customWidth="1"/>
    <col min="21" max="21" width="9.44140625" customWidth="1"/>
    <col min="22" max="22" width="9" customWidth="1"/>
    <col min="23" max="23" width="9.44140625" customWidth="1"/>
    <col min="24" max="24" width="9" customWidth="1"/>
    <col min="25" max="25" width="12" customWidth="1"/>
    <col min="26" max="26" width="9.44140625" style="76" customWidth="1"/>
    <col min="27" max="39" width="12" customWidth="1"/>
    <col min="41" max="41" width="8.88671875" customWidth="1"/>
    <col min="42" max="42" width="29.109375" customWidth="1"/>
    <col min="43" max="43" width="10" customWidth="1"/>
    <col min="44" max="44" width="9.5546875" customWidth="1"/>
    <col min="45" max="46" width="8.88671875" customWidth="1"/>
    <col min="47" max="47" width="29.109375" customWidth="1"/>
    <col min="48" max="48" width="9.6640625" customWidth="1"/>
    <col min="49" max="50" width="8.88671875" customWidth="1"/>
    <col min="52" max="52" width="29.109375" bestFit="1" customWidth="1"/>
    <col min="53" max="53" width="9.77734375" bestFit="1" customWidth="1"/>
  </cols>
  <sheetData>
    <row r="1" spans="2:54" x14ac:dyDescent="0.3">
      <c r="E1" t="s">
        <v>71</v>
      </c>
    </row>
    <row r="3" spans="2:54" x14ac:dyDescent="0.3">
      <c r="B3" t="s">
        <v>0</v>
      </c>
    </row>
    <row r="4" spans="2:54" ht="15" thickBot="1" x14ac:dyDescent="0.35">
      <c r="B4" t="s">
        <v>300</v>
      </c>
    </row>
    <row r="5" spans="2:54" x14ac:dyDescent="0.3">
      <c r="B5" s="584" t="s">
        <v>3</v>
      </c>
      <c r="C5" s="585"/>
      <c r="D5" s="584">
        <v>44927</v>
      </c>
      <c r="E5" s="597"/>
      <c r="F5" s="584">
        <v>44958</v>
      </c>
      <c r="G5" s="597"/>
      <c r="H5" s="584">
        <v>44986</v>
      </c>
      <c r="I5" s="597"/>
      <c r="J5" s="584">
        <v>45017</v>
      </c>
      <c r="K5" s="597"/>
      <c r="L5" s="584">
        <v>45047</v>
      </c>
      <c r="M5" s="597"/>
      <c r="N5" s="584">
        <v>45078</v>
      </c>
      <c r="O5" s="597"/>
      <c r="P5" s="584">
        <v>45108</v>
      </c>
      <c r="Q5" s="597"/>
      <c r="R5" s="584">
        <v>45139</v>
      </c>
      <c r="S5" s="597"/>
      <c r="T5" s="584">
        <v>45170</v>
      </c>
      <c r="U5" s="597"/>
      <c r="V5" s="584">
        <v>45200</v>
      </c>
      <c r="W5" s="597"/>
      <c r="X5" s="584">
        <v>45231</v>
      </c>
      <c r="Y5" s="597"/>
      <c r="Z5" s="584">
        <v>45261</v>
      </c>
      <c r="AA5" s="597"/>
      <c r="AB5" s="584">
        <v>45292</v>
      </c>
      <c r="AC5" s="597"/>
      <c r="AD5" s="584">
        <v>45323</v>
      </c>
      <c r="AE5" s="597"/>
      <c r="AF5" s="584">
        <v>45352</v>
      </c>
      <c r="AG5" s="597"/>
      <c r="AH5" s="584">
        <v>45383</v>
      </c>
      <c r="AI5" s="597"/>
      <c r="AJ5" s="584">
        <v>45413</v>
      </c>
      <c r="AK5" s="597"/>
      <c r="AL5" s="584">
        <v>45444</v>
      </c>
      <c r="AM5" s="597"/>
      <c r="AO5" t="s">
        <v>21</v>
      </c>
      <c r="AT5" t="s">
        <v>21</v>
      </c>
      <c r="AY5" t="s">
        <v>21</v>
      </c>
    </row>
    <row r="6" spans="2:54" ht="15" thickBot="1" x14ac:dyDescent="0.35">
      <c r="B6" s="8" t="s">
        <v>30</v>
      </c>
      <c r="C6" s="166" t="s">
        <v>31</v>
      </c>
      <c r="D6" s="8" t="s">
        <v>1</v>
      </c>
      <c r="E6" s="7" t="s">
        <v>6</v>
      </c>
      <c r="F6" s="8" t="s">
        <v>1</v>
      </c>
      <c r="G6" s="7" t="s">
        <v>6</v>
      </c>
      <c r="H6" s="8" t="s">
        <v>1</v>
      </c>
      <c r="I6" s="7" t="s">
        <v>6</v>
      </c>
      <c r="J6" s="8" t="s">
        <v>1</v>
      </c>
      <c r="K6" s="7" t="s">
        <v>6</v>
      </c>
      <c r="L6" s="294" t="s">
        <v>1</v>
      </c>
      <c r="M6" s="7" t="s">
        <v>6</v>
      </c>
      <c r="N6" s="8" t="s">
        <v>1</v>
      </c>
      <c r="O6" s="7" t="s">
        <v>6</v>
      </c>
      <c r="P6" s="8" t="s">
        <v>1</v>
      </c>
      <c r="Q6" s="7" t="s">
        <v>6</v>
      </c>
      <c r="R6" s="8" t="s">
        <v>1</v>
      </c>
      <c r="S6" s="7" t="s">
        <v>6</v>
      </c>
      <c r="T6" s="8" t="s">
        <v>1</v>
      </c>
      <c r="U6" s="7" t="s">
        <v>6</v>
      </c>
      <c r="V6" s="8" t="s">
        <v>1</v>
      </c>
      <c r="W6" s="7" t="s">
        <v>6</v>
      </c>
      <c r="X6" s="8" t="s">
        <v>1</v>
      </c>
      <c r="Y6" s="7" t="s">
        <v>6</v>
      </c>
      <c r="Z6" s="309" t="s">
        <v>1</v>
      </c>
      <c r="AA6" s="7" t="s">
        <v>6</v>
      </c>
      <c r="AB6" s="8" t="s">
        <v>1</v>
      </c>
      <c r="AC6" s="7" t="s">
        <v>6</v>
      </c>
      <c r="AD6" s="8" t="s">
        <v>1</v>
      </c>
      <c r="AE6" s="7" t="s">
        <v>6</v>
      </c>
      <c r="AF6" s="8" t="s">
        <v>1</v>
      </c>
      <c r="AG6" s="7" t="s">
        <v>6</v>
      </c>
      <c r="AH6" s="8" t="s">
        <v>1</v>
      </c>
      <c r="AI6" s="7" t="s">
        <v>6</v>
      </c>
      <c r="AJ6" s="8" t="s">
        <v>1</v>
      </c>
      <c r="AK6" s="7" t="s">
        <v>6</v>
      </c>
      <c r="AL6" s="8" t="s">
        <v>1</v>
      </c>
      <c r="AM6" s="7" t="s">
        <v>6</v>
      </c>
      <c r="AO6" s="47" t="s">
        <v>141</v>
      </c>
      <c r="AP6" s="47" t="s">
        <v>11</v>
      </c>
      <c r="AQ6" s="47" t="s">
        <v>22</v>
      </c>
      <c r="AR6" s="47" t="s">
        <v>1</v>
      </c>
      <c r="AT6" s="47" t="s">
        <v>141</v>
      </c>
      <c r="AU6" s="47" t="s">
        <v>11</v>
      </c>
      <c r="AV6" s="47" t="s">
        <v>22</v>
      </c>
      <c r="AW6" s="47" t="s">
        <v>1</v>
      </c>
      <c r="AY6" s="47" t="s">
        <v>141</v>
      </c>
      <c r="AZ6" s="47" t="s">
        <v>11</v>
      </c>
      <c r="BA6" s="47" t="s">
        <v>22</v>
      </c>
      <c r="BB6" s="47" t="s">
        <v>1</v>
      </c>
    </row>
    <row r="7" spans="2:54" x14ac:dyDescent="0.3">
      <c r="B7" s="3" t="s">
        <v>15</v>
      </c>
      <c r="C7" s="117" t="s">
        <v>32</v>
      </c>
      <c r="D7" s="95">
        <v>8500</v>
      </c>
      <c r="E7" s="38">
        <v>44951</v>
      </c>
      <c r="F7" s="73">
        <f>8500+8500+8500</f>
        <v>25500</v>
      </c>
      <c r="G7" s="38" t="s">
        <v>233</v>
      </c>
      <c r="H7" s="73"/>
      <c r="I7" s="38"/>
      <c r="J7" s="73">
        <v>8500</v>
      </c>
      <c r="K7" s="38">
        <v>45026</v>
      </c>
      <c r="L7" s="295">
        <v>8500</v>
      </c>
      <c r="M7" s="38">
        <v>45048</v>
      </c>
      <c r="N7" s="73">
        <v>8500</v>
      </c>
      <c r="O7" s="38">
        <v>45088</v>
      </c>
      <c r="P7" s="73">
        <f>9000+9000+9000</f>
        <v>27000</v>
      </c>
      <c r="Q7" s="38">
        <v>45111</v>
      </c>
      <c r="R7" s="73">
        <v>9000</v>
      </c>
      <c r="S7" s="38">
        <v>45140</v>
      </c>
      <c r="T7" s="73">
        <f>9000+9000</f>
        <v>18000</v>
      </c>
      <c r="U7" s="38">
        <v>45182</v>
      </c>
      <c r="V7" s="73">
        <v>10000</v>
      </c>
      <c r="W7" s="38">
        <v>45201</v>
      </c>
      <c r="X7" s="73">
        <v>10000</v>
      </c>
      <c r="Y7" s="38">
        <v>45234</v>
      </c>
      <c r="Z7" s="310">
        <f>10000*6</f>
        <v>60000</v>
      </c>
      <c r="AA7" s="38" t="s">
        <v>730</v>
      </c>
      <c r="AB7" s="73">
        <v>20000</v>
      </c>
      <c r="AC7" s="38">
        <v>45292</v>
      </c>
      <c r="AD7" s="73">
        <v>30000</v>
      </c>
      <c r="AE7" s="38" t="s">
        <v>822</v>
      </c>
      <c r="AF7" s="73">
        <v>20000</v>
      </c>
      <c r="AG7" s="38" t="s">
        <v>828</v>
      </c>
      <c r="AH7" s="73">
        <v>11500</v>
      </c>
      <c r="AI7" s="38">
        <v>45406</v>
      </c>
      <c r="AJ7" s="73"/>
      <c r="AK7" s="38"/>
      <c r="AL7" s="73"/>
      <c r="AM7" s="38"/>
      <c r="AO7" s="24">
        <v>1</v>
      </c>
      <c r="AP7" s="18" t="s">
        <v>89</v>
      </c>
      <c r="AQ7" s="48">
        <v>44932</v>
      </c>
      <c r="AR7" s="81">
        <v>1300</v>
      </c>
      <c r="AT7" s="24">
        <v>1</v>
      </c>
      <c r="AU7" s="18" t="s">
        <v>538</v>
      </c>
      <c r="AV7" s="48">
        <v>45170</v>
      </c>
      <c r="AW7" s="240">
        <v>250</v>
      </c>
      <c r="AY7" s="24">
        <v>1</v>
      </c>
      <c r="AZ7" s="18" t="s">
        <v>89</v>
      </c>
      <c r="BA7" s="48">
        <v>45296</v>
      </c>
      <c r="BB7" s="81">
        <v>4500</v>
      </c>
    </row>
    <row r="8" spans="2:54" x14ac:dyDescent="0.3">
      <c r="B8" s="3"/>
      <c r="C8" s="117" t="s">
        <v>32</v>
      </c>
      <c r="D8" s="95">
        <f>8500+8500</f>
        <v>17000</v>
      </c>
      <c r="E8" s="38" t="s">
        <v>226</v>
      </c>
      <c r="F8" s="73">
        <f>8500+8500</f>
        <v>17000</v>
      </c>
      <c r="G8" s="38" t="s">
        <v>234</v>
      </c>
      <c r="H8" s="73"/>
      <c r="I8" s="38"/>
      <c r="J8" s="73">
        <v>8500</v>
      </c>
      <c r="K8" s="38">
        <v>45027</v>
      </c>
      <c r="L8" s="295">
        <f>8500+8500</f>
        <v>17000</v>
      </c>
      <c r="M8" s="38">
        <v>45054</v>
      </c>
      <c r="N8" s="73">
        <f>9000+9000+9000</f>
        <v>27000</v>
      </c>
      <c r="O8" s="38" t="s">
        <v>517</v>
      </c>
      <c r="P8" s="73">
        <f>9000+9000+9000</f>
        <v>27000</v>
      </c>
      <c r="Q8" s="38">
        <v>45113</v>
      </c>
      <c r="R8" s="73">
        <v>9000</v>
      </c>
      <c r="S8" s="38">
        <v>45143</v>
      </c>
      <c r="T8" s="73">
        <v>9000</v>
      </c>
      <c r="U8" s="38">
        <v>45184</v>
      </c>
      <c r="V8" s="73">
        <v>10000</v>
      </c>
      <c r="W8" s="38">
        <v>45203</v>
      </c>
      <c r="X8" s="73">
        <f>10000*4</f>
        <v>40000</v>
      </c>
      <c r="Y8" s="38">
        <v>45234</v>
      </c>
      <c r="Z8" s="310">
        <f>10000+10000+10000+10000+10000</f>
        <v>50000</v>
      </c>
      <c r="AA8" s="38" t="s">
        <v>725</v>
      </c>
      <c r="AB8" s="73">
        <v>10000</v>
      </c>
      <c r="AC8" s="38">
        <v>45292</v>
      </c>
      <c r="AD8" s="73">
        <v>70000</v>
      </c>
      <c r="AE8" s="38" t="s">
        <v>824</v>
      </c>
      <c r="AF8" s="73">
        <v>34500</v>
      </c>
      <c r="AG8" s="38" t="s">
        <v>829</v>
      </c>
      <c r="AH8" s="73"/>
      <c r="AI8" s="38"/>
      <c r="AJ8" s="73"/>
      <c r="AK8" s="38"/>
      <c r="AL8" s="73"/>
      <c r="AM8" s="38"/>
      <c r="AO8" s="24">
        <v>2</v>
      </c>
      <c r="AP8" s="18" t="s">
        <v>44</v>
      </c>
      <c r="AQ8" s="48">
        <v>44932</v>
      </c>
      <c r="AR8" s="81">
        <v>2500</v>
      </c>
      <c r="AT8" s="24">
        <v>2</v>
      </c>
      <c r="AU8" s="18" t="s">
        <v>541</v>
      </c>
      <c r="AV8" s="48">
        <v>45170</v>
      </c>
      <c r="AW8" s="240">
        <v>1200</v>
      </c>
      <c r="AY8" s="24">
        <v>2</v>
      </c>
      <c r="AZ8" s="18" t="s">
        <v>115</v>
      </c>
      <c r="BA8" s="48">
        <v>45306</v>
      </c>
      <c r="BB8" s="81">
        <v>5000</v>
      </c>
    </row>
    <row r="9" spans="2:54" x14ac:dyDescent="0.3">
      <c r="B9" s="3"/>
      <c r="C9" s="117" t="s">
        <v>32</v>
      </c>
      <c r="D9" s="95">
        <f>8500+8500+8500</f>
        <v>25500</v>
      </c>
      <c r="E9" s="38" t="s">
        <v>227</v>
      </c>
      <c r="F9" s="73">
        <v>8500</v>
      </c>
      <c r="G9" s="38">
        <v>44971</v>
      </c>
      <c r="H9" s="73"/>
      <c r="I9" s="38"/>
      <c r="J9" s="73">
        <v>8500</v>
      </c>
      <c r="K9" s="38">
        <v>45035</v>
      </c>
      <c r="L9" s="295">
        <v>8500</v>
      </c>
      <c r="M9" s="38">
        <v>45057</v>
      </c>
      <c r="N9" s="73">
        <f>9000+9000+9000</f>
        <v>27000</v>
      </c>
      <c r="O9" s="38" t="s">
        <v>518</v>
      </c>
      <c r="P9" s="73">
        <v>9000</v>
      </c>
      <c r="Q9" s="38">
        <v>45123</v>
      </c>
      <c r="R9" s="73">
        <v>9000</v>
      </c>
      <c r="S9" s="38">
        <v>45148</v>
      </c>
      <c r="T9" s="73">
        <v>9000</v>
      </c>
      <c r="U9" s="38">
        <v>45186</v>
      </c>
      <c r="V9" s="73">
        <f>10000+10000</f>
        <v>20000</v>
      </c>
      <c r="W9" s="38" t="s">
        <v>681</v>
      </c>
      <c r="X9" s="73">
        <f>10000+10000</f>
        <v>20000</v>
      </c>
      <c r="Y9" s="38" t="s">
        <v>688</v>
      </c>
      <c r="Z9" s="311">
        <f>10000*3</f>
        <v>30000</v>
      </c>
      <c r="AA9" s="38" t="s">
        <v>726</v>
      </c>
      <c r="AB9" s="123">
        <v>70000</v>
      </c>
      <c r="AC9" s="38" t="s">
        <v>815</v>
      </c>
      <c r="AD9" s="123">
        <v>90000</v>
      </c>
      <c r="AE9" s="38" t="s">
        <v>825</v>
      </c>
      <c r="AF9" s="123">
        <v>27500</v>
      </c>
      <c r="AG9" s="38">
        <v>45356</v>
      </c>
      <c r="AH9" s="123"/>
      <c r="AI9" s="38"/>
      <c r="AJ9" s="123"/>
      <c r="AK9" s="38"/>
      <c r="AL9" s="123"/>
      <c r="AM9" s="38"/>
      <c r="AO9" s="24">
        <v>3</v>
      </c>
      <c r="AP9" s="18" t="s">
        <v>89</v>
      </c>
      <c r="AQ9" s="48">
        <v>44938</v>
      </c>
      <c r="AR9" s="81">
        <v>1000</v>
      </c>
      <c r="AT9" s="24">
        <v>3</v>
      </c>
      <c r="AU9" s="18" t="s">
        <v>115</v>
      </c>
      <c r="AV9" s="48">
        <v>45177</v>
      </c>
      <c r="AW9" s="240">
        <v>2500</v>
      </c>
      <c r="AY9" s="24">
        <v>3</v>
      </c>
      <c r="AZ9" s="213" t="s">
        <v>820</v>
      </c>
      <c r="BA9" s="48">
        <v>45316</v>
      </c>
      <c r="BB9" s="81">
        <v>5000</v>
      </c>
    </row>
    <row r="10" spans="2:54" x14ac:dyDescent="0.3">
      <c r="B10" s="43"/>
      <c r="C10" s="117" t="s">
        <v>32</v>
      </c>
      <c r="D10" s="168"/>
      <c r="E10" s="38"/>
      <c r="F10" s="123">
        <v>8500</v>
      </c>
      <c r="G10" s="38">
        <v>44976</v>
      </c>
      <c r="H10" s="123"/>
      <c r="I10" s="38"/>
      <c r="J10" s="123">
        <f>8500+8500+8500</f>
        <v>25500</v>
      </c>
      <c r="K10" s="38">
        <v>45038</v>
      </c>
      <c r="L10" s="296">
        <v>8500</v>
      </c>
      <c r="M10" s="38">
        <v>45061</v>
      </c>
      <c r="N10" s="123">
        <v>9000</v>
      </c>
      <c r="O10" s="38">
        <v>45107</v>
      </c>
      <c r="P10" s="123">
        <v>9000</v>
      </c>
      <c r="Q10" s="38">
        <v>45137</v>
      </c>
      <c r="R10" s="123">
        <f>9000+9000</f>
        <v>18000</v>
      </c>
      <c r="S10" s="38">
        <v>45152</v>
      </c>
      <c r="T10" s="123">
        <v>9000</v>
      </c>
      <c r="U10" s="38">
        <v>45187</v>
      </c>
      <c r="V10" s="123">
        <f>10000+10000+10000</f>
        <v>30000</v>
      </c>
      <c r="W10" s="38" t="s">
        <v>682</v>
      </c>
      <c r="X10" s="73">
        <f>10000+10000</f>
        <v>20000</v>
      </c>
      <c r="Y10" s="38">
        <v>45249</v>
      </c>
      <c r="Z10" s="311">
        <f>10000*3</f>
        <v>30000</v>
      </c>
      <c r="AA10" s="38">
        <v>45275</v>
      </c>
      <c r="AB10" s="123">
        <v>60000</v>
      </c>
      <c r="AC10" s="38" t="s">
        <v>817</v>
      </c>
      <c r="AD10" s="123">
        <v>20000</v>
      </c>
      <c r="AE10" s="38">
        <v>45351</v>
      </c>
      <c r="AF10" s="123">
        <v>28000</v>
      </c>
      <c r="AG10" s="38">
        <v>45358</v>
      </c>
      <c r="AH10" s="123"/>
      <c r="AI10" s="38"/>
      <c r="AJ10" s="123"/>
      <c r="AK10" s="38"/>
      <c r="AL10" s="123"/>
      <c r="AM10" s="38"/>
      <c r="AO10" s="24">
        <v>4</v>
      </c>
      <c r="AP10" s="110" t="s">
        <v>297</v>
      </c>
      <c r="AQ10" s="48">
        <v>44938</v>
      </c>
      <c r="AR10" s="81">
        <v>1000</v>
      </c>
      <c r="AT10" s="24">
        <v>4</v>
      </c>
      <c r="AU10" s="18" t="s">
        <v>44</v>
      </c>
      <c r="AV10" s="48">
        <v>45177</v>
      </c>
      <c r="AW10" s="240">
        <v>2500</v>
      </c>
      <c r="AY10" s="24">
        <v>4</v>
      </c>
      <c r="AZ10" s="110" t="s">
        <v>821</v>
      </c>
      <c r="BA10" s="48">
        <v>45316</v>
      </c>
      <c r="BB10" s="81">
        <v>350</v>
      </c>
    </row>
    <row r="11" spans="2:54" x14ac:dyDescent="0.3">
      <c r="B11" s="43"/>
      <c r="C11" s="117" t="s">
        <v>32</v>
      </c>
      <c r="D11" s="168"/>
      <c r="E11" s="38"/>
      <c r="F11" s="123"/>
      <c r="G11" s="38"/>
      <c r="H11" s="123"/>
      <c r="I11" s="38"/>
      <c r="J11" s="123">
        <f>8500+8500</f>
        <v>17000</v>
      </c>
      <c r="K11" s="38">
        <v>45039</v>
      </c>
      <c r="L11" s="296">
        <f>8500</f>
        <v>8500</v>
      </c>
      <c r="M11" s="38">
        <v>45063</v>
      </c>
      <c r="N11" s="123"/>
      <c r="O11" s="38"/>
      <c r="P11" s="123"/>
      <c r="Q11" s="38"/>
      <c r="R11" s="123">
        <v>9000</v>
      </c>
      <c r="S11" s="38">
        <v>45158</v>
      </c>
      <c r="T11" s="123">
        <f>9000+10000</f>
        <v>19000</v>
      </c>
      <c r="U11" s="38">
        <v>45190</v>
      </c>
      <c r="V11" s="123">
        <f>10000+20000</f>
        <v>30000</v>
      </c>
      <c r="W11" s="38" t="s">
        <v>684</v>
      </c>
      <c r="X11" s="123">
        <f>10000+10000+10000+10000</f>
        <v>40000</v>
      </c>
      <c r="Y11" s="38" t="s">
        <v>689</v>
      </c>
      <c r="Z11" s="311">
        <f>10000*4</f>
        <v>40000</v>
      </c>
      <c r="AA11" s="38">
        <v>45276</v>
      </c>
      <c r="AB11" s="123">
        <v>60000</v>
      </c>
      <c r="AC11" s="38" t="s">
        <v>819</v>
      </c>
      <c r="AD11" s="123"/>
      <c r="AE11" s="38"/>
      <c r="AF11" s="123"/>
      <c r="AG11" s="38"/>
      <c r="AH11" s="123"/>
      <c r="AI11" s="38"/>
      <c r="AJ11" s="123"/>
      <c r="AK11" s="38"/>
      <c r="AL11" s="123"/>
      <c r="AM11" s="38"/>
      <c r="AO11" s="24">
        <v>5</v>
      </c>
      <c r="AP11" s="18" t="s">
        <v>89</v>
      </c>
      <c r="AQ11" s="48">
        <v>44945</v>
      </c>
      <c r="AR11" s="81">
        <v>5000</v>
      </c>
      <c r="AT11" s="24">
        <v>5</v>
      </c>
      <c r="AU11" s="18" t="s">
        <v>89</v>
      </c>
      <c r="AV11" s="48">
        <v>45184</v>
      </c>
      <c r="AW11" s="81">
        <v>1000</v>
      </c>
      <c r="AY11" s="24">
        <v>5</v>
      </c>
      <c r="AZ11" s="18"/>
      <c r="BA11" s="48"/>
      <c r="BB11" s="81"/>
    </row>
    <row r="12" spans="2:54" x14ac:dyDescent="0.3">
      <c r="B12" s="43"/>
      <c r="C12" s="117" t="s">
        <v>32</v>
      </c>
      <c r="D12" s="168"/>
      <c r="E12" s="38"/>
      <c r="F12" s="123"/>
      <c r="G12" s="38"/>
      <c r="H12" s="123"/>
      <c r="I12" s="38"/>
      <c r="J12" s="123">
        <v>8500</v>
      </c>
      <c r="K12" s="38">
        <v>45045</v>
      </c>
      <c r="L12" s="296">
        <f>8500+8500</f>
        <v>17000</v>
      </c>
      <c r="M12" s="38">
        <v>45066</v>
      </c>
      <c r="N12" s="123"/>
      <c r="O12" s="38"/>
      <c r="P12" s="123"/>
      <c r="Q12" s="38"/>
      <c r="R12" s="123" t="s">
        <v>539</v>
      </c>
      <c r="S12" s="38"/>
      <c r="T12" s="123"/>
      <c r="U12" s="38"/>
      <c r="V12" s="123">
        <v>10000</v>
      </c>
      <c r="W12" s="38">
        <v>45224</v>
      </c>
      <c r="X12" s="123">
        <f>10000*3</f>
        <v>30000</v>
      </c>
      <c r="Y12" s="38">
        <v>45621</v>
      </c>
      <c r="Z12" s="311">
        <v>40000</v>
      </c>
      <c r="AA12" s="38" t="s">
        <v>727</v>
      </c>
      <c r="AB12" s="123"/>
      <c r="AC12" s="38"/>
      <c r="AD12" s="123"/>
      <c r="AE12" s="38"/>
      <c r="AF12" s="123"/>
      <c r="AG12" s="38"/>
      <c r="AH12" s="123"/>
      <c r="AI12" s="38"/>
      <c r="AJ12" s="123"/>
      <c r="AK12" s="38"/>
      <c r="AL12" s="123"/>
      <c r="AM12" s="38"/>
      <c r="AO12" s="24">
        <v>6</v>
      </c>
      <c r="AP12" s="18" t="s">
        <v>72</v>
      </c>
      <c r="AQ12" s="48">
        <v>44945</v>
      </c>
      <c r="AR12" s="81">
        <v>2000</v>
      </c>
      <c r="AT12" s="24">
        <v>6</v>
      </c>
      <c r="AU12" s="18" t="s">
        <v>549</v>
      </c>
      <c r="AV12" s="48">
        <v>45190</v>
      </c>
      <c r="AW12" s="81">
        <v>8900</v>
      </c>
      <c r="AY12" s="24"/>
      <c r="AZ12" s="18"/>
      <c r="BA12" s="48"/>
      <c r="BB12" s="81"/>
    </row>
    <row r="13" spans="2:54" x14ac:dyDescent="0.3">
      <c r="B13" s="43"/>
      <c r="C13" s="117"/>
      <c r="D13" s="168"/>
      <c r="E13" s="38"/>
      <c r="F13" s="123"/>
      <c r="G13" s="38"/>
      <c r="H13" s="123"/>
      <c r="I13" s="38"/>
      <c r="J13" s="123">
        <f>8500+8500</f>
        <v>17000</v>
      </c>
      <c r="K13" s="38">
        <v>45046</v>
      </c>
      <c r="L13" s="296">
        <v>8500</v>
      </c>
      <c r="M13" s="38">
        <v>45075</v>
      </c>
      <c r="N13" s="123"/>
      <c r="O13" s="38"/>
      <c r="P13" s="123"/>
      <c r="Q13" s="38"/>
      <c r="R13" s="123"/>
      <c r="S13" s="38"/>
      <c r="T13" s="123"/>
      <c r="U13" s="38"/>
      <c r="V13" s="123"/>
      <c r="W13" s="38"/>
      <c r="X13" s="123">
        <f>10000*6</f>
        <v>60000</v>
      </c>
      <c r="Y13" s="38" t="s">
        <v>690</v>
      </c>
      <c r="Z13" s="311">
        <f>10000*9</f>
        <v>90000</v>
      </c>
      <c r="AA13" s="38" t="s">
        <v>731</v>
      </c>
      <c r="AB13" s="123"/>
      <c r="AC13" s="38"/>
      <c r="AD13" s="123"/>
      <c r="AE13" s="38"/>
      <c r="AF13" s="123"/>
      <c r="AG13" s="38"/>
      <c r="AH13" s="123"/>
      <c r="AI13" s="38"/>
      <c r="AJ13" s="123"/>
      <c r="AK13" s="38"/>
      <c r="AL13" s="123"/>
      <c r="AM13" s="38"/>
      <c r="AO13" s="24">
        <v>7</v>
      </c>
      <c r="AP13" s="18" t="s">
        <v>115</v>
      </c>
      <c r="AQ13" s="48">
        <v>44946</v>
      </c>
      <c r="AR13" s="81">
        <v>2500</v>
      </c>
      <c r="AT13" s="100">
        <v>45170</v>
      </c>
      <c r="AU13" s="70"/>
      <c r="AV13" s="70"/>
      <c r="AW13" s="71">
        <f>SUM(AW7:AW12)</f>
        <v>16350</v>
      </c>
      <c r="AY13" s="100">
        <v>45292</v>
      </c>
      <c r="AZ13" s="70"/>
      <c r="BA13" s="70"/>
      <c r="BB13" s="71">
        <f>SUM(BB7:BB12)</f>
        <v>14850</v>
      </c>
    </row>
    <row r="14" spans="2:54" ht="15" thickBot="1" x14ac:dyDescent="0.35">
      <c r="B14" s="44"/>
      <c r="C14" s="118"/>
      <c r="D14" s="236">
        <f>SUM(D7:D13)</f>
        <v>51000</v>
      </c>
      <c r="E14" s="45"/>
      <c r="F14" s="235">
        <f>SUM(F7:F13)</f>
        <v>59500</v>
      </c>
      <c r="G14" s="45"/>
      <c r="H14" s="235">
        <f>SUM(H7:H13)</f>
        <v>0</v>
      </c>
      <c r="I14" s="45"/>
      <c r="J14" s="235">
        <f>SUM(J7:J13)</f>
        <v>93500</v>
      </c>
      <c r="K14" s="45"/>
      <c r="L14" s="297">
        <f>SUM(L7:L13)</f>
        <v>76500</v>
      </c>
      <c r="M14" s="45"/>
      <c r="N14" s="235">
        <f>SUM(N7:N13)</f>
        <v>71500</v>
      </c>
      <c r="O14" s="45"/>
      <c r="P14" s="235">
        <f>SUM(P7:P13)</f>
        <v>72000</v>
      </c>
      <c r="Q14" s="269"/>
      <c r="R14" s="235">
        <f>SUM(R7:R13)</f>
        <v>54000</v>
      </c>
      <c r="S14" s="269"/>
      <c r="T14" s="235">
        <f>SUM(T7:T13)</f>
        <v>64000</v>
      </c>
      <c r="U14" s="269"/>
      <c r="V14" s="235">
        <f>SUM(V7:V13)</f>
        <v>110000</v>
      </c>
      <c r="W14" s="269"/>
      <c r="X14" s="235">
        <f>SUM(X7:X13)</f>
        <v>220000</v>
      </c>
      <c r="Y14" s="269"/>
      <c r="Z14" s="312">
        <f>SUM(Z7:Z13)</f>
        <v>340000</v>
      </c>
      <c r="AA14" s="45"/>
      <c r="AB14" s="235">
        <f>SUM(AB7:AB13)</f>
        <v>220000</v>
      </c>
      <c r="AC14" s="45"/>
      <c r="AD14" s="235">
        <f>SUM(AD7:AD13)</f>
        <v>210000</v>
      </c>
      <c r="AE14" s="45"/>
      <c r="AF14" s="235">
        <f>SUM(AF7:AF13)</f>
        <v>110000</v>
      </c>
      <c r="AG14" s="45"/>
      <c r="AH14" s="235">
        <f>SUM(AH7:AH13)</f>
        <v>11500</v>
      </c>
      <c r="AI14" s="45"/>
      <c r="AJ14" s="235">
        <f>SUM(AJ7:AJ13)</f>
        <v>0</v>
      </c>
      <c r="AK14" s="45"/>
      <c r="AL14" s="235">
        <f>SUM(AL7:AL13)</f>
        <v>0</v>
      </c>
      <c r="AM14" s="45"/>
      <c r="AO14" s="24">
        <v>8</v>
      </c>
      <c r="AP14" s="18" t="s">
        <v>299</v>
      </c>
      <c r="AQ14" s="48">
        <v>44951</v>
      </c>
      <c r="AR14" s="81">
        <v>2700</v>
      </c>
      <c r="AY14" s="24"/>
      <c r="AZ14" s="18"/>
      <c r="BA14" s="48"/>
      <c r="BB14" s="81"/>
    </row>
    <row r="15" spans="2:54" ht="15" thickTop="1" x14ac:dyDescent="0.3">
      <c r="B15" s="6" t="s">
        <v>16</v>
      </c>
      <c r="C15" s="119" t="s">
        <v>823</v>
      </c>
      <c r="D15" s="168">
        <v>25000</v>
      </c>
      <c r="E15" s="38">
        <v>44930</v>
      </c>
      <c r="F15" s="123">
        <v>25000</v>
      </c>
      <c r="G15" s="38">
        <v>44959</v>
      </c>
      <c r="H15" s="123">
        <v>25000</v>
      </c>
      <c r="I15" s="38">
        <v>44986</v>
      </c>
      <c r="J15" s="123">
        <v>25000</v>
      </c>
      <c r="K15" s="38">
        <v>45017</v>
      </c>
      <c r="L15" s="296">
        <v>25000</v>
      </c>
      <c r="M15" s="38">
        <v>45049</v>
      </c>
      <c r="N15" s="123">
        <v>25000</v>
      </c>
      <c r="O15" s="38">
        <v>45079</v>
      </c>
      <c r="P15" s="123">
        <v>25000</v>
      </c>
      <c r="Q15" s="38">
        <v>45108</v>
      </c>
      <c r="R15" s="123">
        <v>24000</v>
      </c>
      <c r="S15" s="38">
        <v>45142</v>
      </c>
      <c r="T15" s="123">
        <v>25000</v>
      </c>
      <c r="U15" s="38">
        <v>45170</v>
      </c>
      <c r="V15" s="123">
        <v>12500</v>
      </c>
      <c r="W15" s="38">
        <v>45201</v>
      </c>
      <c r="X15" s="123">
        <v>14500</v>
      </c>
      <c r="Y15" s="38">
        <v>45234</v>
      </c>
      <c r="Z15" s="311">
        <v>28000</v>
      </c>
      <c r="AA15" s="38">
        <v>45266</v>
      </c>
      <c r="AB15" s="123">
        <v>28000</v>
      </c>
      <c r="AC15" s="38">
        <v>45292</v>
      </c>
      <c r="AD15" s="123">
        <v>28000</v>
      </c>
      <c r="AE15" s="38">
        <v>45324</v>
      </c>
      <c r="AF15" s="123">
        <v>28000</v>
      </c>
      <c r="AG15" s="38">
        <v>45358</v>
      </c>
      <c r="AH15" s="123">
        <v>28000</v>
      </c>
      <c r="AI15" s="38">
        <v>45383</v>
      </c>
      <c r="AJ15" s="123">
        <v>28000</v>
      </c>
      <c r="AK15" s="38">
        <v>45414</v>
      </c>
      <c r="AL15" s="123"/>
      <c r="AM15" s="38"/>
      <c r="AO15" s="24">
        <v>9</v>
      </c>
      <c r="AP15" s="18" t="s">
        <v>228</v>
      </c>
      <c r="AQ15" s="48">
        <v>44957</v>
      </c>
      <c r="AR15" s="81">
        <v>1000</v>
      </c>
      <c r="AT15" s="24">
        <v>1</v>
      </c>
      <c r="AU15" s="18" t="s">
        <v>678</v>
      </c>
      <c r="AV15" s="48">
        <v>45201</v>
      </c>
      <c r="AW15" s="240">
        <v>1000</v>
      </c>
      <c r="AY15" s="24">
        <v>1</v>
      </c>
      <c r="AZ15" s="18" t="s">
        <v>89</v>
      </c>
      <c r="BA15" s="48">
        <v>45332</v>
      </c>
      <c r="BB15" s="81">
        <v>5300</v>
      </c>
    </row>
    <row r="16" spans="2:54" x14ac:dyDescent="0.3">
      <c r="B16" s="3"/>
      <c r="C16" s="119" t="s">
        <v>230</v>
      </c>
      <c r="D16" s="168">
        <v>18000</v>
      </c>
      <c r="E16" s="38">
        <v>44929</v>
      </c>
      <c r="F16" s="123">
        <v>20000</v>
      </c>
      <c r="G16" s="38">
        <v>44958</v>
      </c>
      <c r="H16" s="123">
        <v>20000</v>
      </c>
      <c r="I16" s="38">
        <v>44988</v>
      </c>
      <c r="J16" s="123">
        <v>20000</v>
      </c>
      <c r="K16" s="38">
        <v>45017</v>
      </c>
      <c r="L16" s="296">
        <v>20000</v>
      </c>
      <c r="M16" s="38">
        <v>45049</v>
      </c>
      <c r="N16" s="123">
        <v>20000</v>
      </c>
      <c r="O16" s="38">
        <v>45079</v>
      </c>
      <c r="P16" s="123">
        <v>20000</v>
      </c>
      <c r="Q16" s="38">
        <v>45108</v>
      </c>
      <c r="R16" s="123">
        <v>20000</v>
      </c>
      <c r="S16" s="38">
        <v>45142</v>
      </c>
      <c r="T16" s="123">
        <v>22000</v>
      </c>
      <c r="U16" s="38">
        <v>45170</v>
      </c>
      <c r="V16" s="123">
        <v>20000</v>
      </c>
      <c r="W16" s="38">
        <v>45201</v>
      </c>
      <c r="X16" s="123">
        <v>24000</v>
      </c>
      <c r="Y16" s="38">
        <v>45233</v>
      </c>
      <c r="Z16" s="311">
        <v>22000</v>
      </c>
      <c r="AA16" s="38">
        <v>45266</v>
      </c>
      <c r="AB16" s="123">
        <v>22000</v>
      </c>
      <c r="AC16" s="38">
        <v>45292</v>
      </c>
      <c r="AD16" s="123">
        <v>22000</v>
      </c>
      <c r="AE16" s="38">
        <v>45326</v>
      </c>
      <c r="AF16" s="123">
        <v>22000</v>
      </c>
      <c r="AG16" s="38">
        <v>45358</v>
      </c>
      <c r="AH16" s="123">
        <v>22000</v>
      </c>
      <c r="AI16" s="38">
        <v>45383</v>
      </c>
      <c r="AJ16" s="123">
        <v>22000</v>
      </c>
      <c r="AK16" s="38">
        <v>45414</v>
      </c>
      <c r="AL16" s="123"/>
      <c r="AM16" s="38"/>
      <c r="AO16" s="24">
        <v>10</v>
      </c>
      <c r="AP16" s="110" t="s">
        <v>298</v>
      </c>
      <c r="AQ16" s="48">
        <v>44957</v>
      </c>
      <c r="AR16" s="81">
        <v>1000</v>
      </c>
      <c r="AT16" s="24">
        <v>2</v>
      </c>
      <c r="AU16" s="18" t="s">
        <v>679</v>
      </c>
      <c r="AV16" s="48">
        <v>45202</v>
      </c>
      <c r="AW16" s="81">
        <v>3600</v>
      </c>
      <c r="AY16" s="24">
        <v>2</v>
      </c>
      <c r="AZ16" s="18" t="s">
        <v>44</v>
      </c>
      <c r="BA16" s="48">
        <v>45336</v>
      </c>
      <c r="BB16" s="81">
        <v>3000</v>
      </c>
    </row>
    <row r="17" spans="2:56" x14ac:dyDescent="0.3">
      <c r="B17" s="3"/>
      <c r="C17" s="119" t="s">
        <v>147</v>
      </c>
      <c r="D17" s="168">
        <v>18000</v>
      </c>
      <c r="E17" s="38">
        <v>44929</v>
      </c>
      <c r="F17" s="123">
        <v>17000</v>
      </c>
      <c r="G17" s="38">
        <v>44958</v>
      </c>
      <c r="H17" s="123">
        <v>17000</v>
      </c>
      <c r="I17" s="38">
        <v>44988</v>
      </c>
      <c r="J17" s="123">
        <v>19000</v>
      </c>
      <c r="K17" s="38">
        <v>45019</v>
      </c>
      <c r="L17" s="296">
        <v>18000</v>
      </c>
      <c r="M17" s="38">
        <v>45049</v>
      </c>
      <c r="N17" s="123">
        <v>14000</v>
      </c>
      <c r="O17" s="237">
        <v>45079</v>
      </c>
      <c r="P17" s="123">
        <v>17000</v>
      </c>
      <c r="Q17" s="38">
        <v>45108</v>
      </c>
      <c r="R17" s="123">
        <v>13000</v>
      </c>
      <c r="S17" s="38">
        <v>45142</v>
      </c>
      <c r="T17" s="123">
        <v>16000</v>
      </c>
      <c r="U17" s="38">
        <v>45170</v>
      </c>
      <c r="V17" s="123">
        <v>17000</v>
      </c>
      <c r="W17" s="38">
        <v>45201</v>
      </c>
      <c r="X17" s="123">
        <v>17000</v>
      </c>
      <c r="Y17" s="38">
        <v>45233</v>
      </c>
      <c r="Z17" s="311">
        <v>12000</v>
      </c>
      <c r="AA17" s="38">
        <v>45266</v>
      </c>
      <c r="AB17" s="123">
        <v>7500</v>
      </c>
      <c r="AC17" s="38">
        <v>45292</v>
      </c>
      <c r="AD17" s="123">
        <v>17000</v>
      </c>
      <c r="AE17" s="38">
        <v>45326</v>
      </c>
      <c r="AF17" s="123">
        <v>18000</v>
      </c>
      <c r="AG17" s="38">
        <v>45358</v>
      </c>
      <c r="AH17" s="123">
        <v>18000</v>
      </c>
      <c r="AI17" s="38">
        <v>45383</v>
      </c>
      <c r="AJ17" s="123">
        <v>18000</v>
      </c>
      <c r="AK17" s="38">
        <v>45414</v>
      </c>
      <c r="AL17" s="123"/>
      <c r="AM17" s="38"/>
      <c r="AO17" s="100">
        <v>44927</v>
      </c>
      <c r="AP17" s="70"/>
      <c r="AQ17" s="70"/>
      <c r="AR17" s="71">
        <f>SUM(AR7:AR16)</f>
        <v>20000</v>
      </c>
      <c r="AT17" s="24">
        <v>3</v>
      </c>
      <c r="AU17" s="18" t="s">
        <v>680</v>
      </c>
      <c r="AV17" s="48">
        <v>45202</v>
      </c>
      <c r="AW17" s="81">
        <v>2100</v>
      </c>
      <c r="AY17" s="24">
        <v>3</v>
      </c>
      <c r="AZ17" s="18" t="s">
        <v>826</v>
      </c>
      <c r="BA17" s="48">
        <v>45344</v>
      </c>
      <c r="BB17" s="81">
        <v>800</v>
      </c>
    </row>
    <row r="18" spans="2:56" x14ac:dyDescent="0.3">
      <c r="B18" s="3"/>
      <c r="C18" s="119" t="s">
        <v>148</v>
      </c>
      <c r="D18" s="168">
        <v>16000</v>
      </c>
      <c r="E18" s="38">
        <v>44930</v>
      </c>
      <c r="F18" s="123">
        <v>16000</v>
      </c>
      <c r="G18" s="38">
        <v>44958</v>
      </c>
      <c r="H18" s="123">
        <v>16000</v>
      </c>
      <c r="I18" s="38">
        <v>44986</v>
      </c>
      <c r="J18" s="123">
        <v>17000</v>
      </c>
      <c r="K18" s="38">
        <v>45019</v>
      </c>
      <c r="L18" s="296">
        <v>16000</v>
      </c>
      <c r="M18" s="38">
        <v>45049</v>
      </c>
      <c r="N18" s="123">
        <v>18000</v>
      </c>
      <c r="O18" s="38">
        <v>45079</v>
      </c>
      <c r="P18" s="123">
        <v>18000</v>
      </c>
      <c r="Q18" s="38">
        <v>45108</v>
      </c>
      <c r="R18" s="123">
        <v>18000</v>
      </c>
      <c r="S18" s="38">
        <v>45142</v>
      </c>
      <c r="T18" s="123">
        <v>18000</v>
      </c>
      <c r="U18" s="38">
        <v>45170</v>
      </c>
      <c r="V18" s="123">
        <v>18000</v>
      </c>
      <c r="W18" s="38">
        <v>45201</v>
      </c>
      <c r="X18" s="123">
        <v>18000</v>
      </c>
      <c r="Y18" s="38">
        <v>45234</v>
      </c>
      <c r="Z18" s="311">
        <v>18000</v>
      </c>
      <c r="AA18" s="38">
        <v>45266</v>
      </c>
      <c r="AB18" s="123">
        <v>18000</v>
      </c>
      <c r="AC18" s="38">
        <v>45292</v>
      </c>
      <c r="AD18" s="123">
        <v>11000</v>
      </c>
      <c r="AE18" s="38">
        <v>45326</v>
      </c>
      <c r="AF18" s="123">
        <v>19000</v>
      </c>
      <c r="AG18" s="38">
        <v>45358</v>
      </c>
      <c r="AH18" s="123">
        <v>20000</v>
      </c>
      <c r="AI18" s="38">
        <v>45383</v>
      </c>
      <c r="AJ18" s="123">
        <v>19000</v>
      </c>
      <c r="AK18" s="38">
        <v>45414</v>
      </c>
      <c r="AL18" s="123"/>
      <c r="AM18" s="38"/>
      <c r="AT18" s="24">
        <v>4</v>
      </c>
      <c r="AU18" s="18" t="s">
        <v>115</v>
      </c>
      <c r="AV18" s="48">
        <v>45202</v>
      </c>
      <c r="AW18" s="81">
        <v>2500</v>
      </c>
      <c r="AY18" s="24">
        <v>4</v>
      </c>
      <c r="AZ18" s="18" t="s">
        <v>115</v>
      </c>
      <c r="BA18" s="48">
        <v>45347</v>
      </c>
      <c r="BB18" s="203">
        <v>2500</v>
      </c>
    </row>
    <row r="19" spans="2:56" x14ac:dyDescent="0.3">
      <c r="B19" s="3"/>
      <c r="C19" s="119" t="s">
        <v>540</v>
      </c>
      <c r="D19" s="168">
        <v>16000</v>
      </c>
      <c r="E19" s="38">
        <v>44929</v>
      </c>
      <c r="F19" s="123">
        <v>20000</v>
      </c>
      <c r="G19" s="38">
        <v>44959</v>
      </c>
      <c r="H19" s="123">
        <v>20000</v>
      </c>
      <c r="I19" s="38">
        <v>44989</v>
      </c>
      <c r="J19" s="123">
        <v>20000</v>
      </c>
      <c r="K19" s="38">
        <v>45017</v>
      </c>
      <c r="L19" s="296">
        <f>23000+10000</f>
        <v>33000</v>
      </c>
      <c r="M19" s="38">
        <v>45049</v>
      </c>
      <c r="N19" s="123"/>
      <c r="O19" s="38"/>
      <c r="P19" s="123"/>
      <c r="Q19" s="38"/>
      <c r="R19" s="123"/>
      <c r="S19" s="38"/>
      <c r="T19" s="123"/>
      <c r="U19" s="38"/>
      <c r="V19" s="123"/>
      <c r="W19" s="38"/>
      <c r="X19" s="123"/>
      <c r="Y19" s="38"/>
      <c r="Z19" s="311"/>
      <c r="AA19" s="38"/>
      <c r="AB19" s="123"/>
      <c r="AC19" s="38"/>
      <c r="AD19" s="123"/>
      <c r="AE19" s="38"/>
      <c r="AF19" s="123"/>
      <c r="AG19" s="38"/>
      <c r="AH19" s="123"/>
      <c r="AI19" s="38"/>
      <c r="AJ19" s="123"/>
      <c r="AK19" s="38"/>
      <c r="AL19" s="123"/>
      <c r="AM19" s="38"/>
      <c r="AO19" s="24">
        <v>1</v>
      </c>
      <c r="AP19" s="18" t="s">
        <v>44</v>
      </c>
      <c r="AQ19" s="48">
        <v>44964</v>
      </c>
      <c r="AR19" s="81">
        <v>2500</v>
      </c>
      <c r="AT19" s="24">
        <v>5</v>
      </c>
      <c r="AU19" s="213" t="s">
        <v>680</v>
      </c>
      <c r="AV19" s="48">
        <v>45209</v>
      </c>
      <c r="AW19" s="203">
        <v>4360</v>
      </c>
      <c r="AY19" s="24">
        <v>5</v>
      </c>
      <c r="AZ19" s="18" t="s">
        <v>827</v>
      </c>
      <c r="BA19" s="48">
        <v>45347</v>
      </c>
      <c r="BB19" s="81">
        <v>3500</v>
      </c>
    </row>
    <row r="20" spans="2:56" x14ac:dyDescent="0.3">
      <c r="B20" s="3"/>
      <c r="C20" s="119" t="s">
        <v>282</v>
      </c>
      <c r="D20" s="168">
        <v>15000</v>
      </c>
      <c r="E20" s="38">
        <v>44929</v>
      </c>
      <c r="F20" s="123">
        <v>15000</v>
      </c>
      <c r="G20" s="38">
        <v>44958</v>
      </c>
      <c r="H20" s="175">
        <v>16000</v>
      </c>
      <c r="I20" s="38">
        <v>44988</v>
      </c>
      <c r="J20" s="175">
        <v>17000</v>
      </c>
      <c r="K20" s="38">
        <v>45019</v>
      </c>
      <c r="L20" s="298">
        <v>15000</v>
      </c>
      <c r="M20" s="38">
        <v>45049</v>
      </c>
      <c r="N20" s="175">
        <v>13000</v>
      </c>
      <c r="O20" s="38">
        <v>45079</v>
      </c>
      <c r="P20" s="175">
        <v>17000</v>
      </c>
      <c r="Q20" s="38">
        <v>45108</v>
      </c>
      <c r="R20" s="175">
        <v>17000</v>
      </c>
      <c r="S20" s="38">
        <v>45142</v>
      </c>
      <c r="T20" s="175">
        <v>17000</v>
      </c>
      <c r="U20" s="38">
        <v>45170</v>
      </c>
      <c r="V20" s="175">
        <v>17000</v>
      </c>
      <c r="W20" s="38">
        <v>45201</v>
      </c>
      <c r="X20" s="175">
        <v>18000</v>
      </c>
      <c r="Y20" s="38">
        <v>45233</v>
      </c>
      <c r="Z20" s="313">
        <v>18000</v>
      </c>
      <c r="AA20" s="38">
        <v>45266</v>
      </c>
      <c r="AB20" s="175">
        <v>18000</v>
      </c>
      <c r="AC20" s="38">
        <v>45292</v>
      </c>
      <c r="AD20" s="175">
        <v>17000</v>
      </c>
      <c r="AE20" s="38">
        <v>45324</v>
      </c>
      <c r="AF20" s="175">
        <v>17000</v>
      </c>
      <c r="AG20" s="38">
        <v>45358</v>
      </c>
      <c r="AH20" s="175">
        <v>18000</v>
      </c>
      <c r="AI20" s="38">
        <v>45383</v>
      </c>
      <c r="AJ20" s="175">
        <v>18000</v>
      </c>
      <c r="AK20" s="38">
        <v>45414</v>
      </c>
      <c r="AL20" s="175"/>
      <c r="AM20" s="38"/>
      <c r="AO20" s="24">
        <v>2</v>
      </c>
      <c r="AP20" s="18" t="s">
        <v>231</v>
      </c>
      <c r="AQ20" s="48">
        <v>44965</v>
      </c>
      <c r="AR20" s="81">
        <v>1000</v>
      </c>
      <c r="AT20" s="24">
        <v>6</v>
      </c>
      <c r="AU20" s="18" t="s">
        <v>44</v>
      </c>
      <c r="AV20" s="48">
        <v>45209</v>
      </c>
      <c r="AW20" s="81">
        <v>2500</v>
      </c>
      <c r="AY20" s="24">
        <v>6</v>
      </c>
      <c r="AZ20" s="18"/>
      <c r="BA20" s="48"/>
      <c r="BB20" s="81"/>
    </row>
    <row r="21" spans="2:56" x14ac:dyDescent="0.3">
      <c r="B21" s="3" t="s">
        <v>20</v>
      </c>
      <c r="C21" s="119" t="s">
        <v>229</v>
      </c>
      <c r="D21" s="168">
        <v>30000</v>
      </c>
      <c r="E21" s="38">
        <v>44930</v>
      </c>
      <c r="F21" s="123">
        <v>30000</v>
      </c>
      <c r="G21" s="38">
        <v>44959</v>
      </c>
      <c r="H21" s="123">
        <v>30000</v>
      </c>
      <c r="I21" s="38">
        <v>44989</v>
      </c>
      <c r="J21" s="123">
        <v>30000</v>
      </c>
      <c r="K21" s="38">
        <v>45019</v>
      </c>
      <c r="L21" s="296">
        <v>30000</v>
      </c>
      <c r="M21" s="38">
        <v>45049</v>
      </c>
      <c r="N21" s="123">
        <v>30000</v>
      </c>
      <c r="O21" s="38">
        <v>45083</v>
      </c>
      <c r="P21" s="123">
        <v>30000</v>
      </c>
      <c r="Q21" s="38">
        <v>45108</v>
      </c>
      <c r="R21" s="123">
        <v>30000</v>
      </c>
      <c r="S21" s="38">
        <v>45142</v>
      </c>
      <c r="T21" s="123">
        <v>30000</v>
      </c>
      <c r="U21" s="38">
        <v>45170</v>
      </c>
      <c r="V21" s="123">
        <v>30000</v>
      </c>
      <c r="W21" s="38">
        <v>45201</v>
      </c>
      <c r="X21" s="123">
        <v>30000</v>
      </c>
      <c r="Y21" s="38">
        <v>45233</v>
      </c>
      <c r="Z21" s="311">
        <v>30000</v>
      </c>
      <c r="AA21" s="38">
        <v>45266</v>
      </c>
      <c r="AB21" s="123">
        <v>32000</v>
      </c>
      <c r="AC21" s="38">
        <v>45292</v>
      </c>
      <c r="AD21" s="123">
        <v>32000</v>
      </c>
      <c r="AE21" s="38">
        <v>45326</v>
      </c>
      <c r="AF21" s="123">
        <v>32000</v>
      </c>
      <c r="AG21" s="38">
        <v>45358</v>
      </c>
      <c r="AH21" s="123">
        <v>32000</v>
      </c>
      <c r="AI21" s="38">
        <v>45383</v>
      </c>
      <c r="AJ21" s="123">
        <v>32000</v>
      </c>
      <c r="AK21" s="38">
        <v>45414</v>
      </c>
      <c r="AL21" s="123"/>
      <c r="AM21" s="38"/>
      <c r="AO21" s="24">
        <v>3</v>
      </c>
      <c r="AP21" s="18" t="s">
        <v>232</v>
      </c>
      <c r="AQ21" s="48">
        <v>44965</v>
      </c>
      <c r="AR21" s="81">
        <v>400</v>
      </c>
      <c r="AT21" s="24">
        <v>7</v>
      </c>
      <c r="AU21" s="18" t="s">
        <v>89</v>
      </c>
      <c r="AV21" s="48">
        <v>45217</v>
      </c>
      <c r="AW21" s="81">
        <v>4800</v>
      </c>
      <c r="AY21" s="24">
        <v>7</v>
      </c>
      <c r="AZ21" s="18"/>
      <c r="BA21" s="48"/>
      <c r="BB21" s="81"/>
    </row>
    <row r="22" spans="2:56" x14ac:dyDescent="0.3">
      <c r="B22" s="3"/>
      <c r="C22" s="119" t="s">
        <v>281</v>
      </c>
      <c r="D22" s="168"/>
      <c r="E22" s="38"/>
      <c r="F22" s="123"/>
      <c r="G22" s="38"/>
      <c r="H22" s="123">
        <v>15000</v>
      </c>
      <c r="I22" s="38">
        <v>44989</v>
      </c>
      <c r="J22" s="123">
        <v>15000</v>
      </c>
      <c r="K22" s="38">
        <v>45019</v>
      </c>
      <c r="L22" s="296">
        <v>17000</v>
      </c>
      <c r="M22" s="38">
        <v>45049</v>
      </c>
      <c r="N22" s="123">
        <v>17000</v>
      </c>
      <c r="O22" s="38">
        <v>45083</v>
      </c>
      <c r="P22" s="123">
        <v>18000</v>
      </c>
      <c r="Q22" s="38">
        <v>45108</v>
      </c>
      <c r="R22" s="123">
        <v>18000</v>
      </c>
      <c r="S22" s="38">
        <v>45142</v>
      </c>
      <c r="T22" s="123">
        <v>17000</v>
      </c>
      <c r="U22" s="38">
        <v>45170</v>
      </c>
      <c r="V22" s="123">
        <v>18000</v>
      </c>
      <c r="W22" s="38">
        <v>45201</v>
      </c>
      <c r="X22" s="123">
        <v>17000</v>
      </c>
      <c r="Y22" s="38">
        <v>45233</v>
      </c>
      <c r="Z22" s="311">
        <v>18000</v>
      </c>
      <c r="AA22" s="38">
        <v>45266</v>
      </c>
      <c r="AB22" s="123">
        <v>23000</v>
      </c>
      <c r="AC22" s="38">
        <v>45292</v>
      </c>
      <c r="AD22" s="123">
        <v>23000</v>
      </c>
      <c r="AE22" s="38">
        <v>45326</v>
      </c>
      <c r="AF22" s="123">
        <v>23000</v>
      </c>
      <c r="AG22" s="38">
        <v>45358</v>
      </c>
      <c r="AH22" s="123">
        <v>23000</v>
      </c>
      <c r="AI22" s="38">
        <v>45383</v>
      </c>
      <c r="AJ22" s="123">
        <v>23000</v>
      </c>
      <c r="AK22" s="38">
        <v>45414</v>
      </c>
      <c r="AL22" s="123"/>
      <c r="AM22" s="38"/>
      <c r="AO22" s="24">
        <v>4</v>
      </c>
      <c r="AP22" s="18" t="s">
        <v>115</v>
      </c>
      <c r="AQ22" s="48">
        <v>44965</v>
      </c>
      <c r="AR22" s="81">
        <v>2500</v>
      </c>
      <c r="AT22" s="24">
        <v>8</v>
      </c>
      <c r="AU22" s="18" t="s">
        <v>683</v>
      </c>
      <c r="AV22" s="48">
        <v>45217</v>
      </c>
      <c r="AW22" s="81">
        <v>280</v>
      </c>
      <c r="AY22" s="24">
        <v>8</v>
      </c>
      <c r="AZ22" s="18"/>
      <c r="BA22" s="48"/>
      <c r="BB22" s="81"/>
    </row>
    <row r="23" spans="2:56" ht="15" thickBot="1" x14ac:dyDescent="0.35">
      <c r="B23" s="44"/>
      <c r="C23" s="118"/>
      <c r="D23" s="236">
        <f>SUM(D15:D22)</f>
        <v>138000</v>
      </c>
      <c r="E23" s="45"/>
      <c r="F23" s="235">
        <f>SUM(F15:F22)</f>
        <v>143000</v>
      </c>
      <c r="G23" s="45"/>
      <c r="H23" s="235">
        <f>SUM(H15:H22)</f>
        <v>159000</v>
      </c>
      <c r="I23" s="45"/>
      <c r="J23" s="235">
        <f>SUM(J15:J22)</f>
        <v>163000</v>
      </c>
      <c r="K23" s="45"/>
      <c r="L23" s="297">
        <f>SUM(L15:L22)</f>
        <v>174000</v>
      </c>
      <c r="M23" s="45"/>
      <c r="N23" s="235">
        <f>SUM(N15:N22)</f>
        <v>137000</v>
      </c>
      <c r="O23" s="45"/>
      <c r="P23" s="235">
        <f>SUM(P15:P22)</f>
        <v>145000</v>
      </c>
      <c r="Q23" s="45"/>
      <c r="R23" s="235">
        <f>SUM(R15:R22)</f>
        <v>140000</v>
      </c>
      <c r="S23" s="45"/>
      <c r="T23" s="235">
        <f>SUM(T15:T22)</f>
        <v>145000</v>
      </c>
      <c r="U23" s="45"/>
      <c r="V23" s="235">
        <f>SUM(V15:V22)</f>
        <v>132500</v>
      </c>
      <c r="W23" s="45"/>
      <c r="X23" s="235">
        <f>SUM(X15:X22)</f>
        <v>138500</v>
      </c>
      <c r="Y23" s="45"/>
      <c r="Z23" s="312">
        <f>SUM(Z15:Z22)</f>
        <v>146000</v>
      </c>
      <c r="AA23" s="45"/>
      <c r="AB23" s="235">
        <f>SUM(AB15:AB22)</f>
        <v>148500</v>
      </c>
      <c r="AC23" s="45"/>
      <c r="AD23" s="235">
        <f>SUM(AD15:AD22)</f>
        <v>150000</v>
      </c>
      <c r="AE23" s="45"/>
      <c r="AF23" s="235">
        <f>SUM(AF15:AF22)</f>
        <v>159000</v>
      </c>
      <c r="AG23" s="45"/>
      <c r="AH23" s="235">
        <f>SUM(AH15:AH22)</f>
        <v>161000</v>
      </c>
      <c r="AI23" s="45"/>
      <c r="AJ23" s="235">
        <f>SUM(AJ15:AJ22)</f>
        <v>160000</v>
      </c>
      <c r="AK23" s="45"/>
      <c r="AL23" s="235">
        <f>SUM(AL15:AL22)</f>
        <v>0</v>
      </c>
      <c r="AM23" s="45"/>
      <c r="AO23" s="24">
        <v>5</v>
      </c>
      <c r="AP23" s="18" t="s">
        <v>235</v>
      </c>
      <c r="AQ23" s="48">
        <v>44971</v>
      </c>
      <c r="AR23" s="81">
        <v>1000</v>
      </c>
      <c r="AT23" s="24">
        <v>9</v>
      </c>
      <c r="AU23" s="18" t="s">
        <v>685</v>
      </c>
      <c r="AV23" s="48">
        <v>45217</v>
      </c>
      <c r="AW23" s="81">
        <v>500</v>
      </c>
      <c r="AY23" s="100">
        <v>45323</v>
      </c>
      <c r="AZ23" s="70"/>
      <c r="BA23" s="70"/>
      <c r="BB23" s="71">
        <f>SUM(BB15:BB22)</f>
        <v>15100</v>
      </c>
    </row>
    <row r="24" spans="2:56" ht="15" thickTop="1" x14ac:dyDescent="0.3">
      <c r="B24" s="3" t="s">
        <v>17</v>
      </c>
      <c r="C24" s="119" t="s">
        <v>18</v>
      </c>
      <c r="D24" s="39">
        <v>25000</v>
      </c>
      <c r="E24" s="38">
        <v>44930</v>
      </c>
      <c r="F24" s="39">
        <v>25000</v>
      </c>
      <c r="G24" s="38">
        <v>44964</v>
      </c>
      <c r="H24" s="39">
        <v>25000</v>
      </c>
      <c r="I24" s="38">
        <v>44989</v>
      </c>
      <c r="J24" s="39">
        <v>25000</v>
      </c>
      <c r="K24" s="38">
        <v>45026</v>
      </c>
      <c r="L24" s="286">
        <v>25000</v>
      </c>
      <c r="M24" s="38">
        <v>45049</v>
      </c>
      <c r="N24" s="39">
        <v>25000</v>
      </c>
      <c r="O24" s="38">
        <v>45083</v>
      </c>
      <c r="P24" s="39">
        <v>25000</v>
      </c>
      <c r="Q24" s="38">
        <v>45113</v>
      </c>
      <c r="R24" s="39">
        <v>25000</v>
      </c>
      <c r="S24" s="38">
        <v>45143</v>
      </c>
      <c r="T24" s="39">
        <v>25000</v>
      </c>
      <c r="U24" s="38">
        <v>45177</v>
      </c>
      <c r="V24" s="39">
        <v>25000</v>
      </c>
      <c r="W24" s="38">
        <v>45203</v>
      </c>
      <c r="X24" s="39">
        <v>25000</v>
      </c>
      <c r="Y24" s="38">
        <v>45240</v>
      </c>
      <c r="Z24" s="314">
        <v>25000</v>
      </c>
      <c r="AA24" s="38">
        <v>45268</v>
      </c>
      <c r="AB24" s="39">
        <v>25000</v>
      </c>
      <c r="AC24" s="38">
        <v>45299</v>
      </c>
      <c r="AD24" s="39">
        <v>25000</v>
      </c>
      <c r="AE24" s="38">
        <v>45332</v>
      </c>
      <c r="AF24" s="282">
        <v>25000</v>
      </c>
      <c r="AG24" s="273">
        <v>45356</v>
      </c>
      <c r="AH24" s="39">
        <v>25000</v>
      </c>
      <c r="AI24" s="38">
        <v>45384</v>
      </c>
      <c r="AJ24" s="39">
        <v>25000</v>
      </c>
      <c r="AK24" s="38">
        <v>45430</v>
      </c>
      <c r="AL24" s="39"/>
      <c r="AM24" s="38"/>
      <c r="AO24" s="24">
        <v>6</v>
      </c>
      <c r="AP24" s="18" t="s">
        <v>89</v>
      </c>
      <c r="AQ24" s="48">
        <v>44976</v>
      </c>
      <c r="AR24" s="81">
        <v>7500</v>
      </c>
      <c r="AT24" s="100">
        <v>45200</v>
      </c>
      <c r="AU24" s="70"/>
      <c r="AV24" s="70"/>
      <c r="AW24" s="71">
        <f>SUM(AW15:AW23)</f>
        <v>21640</v>
      </c>
    </row>
    <row r="25" spans="2:56" x14ac:dyDescent="0.3">
      <c r="B25" s="3"/>
      <c r="C25" s="119" t="s">
        <v>19</v>
      </c>
      <c r="D25" s="39">
        <v>25000</v>
      </c>
      <c r="E25" s="38">
        <v>44930</v>
      </c>
      <c r="F25" s="39">
        <v>25000</v>
      </c>
      <c r="G25" s="38">
        <v>44964</v>
      </c>
      <c r="H25" s="39">
        <v>25000</v>
      </c>
      <c r="I25" s="38">
        <v>44989</v>
      </c>
      <c r="J25" s="39">
        <v>25000</v>
      </c>
      <c r="K25" s="38">
        <v>45026</v>
      </c>
      <c r="L25" s="286">
        <v>25000</v>
      </c>
      <c r="M25" s="38">
        <v>45049</v>
      </c>
      <c r="N25" s="39">
        <v>25000</v>
      </c>
      <c r="O25" s="38">
        <v>45083</v>
      </c>
      <c r="P25" s="39">
        <v>25000</v>
      </c>
      <c r="Q25" s="38">
        <v>45113</v>
      </c>
      <c r="R25" s="39">
        <v>25000</v>
      </c>
      <c r="S25" s="38">
        <v>45143</v>
      </c>
      <c r="T25" s="39">
        <v>25000</v>
      </c>
      <c r="U25" s="38">
        <v>45177</v>
      </c>
      <c r="V25" s="39">
        <v>25000</v>
      </c>
      <c r="W25" s="38">
        <v>45203</v>
      </c>
      <c r="X25" s="39">
        <v>25000</v>
      </c>
      <c r="Y25" s="38">
        <v>45240</v>
      </c>
      <c r="Z25" s="314">
        <v>25000</v>
      </c>
      <c r="AA25" s="38">
        <v>45268</v>
      </c>
      <c r="AB25" s="39">
        <v>25000</v>
      </c>
      <c r="AC25" s="38">
        <v>45299</v>
      </c>
      <c r="AD25" s="39">
        <v>25000</v>
      </c>
      <c r="AE25" s="38">
        <v>45332</v>
      </c>
      <c r="AF25" s="282">
        <v>25000</v>
      </c>
      <c r="AG25" s="273">
        <v>45356</v>
      </c>
      <c r="AH25" s="39">
        <v>25000</v>
      </c>
      <c r="AI25" s="38">
        <v>45384</v>
      </c>
      <c r="AJ25" s="39">
        <v>25000</v>
      </c>
      <c r="AK25" s="38">
        <v>45430</v>
      </c>
      <c r="AL25" s="39"/>
      <c r="AM25" s="38"/>
      <c r="AO25" s="24">
        <v>7</v>
      </c>
      <c r="AP25" s="18" t="s">
        <v>236</v>
      </c>
      <c r="AQ25" s="48">
        <v>44980</v>
      </c>
      <c r="AR25" s="81">
        <v>1500</v>
      </c>
      <c r="AY25" s="24">
        <v>1</v>
      </c>
      <c r="AZ25" s="18" t="s">
        <v>44</v>
      </c>
      <c r="BA25" s="48">
        <v>45356</v>
      </c>
      <c r="BB25" s="81">
        <v>3000</v>
      </c>
    </row>
    <row r="26" spans="2:56" ht="15" thickBot="1" x14ac:dyDescent="0.35">
      <c r="B26" s="44"/>
      <c r="C26" s="118"/>
      <c r="D26" s="236">
        <f>SUM(D24:D25)</f>
        <v>50000</v>
      </c>
      <c r="E26" s="45"/>
      <c r="F26" s="235">
        <f>SUM(F24:F25)</f>
        <v>50000</v>
      </c>
      <c r="G26" s="45"/>
      <c r="H26" s="235">
        <f>SUM(H24:H25)</f>
        <v>50000</v>
      </c>
      <c r="I26" s="45"/>
      <c r="J26" s="235">
        <f>SUM(J24:J25)</f>
        <v>50000</v>
      </c>
      <c r="K26" s="45"/>
      <c r="L26" s="297">
        <f>SUM(L24:L25)</f>
        <v>50000</v>
      </c>
      <c r="M26" s="45"/>
      <c r="N26" s="235">
        <f>SUM(N24:N25)</f>
        <v>50000</v>
      </c>
      <c r="O26" s="45"/>
      <c r="P26" s="235">
        <f>SUM(P24:P25)</f>
        <v>50000</v>
      </c>
      <c r="Q26" s="269"/>
      <c r="R26" s="235">
        <f>SUM(R24:R25)</f>
        <v>50000</v>
      </c>
      <c r="S26" s="269"/>
      <c r="T26" s="235">
        <f>SUM(T24:T25)</f>
        <v>50000</v>
      </c>
      <c r="U26" s="269"/>
      <c r="V26" s="235">
        <f>SUM(V24:V25)</f>
        <v>50000</v>
      </c>
      <c r="W26" s="269"/>
      <c r="X26" s="235">
        <f>SUM(X24:X25)</f>
        <v>50000</v>
      </c>
      <c r="Y26" s="269"/>
      <c r="Z26" s="312">
        <f>SUM(Z24:Z25)</f>
        <v>50000</v>
      </c>
      <c r="AA26" s="269"/>
      <c r="AB26" s="235">
        <f>SUM(AB24:AB25)</f>
        <v>50000</v>
      </c>
      <c r="AC26" s="269"/>
      <c r="AD26" s="235">
        <f>SUM(AD24:AD25)</f>
        <v>50000</v>
      </c>
      <c r="AE26" s="269"/>
      <c r="AF26" s="235">
        <f>SUM(AF24:AF25)</f>
        <v>50000</v>
      </c>
      <c r="AG26" s="269"/>
      <c r="AH26" s="235">
        <f>SUM(AH24:AH25)</f>
        <v>50000</v>
      </c>
      <c r="AI26" s="269"/>
      <c r="AJ26" s="235">
        <f>SUM(AJ24:AJ25)</f>
        <v>50000</v>
      </c>
      <c r="AK26" s="269"/>
      <c r="AL26" s="235">
        <f>SUM(AL24:AL25)</f>
        <v>0</v>
      </c>
      <c r="AM26" s="269"/>
      <c r="AO26" s="24">
        <v>8</v>
      </c>
      <c r="AP26" s="18" t="s">
        <v>237</v>
      </c>
      <c r="AQ26" s="48">
        <v>44980</v>
      </c>
      <c r="AR26" s="81">
        <v>500</v>
      </c>
      <c r="AT26" s="24">
        <v>1</v>
      </c>
      <c r="AU26" s="18" t="s">
        <v>44</v>
      </c>
      <c r="AV26" s="48">
        <v>45240</v>
      </c>
      <c r="AW26" s="81">
        <v>2500</v>
      </c>
      <c r="AY26" s="24">
        <v>2</v>
      </c>
      <c r="AZ26" s="18" t="s">
        <v>89</v>
      </c>
      <c r="BA26" s="48">
        <v>45362</v>
      </c>
      <c r="BB26" s="81">
        <v>7000</v>
      </c>
    </row>
    <row r="27" spans="2:56" ht="15" thickTop="1" x14ac:dyDescent="0.3">
      <c r="B27" s="3" t="s">
        <v>62</v>
      </c>
      <c r="C27" s="120" t="s">
        <v>61</v>
      </c>
      <c r="D27" s="39">
        <v>8500</v>
      </c>
      <c r="E27" s="38">
        <v>44932</v>
      </c>
      <c r="F27" s="42"/>
      <c r="G27" s="38"/>
      <c r="H27" s="42">
        <v>8500</v>
      </c>
      <c r="I27" s="38">
        <v>44989</v>
      </c>
      <c r="J27" s="42">
        <v>8500</v>
      </c>
      <c r="K27" s="38">
        <v>45019</v>
      </c>
      <c r="L27" s="295">
        <v>8500</v>
      </c>
      <c r="M27" s="38">
        <v>45057</v>
      </c>
      <c r="N27" s="42">
        <v>8500</v>
      </c>
      <c r="O27" s="38">
        <v>45087</v>
      </c>
      <c r="P27" s="42">
        <v>8500</v>
      </c>
      <c r="Q27" s="38">
        <v>45111</v>
      </c>
      <c r="R27" s="42">
        <v>8500</v>
      </c>
      <c r="S27" s="38">
        <v>45140</v>
      </c>
      <c r="T27" s="42">
        <v>8500</v>
      </c>
      <c r="U27" s="38">
        <v>45170</v>
      </c>
      <c r="V27" s="42">
        <v>9800</v>
      </c>
      <c r="W27" s="38">
        <v>45209</v>
      </c>
      <c r="X27" s="42">
        <v>8500</v>
      </c>
      <c r="Y27" s="38">
        <v>45239</v>
      </c>
      <c r="Z27" s="310">
        <v>9000</v>
      </c>
      <c r="AA27" s="38">
        <v>45267</v>
      </c>
      <c r="AB27" s="42">
        <v>9600</v>
      </c>
      <c r="AC27" s="38">
        <v>45292</v>
      </c>
      <c r="AD27" s="42">
        <v>9500</v>
      </c>
      <c r="AE27" s="38">
        <v>45330</v>
      </c>
      <c r="AF27" s="42">
        <v>9500</v>
      </c>
      <c r="AG27" s="38">
        <v>45376</v>
      </c>
      <c r="AH27" s="42">
        <v>9500</v>
      </c>
      <c r="AI27" s="38">
        <v>45412</v>
      </c>
      <c r="AJ27" s="42">
        <v>9500</v>
      </c>
      <c r="AK27" s="38">
        <v>45430</v>
      </c>
      <c r="AL27" s="42"/>
      <c r="AM27" s="38"/>
      <c r="AO27" s="100">
        <v>44958</v>
      </c>
      <c r="AP27" s="70"/>
      <c r="AQ27" s="70"/>
      <c r="AR27" s="71">
        <f>SUM(AR19:AR26)</f>
        <v>16900</v>
      </c>
      <c r="AT27" s="24">
        <v>2</v>
      </c>
      <c r="AU27" s="18" t="s">
        <v>89</v>
      </c>
      <c r="AV27" s="48">
        <v>45240</v>
      </c>
      <c r="AW27" s="81">
        <v>1300</v>
      </c>
      <c r="AY27" s="24">
        <v>3</v>
      </c>
      <c r="AZ27" s="18" t="s">
        <v>115</v>
      </c>
      <c r="BA27" s="48">
        <v>45371</v>
      </c>
      <c r="BB27" s="203">
        <v>5000</v>
      </c>
      <c r="BD27" t="s">
        <v>836</v>
      </c>
    </row>
    <row r="28" spans="2:56" x14ac:dyDescent="0.3">
      <c r="B28" s="3"/>
      <c r="C28" s="120" t="s">
        <v>816</v>
      </c>
      <c r="D28" s="39">
        <v>2200</v>
      </c>
      <c r="E28" s="38">
        <v>44945</v>
      </c>
      <c r="F28" s="42"/>
      <c r="G28" s="38"/>
      <c r="H28" s="42"/>
      <c r="I28" s="38"/>
      <c r="J28" s="42"/>
      <c r="K28" s="38"/>
      <c r="L28" s="295"/>
      <c r="M28" s="38"/>
      <c r="N28" s="42"/>
      <c r="O28" s="38"/>
      <c r="P28" s="42"/>
      <c r="Q28" s="38"/>
      <c r="R28" s="42">
        <f>14300-500-8500</f>
        <v>5300</v>
      </c>
      <c r="S28" s="38">
        <v>45140</v>
      </c>
      <c r="T28" s="42"/>
      <c r="U28" s="38"/>
      <c r="V28" s="42"/>
      <c r="W28" s="38"/>
      <c r="X28" s="42"/>
      <c r="Y28" s="38"/>
      <c r="Z28" s="310"/>
      <c r="AA28" s="38"/>
      <c r="AB28" s="42">
        <v>14900</v>
      </c>
      <c r="AC28" s="38">
        <v>45301</v>
      </c>
      <c r="AD28" s="42"/>
      <c r="AE28" s="38"/>
      <c r="AF28" s="42"/>
      <c r="AG28" s="38"/>
      <c r="AH28" s="42"/>
      <c r="AI28" s="38"/>
      <c r="AJ28" s="42">
        <f>1100+1100</f>
        <v>2200</v>
      </c>
      <c r="AK28" s="38">
        <v>45414</v>
      </c>
      <c r="AL28" s="42"/>
      <c r="AM28" s="38"/>
      <c r="AT28" s="24">
        <v>3</v>
      </c>
      <c r="AU28" s="18" t="s">
        <v>686</v>
      </c>
      <c r="AV28" s="48">
        <v>45242</v>
      </c>
      <c r="AW28" s="81">
        <v>5000</v>
      </c>
      <c r="AY28" s="24">
        <v>4</v>
      </c>
      <c r="AZ28" s="213" t="s">
        <v>833</v>
      </c>
      <c r="BA28" s="48">
        <v>45371</v>
      </c>
      <c r="BB28" s="81">
        <v>1000</v>
      </c>
    </row>
    <row r="29" spans="2:56" x14ac:dyDescent="0.3">
      <c r="B29" s="3"/>
      <c r="C29" s="120" t="s">
        <v>954</v>
      </c>
      <c r="D29" s="39"/>
      <c r="E29" s="38"/>
      <c r="F29" s="42">
        <v>35000</v>
      </c>
      <c r="G29" s="38">
        <v>44975</v>
      </c>
      <c r="H29" s="42"/>
      <c r="I29" s="38"/>
      <c r="J29" s="42"/>
      <c r="K29" s="38"/>
      <c r="L29" s="295">
        <v>1650</v>
      </c>
      <c r="M29" s="38">
        <v>45071</v>
      </c>
      <c r="N29" s="42">
        <v>6000</v>
      </c>
      <c r="O29" s="38">
        <v>45087</v>
      </c>
      <c r="P29" s="42"/>
      <c r="Q29" s="38"/>
      <c r="R29" s="42"/>
      <c r="S29" s="38"/>
      <c r="T29" s="42"/>
      <c r="U29" s="38"/>
      <c r="V29" s="42"/>
      <c r="W29" s="38"/>
      <c r="X29" s="42">
        <v>1200</v>
      </c>
      <c r="Y29" s="38">
        <v>45254</v>
      </c>
      <c r="Z29" s="310"/>
      <c r="AA29" s="38"/>
      <c r="AB29" s="42"/>
      <c r="AC29" s="38"/>
      <c r="AD29" s="42"/>
      <c r="AE29" s="38"/>
      <c r="AF29" s="42"/>
      <c r="AG29" s="38"/>
      <c r="AH29" s="42">
        <v>6500</v>
      </c>
      <c r="AI29" s="38">
        <v>45392</v>
      </c>
      <c r="AJ29" s="42"/>
      <c r="AK29" s="38"/>
      <c r="AL29" s="42"/>
      <c r="AM29" s="38"/>
      <c r="AO29" s="24">
        <v>1</v>
      </c>
      <c r="AP29" s="18" t="s">
        <v>280</v>
      </c>
      <c r="AQ29" s="48">
        <v>44986</v>
      </c>
      <c r="AR29" s="81">
        <v>550</v>
      </c>
      <c r="AT29" s="24">
        <v>4</v>
      </c>
      <c r="AU29" s="18" t="s">
        <v>687</v>
      </c>
      <c r="AV29" s="48">
        <v>45242</v>
      </c>
      <c r="AW29" s="81">
        <v>1200</v>
      </c>
      <c r="AY29" s="24">
        <v>5</v>
      </c>
      <c r="AZ29" s="18" t="s">
        <v>834</v>
      </c>
      <c r="BA29" s="48">
        <v>45376</v>
      </c>
      <c r="BB29" s="81">
        <v>1500</v>
      </c>
    </row>
    <row r="30" spans="2:56" x14ac:dyDescent="0.3">
      <c r="B30" s="3"/>
      <c r="C30" s="120" t="s">
        <v>957</v>
      </c>
      <c r="D30" s="39"/>
      <c r="E30" s="2"/>
      <c r="F30" s="42"/>
      <c r="G30" s="2"/>
      <c r="H30" s="42"/>
      <c r="I30" s="2"/>
      <c r="J30" s="42">
        <f>1000+600</f>
        <v>1600</v>
      </c>
      <c r="K30" s="38" t="s">
        <v>415</v>
      </c>
      <c r="L30" s="295"/>
      <c r="M30" s="38"/>
      <c r="N30" s="42">
        <v>1940</v>
      </c>
      <c r="O30" s="38">
        <v>45091</v>
      </c>
      <c r="P30" s="42"/>
      <c r="Q30" s="38"/>
      <c r="R30" s="42"/>
      <c r="S30" s="38"/>
      <c r="T30" s="42">
        <v>1500</v>
      </c>
      <c r="U30" s="38">
        <v>45187</v>
      </c>
      <c r="V30" s="42"/>
      <c r="W30" s="38"/>
      <c r="X30" s="42"/>
      <c r="Y30" s="38"/>
      <c r="Z30" s="310"/>
      <c r="AA30" s="38"/>
      <c r="AB30" s="42"/>
      <c r="AC30" s="38"/>
      <c r="AD30" s="42"/>
      <c r="AE30" s="38"/>
      <c r="AF30" s="42"/>
      <c r="AG30" s="38"/>
      <c r="AH30" s="42"/>
      <c r="AI30" s="38"/>
      <c r="AJ30" s="42">
        <v>1500</v>
      </c>
      <c r="AK30" s="38">
        <v>45414</v>
      </c>
      <c r="AL30" s="42"/>
      <c r="AM30" s="38"/>
      <c r="AO30" s="24">
        <v>2</v>
      </c>
      <c r="AP30" s="18" t="s">
        <v>89</v>
      </c>
      <c r="AQ30" s="48">
        <v>44989</v>
      </c>
      <c r="AR30" s="81">
        <v>1750</v>
      </c>
      <c r="AT30" s="24">
        <v>5</v>
      </c>
      <c r="AU30" s="18" t="s">
        <v>89</v>
      </c>
      <c r="AV30" s="48">
        <v>45249</v>
      </c>
      <c r="AW30" s="270">
        <v>5000</v>
      </c>
      <c r="AY30" s="24"/>
      <c r="AZ30" s="18"/>
      <c r="BA30" s="48"/>
      <c r="BB30" s="81"/>
    </row>
    <row r="31" spans="2:56" x14ac:dyDescent="0.3">
      <c r="B31" s="3"/>
      <c r="C31" s="120"/>
      <c r="D31" s="39"/>
      <c r="E31" s="38"/>
      <c r="F31" s="42"/>
      <c r="G31" s="38"/>
      <c r="H31" s="42"/>
      <c r="I31" s="38"/>
      <c r="J31" s="42"/>
      <c r="K31" s="38"/>
      <c r="L31" s="295"/>
      <c r="M31" s="38"/>
      <c r="N31" s="42">
        <v>1200</v>
      </c>
      <c r="O31" s="38">
        <v>45093</v>
      </c>
      <c r="P31" s="42"/>
      <c r="Q31" s="38"/>
      <c r="R31" s="42"/>
      <c r="S31" s="38"/>
      <c r="T31" s="42">
        <v>2200</v>
      </c>
      <c r="U31" s="38">
        <v>45186</v>
      </c>
      <c r="V31" s="42"/>
      <c r="W31" s="38"/>
      <c r="X31" s="42">
        <v>1300</v>
      </c>
      <c r="Y31" s="38">
        <v>45240</v>
      </c>
      <c r="Z31" s="310"/>
      <c r="AA31" s="38"/>
      <c r="AB31" s="42"/>
      <c r="AC31" s="38"/>
      <c r="AD31" s="42"/>
      <c r="AE31" s="38"/>
      <c r="AF31" s="42"/>
      <c r="AG31" s="38"/>
      <c r="AH31" s="42"/>
      <c r="AI31" s="38"/>
      <c r="AJ31" s="42"/>
      <c r="AK31" s="38"/>
      <c r="AL31" s="42"/>
      <c r="AM31" s="38"/>
      <c r="AO31" s="24">
        <v>3</v>
      </c>
      <c r="AP31" s="18" t="s">
        <v>89</v>
      </c>
      <c r="AQ31" s="48">
        <v>44992</v>
      </c>
      <c r="AR31" s="81">
        <v>2000</v>
      </c>
      <c r="AT31" s="24">
        <v>6</v>
      </c>
      <c r="AU31" s="213" t="s">
        <v>680</v>
      </c>
      <c r="AV31" s="48">
        <v>45250</v>
      </c>
      <c r="AW31" s="81">
        <v>4070</v>
      </c>
      <c r="AY31" s="100">
        <v>45352</v>
      </c>
      <c r="AZ31" s="70"/>
      <c r="BA31" s="70"/>
      <c r="BB31" s="71">
        <f>SUM(BB25:BB30)</f>
        <v>17500</v>
      </c>
    </row>
    <row r="32" spans="2:56" x14ac:dyDescent="0.3">
      <c r="B32" s="3"/>
      <c r="C32" s="120"/>
      <c r="D32" s="159"/>
      <c r="E32" s="38"/>
      <c r="F32" s="106"/>
      <c r="G32" s="38"/>
      <c r="H32" s="106"/>
      <c r="I32" s="38"/>
      <c r="J32" s="106"/>
      <c r="K32" s="38"/>
      <c r="L32" s="299"/>
      <c r="M32" s="38"/>
      <c r="N32" s="106"/>
      <c r="O32" s="38"/>
      <c r="P32" s="106"/>
      <c r="Q32" s="38"/>
      <c r="R32" s="106">
        <v>4500</v>
      </c>
      <c r="S32" s="38">
        <v>45143</v>
      </c>
      <c r="T32" s="106"/>
      <c r="U32" s="38"/>
      <c r="V32" s="106"/>
      <c r="W32" s="38"/>
      <c r="X32" s="106"/>
      <c r="Y32" s="38"/>
      <c r="Z32" s="206"/>
      <c r="AA32" s="38"/>
      <c r="AB32" s="106"/>
      <c r="AC32" s="38"/>
      <c r="AD32" s="106"/>
      <c r="AE32" s="38"/>
      <c r="AF32" s="106"/>
      <c r="AG32" s="38"/>
      <c r="AH32" s="106"/>
      <c r="AI32" s="38"/>
      <c r="AJ32" s="106"/>
      <c r="AK32" s="38"/>
      <c r="AL32" s="106"/>
      <c r="AM32" s="38"/>
      <c r="AO32" s="24">
        <v>4</v>
      </c>
      <c r="AP32" s="18" t="s">
        <v>287</v>
      </c>
      <c r="AQ32" s="48">
        <v>44992</v>
      </c>
      <c r="AR32" s="81">
        <v>1500</v>
      </c>
      <c r="AT32" s="24">
        <v>7</v>
      </c>
      <c r="AU32" s="18" t="s">
        <v>740</v>
      </c>
      <c r="AV32" s="48">
        <v>45248</v>
      </c>
      <c r="AW32" s="81">
        <v>300</v>
      </c>
    </row>
    <row r="33" spans="2:54" x14ac:dyDescent="0.3">
      <c r="B33" s="3"/>
      <c r="C33" s="120"/>
      <c r="D33" s="39"/>
      <c r="E33" s="38"/>
      <c r="F33" s="42"/>
      <c r="G33" s="38"/>
      <c r="H33" s="42"/>
      <c r="I33" s="38"/>
      <c r="J33" s="42"/>
      <c r="K33" s="38"/>
      <c r="L33" s="295"/>
      <c r="M33" s="38"/>
      <c r="N33" s="42"/>
      <c r="O33" s="38"/>
      <c r="P33" s="42"/>
      <c r="Q33" s="38"/>
      <c r="R33" s="42"/>
      <c r="S33" s="38"/>
      <c r="T33" s="42"/>
      <c r="U33" s="38"/>
      <c r="V33" s="42"/>
      <c r="W33" s="38"/>
      <c r="X33" s="42">
        <v>19500</v>
      </c>
      <c r="Y33" s="38">
        <v>45249</v>
      </c>
      <c r="Z33" s="310">
        <v>8500</v>
      </c>
      <c r="AA33" s="38">
        <v>45269</v>
      </c>
      <c r="AB33" s="42"/>
      <c r="AC33" s="38"/>
      <c r="AD33" s="42"/>
      <c r="AE33" s="38"/>
      <c r="AF33" s="42"/>
      <c r="AG33" s="38"/>
      <c r="AH33" s="42"/>
      <c r="AI33" s="38"/>
      <c r="AJ33" s="42"/>
      <c r="AK33" s="38"/>
      <c r="AL33" s="42"/>
      <c r="AM33" s="38"/>
      <c r="AO33" s="24">
        <v>5</v>
      </c>
      <c r="AP33" s="18" t="s">
        <v>44</v>
      </c>
      <c r="AQ33" s="48">
        <v>44992</v>
      </c>
      <c r="AR33" s="81">
        <v>2500</v>
      </c>
      <c r="AT33" s="24">
        <v>8</v>
      </c>
      <c r="AU33" s="18"/>
      <c r="AV33" s="48"/>
      <c r="AW33" s="81"/>
      <c r="AY33" s="24">
        <v>1</v>
      </c>
      <c r="AZ33" s="18" t="s">
        <v>952</v>
      </c>
      <c r="BA33" s="48">
        <v>45384</v>
      </c>
      <c r="BB33" s="81">
        <v>8800</v>
      </c>
    </row>
    <row r="34" spans="2:54" ht="15" thickBot="1" x14ac:dyDescent="0.35">
      <c r="B34" s="44"/>
      <c r="C34" s="118"/>
      <c r="D34" s="236">
        <f>SUM(D27:D33)</f>
        <v>10700</v>
      </c>
      <c r="E34" s="45"/>
      <c r="F34" s="235">
        <f>SUM(F27:F33)</f>
        <v>35000</v>
      </c>
      <c r="G34" s="45"/>
      <c r="H34" s="235">
        <f>SUM(H27:H33)</f>
        <v>8500</v>
      </c>
      <c r="I34" s="45"/>
      <c r="J34" s="235">
        <f>SUM(J27:J33)</f>
        <v>10100</v>
      </c>
      <c r="K34" s="45"/>
      <c r="L34" s="297">
        <f>SUM(L27:L33)</f>
        <v>10150</v>
      </c>
      <c r="M34" s="45"/>
      <c r="N34" s="235">
        <f>SUM(N27:N33)</f>
        <v>17640</v>
      </c>
      <c r="O34" s="45"/>
      <c r="P34" s="235">
        <f>SUM(P27:P33)</f>
        <v>8500</v>
      </c>
      <c r="Q34" s="269"/>
      <c r="R34" s="235">
        <f>SUM(R27:R33)</f>
        <v>18300</v>
      </c>
      <c r="S34" s="269"/>
      <c r="T34" s="235">
        <f>SUM(T27:T33)</f>
        <v>12200</v>
      </c>
      <c r="U34" s="269"/>
      <c r="V34" s="235">
        <f>SUM(V27:V33)</f>
        <v>9800</v>
      </c>
      <c r="W34" s="269"/>
      <c r="X34" s="235">
        <f>SUM(X27:X33)</f>
        <v>30500</v>
      </c>
      <c r="Y34" s="269"/>
      <c r="Z34" s="312">
        <f>SUM(Z27:Z33)</f>
        <v>17500</v>
      </c>
      <c r="AA34" s="269"/>
      <c r="AB34" s="235">
        <f>SUM(AB27:AB33)</f>
        <v>24500</v>
      </c>
      <c r="AC34" s="269"/>
      <c r="AD34" s="235">
        <f>SUM(AD27:AD33)</f>
        <v>9500</v>
      </c>
      <c r="AE34" s="269"/>
      <c r="AF34" s="235">
        <f>SUM(AF27:AF33)</f>
        <v>9500</v>
      </c>
      <c r="AG34" s="269"/>
      <c r="AH34" s="235">
        <f>SUM(AH27:AH33)</f>
        <v>16000</v>
      </c>
      <c r="AI34" s="269"/>
      <c r="AJ34" s="235">
        <f>SUM(AJ27:AJ33)</f>
        <v>13200</v>
      </c>
      <c r="AK34" s="269"/>
      <c r="AL34" s="235">
        <f>SUM(AL27:AL33)</f>
        <v>0</v>
      </c>
      <c r="AM34" s="269"/>
      <c r="AO34" s="24">
        <v>6</v>
      </c>
      <c r="AP34" s="18" t="s">
        <v>115</v>
      </c>
      <c r="AQ34" s="48">
        <v>44997</v>
      </c>
      <c r="AR34" s="81">
        <v>2500</v>
      </c>
      <c r="AT34" s="24">
        <v>9</v>
      </c>
      <c r="AU34" s="18"/>
      <c r="AV34" s="48"/>
      <c r="AW34" s="81"/>
      <c r="AY34" s="24">
        <v>2</v>
      </c>
      <c r="AZ34" s="18" t="s">
        <v>44</v>
      </c>
      <c r="BA34" s="48">
        <v>45387</v>
      </c>
      <c r="BB34" s="81">
        <v>3000</v>
      </c>
    </row>
    <row r="35" spans="2:54" ht="15" thickTop="1" x14ac:dyDescent="0.3">
      <c r="B35" s="6" t="s">
        <v>21</v>
      </c>
      <c r="C35" s="80"/>
      <c r="D35" s="170">
        <f>+AR17</f>
        <v>20000</v>
      </c>
      <c r="E35" s="5"/>
      <c r="F35" s="91">
        <f>+AR27</f>
        <v>16900</v>
      </c>
      <c r="G35" s="5"/>
      <c r="H35" s="91">
        <f>+AR39</f>
        <v>23700</v>
      </c>
      <c r="I35" s="5"/>
      <c r="J35" s="91">
        <f>+AR54</f>
        <v>29236</v>
      </c>
      <c r="K35" s="5"/>
      <c r="L35" s="300">
        <f>+AR62</f>
        <v>28880</v>
      </c>
      <c r="M35" s="5"/>
      <c r="N35" s="91">
        <f>+AR78</f>
        <v>23750</v>
      </c>
      <c r="O35" s="5"/>
      <c r="P35" s="91">
        <f>+AR87</f>
        <v>28000</v>
      </c>
      <c r="Q35" s="5"/>
      <c r="R35" s="91">
        <f>+AR93</f>
        <v>5050</v>
      </c>
      <c r="S35" s="5"/>
      <c r="T35" s="91">
        <f>+AW13</f>
        <v>16350</v>
      </c>
      <c r="U35" s="5"/>
      <c r="V35" s="91">
        <f>+AW24</f>
        <v>21640</v>
      </c>
      <c r="W35" s="5"/>
      <c r="X35" s="91">
        <f>+AW35</f>
        <v>19370</v>
      </c>
      <c r="Y35" s="5"/>
      <c r="Z35" s="315">
        <f>+AW46</f>
        <v>10850</v>
      </c>
      <c r="AA35" s="5"/>
      <c r="AB35" s="91">
        <f>+BB13</f>
        <v>14850</v>
      </c>
      <c r="AC35" s="292" t="s">
        <v>754</v>
      </c>
      <c r="AD35" s="91">
        <f>+BB23</f>
        <v>15100</v>
      </c>
      <c r="AE35" s="292" t="s">
        <v>754</v>
      </c>
      <c r="AF35" s="91">
        <f>+BB31</f>
        <v>17500</v>
      </c>
      <c r="AG35" s="292" t="s">
        <v>754</v>
      </c>
      <c r="AH35" s="91">
        <f>+BB39</f>
        <v>19300</v>
      </c>
      <c r="AI35" s="292" t="s">
        <v>754</v>
      </c>
      <c r="AJ35" s="91">
        <f>+BB47</f>
        <v>10200</v>
      </c>
      <c r="AK35" s="292" t="s">
        <v>754</v>
      </c>
      <c r="AL35" s="91"/>
      <c r="AM35" s="5"/>
      <c r="AO35" s="24">
        <v>7</v>
      </c>
      <c r="AP35" s="18" t="s">
        <v>288</v>
      </c>
      <c r="AQ35" s="48">
        <v>44997</v>
      </c>
      <c r="AR35" s="81">
        <v>2500</v>
      </c>
      <c r="AT35" s="100">
        <v>45231</v>
      </c>
      <c r="AU35" s="70"/>
      <c r="AV35" s="70"/>
      <c r="AW35" s="71">
        <f>SUM(AW26:AW33)</f>
        <v>19370</v>
      </c>
      <c r="AY35" s="24">
        <v>3</v>
      </c>
      <c r="AZ35" s="18" t="s">
        <v>89</v>
      </c>
      <c r="BA35" s="48">
        <v>45387</v>
      </c>
      <c r="BB35" s="291">
        <v>5000</v>
      </c>
    </row>
    <row r="36" spans="2:54" x14ac:dyDescent="0.3">
      <c r="B36" s="3"/>
      <c r="C36" s="80"/>
      <c r="D36" s="39"/>
      <c r="E36" s="2"/>
      <c r="F36" s="42"/>
      <c r="G36" s="2"/>
      <c r="H36" s="42"/>
      <c r="I36" s="2"/>
      <c r="J36" s="42"/>
      <c r="K36" s="2"/>
      <c r="L36" s="295"/>
      <c r="M36" s="2"/>
      <c r="N36" s="42"/>
      <c r="O36" s="2"/>
      <c r="P36" s="42"/>
      <c r="Q36" s="2"/>
      <c r="R36" s="42"/>
      <c r="S36" s="2"/>
      <c r="T36" s="42"/>
      <c r="U36" s="2"/>
      <c r="V36" s="42"/>
      <c r="W36" s="2"/>
      <c r="X36" s="42"/>
      <c r="Y36" s="2"/>
      <c r="Z36" s="310"/>
      <c r="AA36" s="2"/>
      <c r="AB36" s="42"/>
      <c r="AC36" s="2"/>
      <c r="AD36" s="42"/>
      <c r="AE36" s="2"/>
      <c r="AF36" s="42"/>
      <c r="AG36" s="2"/>
      <c r="AH36" s="42"/>
      <c r="AI36" s="2"/>
      <c r="AJ36" s="42"/>
      <c r="AK36" s="2"/>
      <c r="AL36" s="42"/>
      <c r="AM36" s="2"/>
      <c r="AO36" s="24">
        <v>8</v>
      </c>
      <c r="AP36" s="18" t="s">
        <v>289</v>
      </c>
      <c r="AQ36" s="48">
        <v>45000</v>
      </c>
      <c r="AR36" s="81">
        <v>3400</v>
      </c>
      <c r="AY36" s="24">
        <v>4</v>
      </c>
      <c r="AZ36" s="18" t="s">
        <v>115</v>
      </c>
      <c r="BA36" s="48"/>
      <c r="BB36" s="81"/>
    </row>
    <row r="37" spans="2:54" ht="15" thickBot="1" x14ac:dyDescent="0.35">
      <c r="B37" s="44"/>
      <c r="C37" s="118"/>
      <c r="D37" s="236">
        <f>SUM(D35:D36)</f>
        <v>20000</v>
      </c>
      <c r="E37" s="45"/>
      <c r="F37" s="235">
        <f>SUM(F35:F36)</f>
        <v>16900</v>
      </c>
      <c r="G37" s="45"/>
      <c r="H37" s="235">
        <f>SUM(H35:H36)</f>
        <v>23700</v>
      </c>
      <c r="I37" s="45"/>
      <c r="J37" s="235">
        <f>SUM(J35:J36)</f>
        <v>29236</v>
      </c>
      <c r="K37" s="45"/>
      <c r="L37" s="297">
        <f>SUM(L35:L36)</f>
        <v>28880</v>
      </c>
      <c r="M37" s="45"/>
      <c r="N37" s="235">
        <f>SUM(N35:N36)</f>
        <v>23750</v>
      </c>
      <c r="O37" s="45"/>
      <c r="P37" s="235">
        <f>SUM(P35:P36)</f>
        <v>28000</v>
      </c>
      <c r="Q37" s="269"/>
      <c r="R37" s="235">
        <f>SUM(R35:R36)</f>
        <v>5050</v>
      </c>
      <c r="S37" s="269"/>
      <c r="T37" s="235">
        <f>SUM(T35:T36)</f>
        <v>16350</v>
      </c>
      <c r="U37" s="269"/>
      <c r="V37" s="235">
        <f>SUM(V35:V36)</f>
        <v>21640</v>
      </c>
      <c r="W37" s="269"/>
      <c r="X37" s="235">
        <f>SUM(X35:X36)</f>
        <v>19370</v>
      </c>
      <c r="Y37" s="269"/>
      <c r="Z37" s="312">
        <f>SUM(Z35:Z36)</f>
        <v>10850</v>
      </c>
      <c r="AA37" s="269"/>
      <c r="AB37" s="235">
        <f>SUM(AB35:AB36)</f>
        <v>14850</v>
      </c>
      <c r="AC37" s="269"/>
      <c r="AD37" s="235">
        <f>+BB23</f>
        <v>15100</v>
      </c>
      <c r="AE37" s="269"/>
      <c r="AF37" s="235">
        <f>SUM(AF35:AF36)</f>
        <v>17500</v>
      </c>
      <c r="AG37" s="269"/>
      <c r="AH37" s="235">
        <f>SUM(AH35:AH36)</f>
        <v>19300</v>
      </c>
      <c r="AI37" s="269"/>
      <c r="AJ37" s="235">
        <f>SUM(AJ35:AJ36)</f>
        <v>10200</v>
      </c>
      <c r="AK37" s="269"/>
      <c r="AL37" s="235">
        <f>SUM(AL35:AL36)</f>
        <v>0</v>
      </c>
      <c r="AM37" s="269"/>
      <c r="AO37" s="24">
        <v>9</v>
      </c>
      <c r="AP37" s="18" t="s">
        <v>89</v>
      </c>
      <c r="AQ37" s="48">
        <v>45007</v>
      </c>
      <c r="AR37" s="81">
        <v>5000</v>
      </c>
      <c r="AT37" s="24">
        <v>1</v>
      </c>
      <c r="AU37" s="18" t="s">
        <v>44</v>
      </c>
      <c r="AV37" s="48">
        <v>45274</v>
      </c>
      <c r="AW37" s="81">
        <v>2500</v>
      </c>
      <c r="AY37" s="24">
        <v>5</v>
      </c>
      <c r="AZ37" s="18" t="s">
        <v>955</v>
      </c>
      <c r="BA37" s="48">
        <v>45406</v>
      </c>
      <c r="BB37" s="81">
        <v>2500</v>
      </c>
    </row>
    <row r="38" spans="2:54" ht="15" thickTop="1" x14ac:dyDescent="0.3">
      <c r="B38" s="3" t="s">
        <v>33</v>
      </c>
      <c r="C38" s="117" t="s">
        <v>34</v>
      </c>
      <c r="D38" s="39">
        <v>92067</v>
      </c>
      <c r="E38" s="38">
        <v>44951</v>
      </c>
      <c r="F38" s="42">
        <v>83294</v>
      </c>
      <c r="G38" s="38">
        <v>44980</v>
      </c>
      <c r="H38" s="42">
        <v>141350</v>
      </c>
      <c r="I38" s="38">
        <v>45012</v>
      </c>
      <c r="J38" s="42">
        <v>190119</v>
      </c>
      <c r="K38" s="38">
        <v>45035</v>
      </c>
      <c r="L38" s="295">
        <v>182570</v>
      </c>
      <c r="M38" s="38">
        <v>45071</v>
      </c>
      <c r="N38" s="42">
        <v>178310</v>
      </c>
      <c r="O38" s="38">
        <v>45103</v>
      </c>
      <c r="P38" s="42">
        <v>175868</v>
      </c>
      <c r="Q38" s="38">
        <v>45125</v>
      </c>
      <c r="R38" s="42">
        <v>245330</v>
      </c>
      <c r="S38" s="38">
        <v>45163</v>
      </c>
      <c r="T38" s="42">
        <v>196511</v>
      </c>
      <c r="U38" s="38">
        <v>45194</v>
      </c>
      <c r="V38" s="42">
        <v>226152</v>
      </c>
      <c r="W38" s="38">
        <v>45225</v>
      </c>
      <c r="X38" s="42">
        <v>220934</v>
      </c>
      <c r="Y38" s="38">
        <v>45257</v>
      </c>
      <c r="Z38" s="310">
        <v>256531</v>
      </c>
      <c r="AA38" s="38">
        <v>45292</v>
      </c>
      <c r="AB38" s="42">
        <v>199495</v>
      </c>
      <c r="AC38" s="38">
        <v>45321</v>
      </c>
      <c r="AD38" s="42">
        <v>182471</v>
      </c>
      <c r="AE38" s="38">
        <v>45351</v>
      </c>
      <c r="AF38" s="42">
        <v>182901</v>
      </c>
      <c r="AG38" s="38">
        <v>45382</v>
      </c>
      <c r="AH38" s="42"/>
      <c r="AI38" s="38"/>
      <c r="AJ38" s="42"/>
      <c r="AK38" s="38"/>
      <c r="AL38" s="42"/>
      <c r="AM38" s="38"/>
      <c r="AO38" s="24">
        <v>10</v>
      </c>
      <c r="AP38" s="18" t="s">
        <v>290</v>
      </c>
      <c r="AQ38" s="48">
        <v>45012</v>
      </c>
      <c r="AR38" s="81">
        <v>2000</v>
      </c>
      <c r="AT38" s="24">
        <v>2</v>
      </c>
      <c r="AU38" s="18" t="s">
        <v>728</v>
      </c>
      <c r="AV38" s="48">
        <v>45279</v>
      </c>
      <c r="AW38" s="81">
        <v>1500</v>
      </c>
      <c r="AY38" s="24"/>
      <c r="AZ38" s="18"/>
      <c r="BA38" s="48"/>
      <c r="BB38" s="81"/>
    </row>
    <row r="39" spans="2:54" x14ac:dyDescent="0.3">
      <c r="B39" s="3"/>
      <c r="C39" s="117"/>
      <c r="D39" s="3"/>
      <c r="E39" s="2"/>
      <c r="F39" s="4"/>
      <c r="G39" s="2"/>
      <c r="H39" s="4"/>
      <c r="I39" s="2"/>
      <c r="J39" s="4"/>
      <c r="K39" s="2"/>
      <c r="L39" s="301"/>
      <c r="M39" s="2"/>
      <c r="N39" s="4"/>
      <c r="O39" s="2"/>
      <c r="P39" s="4"/>
      <c r="Q39" s="2"/>
      <c r="R39" s="4"/>
      <c r="S39" s="2"/>
      <c r="T39" s="4"/>
      <c r="U39" s="2"/>
      <c r="V39" s="4"/>
      <c r="W39" s="2"/>
      <c r="X39" s="4"/>
      <c r="Y39" s="2"/>
      <c r="Z39" s="316"/>
      <c r="AA39" s="2"/>
      <c r="AB39" s="4"/>
      <c r="AC39" s="2"/>
      <c r="AD39" s="4"/>
      <c r="AE39" s="2"/>
      <c r="AF39" s="4"/>
      <c r="AG39" s="2"/>
      <c r="AH39" s="4"/>
      <c r="AI39" s="2"/>
      <c r="AJ39" s="4"/>
      <c r="AK39" s="2"/>
      <c r="AL39" s="4"/>
      <c r="AM39" s="2"/>
      <c r="AO39" s="100">
        <v>44986</v>
      </c>
      <c r="AP39" s="70"/>
      <c r="AQ39" s="70"/>
      <c r="AR39" s="71">
        <f>SUM(AR29:AR38)</f>
        <v>23700</v>
      </c>
      <c r="AT39" s="24">
        <v>3</v>
      </c>
      <c r="AU39" s="18" t="s">
        <v>729</v>
      </c>
      <c r="AV39" s="48">
        <v>45279</v>
      </c>
      <c r="AW39" s="81">
        <v>100</v>
      </c>
      <c r="AY39" s="100">
        <v>45383</v>
      </c>
      <c r="AZ39" s="70"/>
      <c r="BA39" s="70"/>
      <c r="BB39" s="71">
        <f>SUM(BB33:BB38)</f>
        <v>19300</v>
      </c>
    </row>
    <row r="40" spans="2:54" ht="15" thickBot="1" x14ac:dyDescent="0.35">
      <c r="B40" s="44"/>
      <c r="C40" s="118"/>
      <c r="D40" s="236">
        <f>SUM(D38:D39)</f>
        <v>92067</v>
      </c>
      <c r="E40" s="45"/>
      <c r="F40" s="235">
        <f>SUM(F38:F39)</f>
        <v>83294</v>
      </c>
      <c r="G40" s="45"/>
      <c r="H40" s="235">
        <f>SUM(H38:H39)</f>
        <v>141350</v>
      </c>
      <c r="I40" s="45"/>
      <c r="J40" s="235">
        <f>SUM(J38:J39)</f>
        <v>190119</v>
      </c>
      <c r="K40" s="45"/>
      <c r="L40" s="297">
        <f>SUM(L38:L39)</f>
        <v>182570</v>
      </c>
      <c r="M40" s="45"/>
      <c r="N40" s="235">
        <f>SUM(N38:N39)</f>
        <v>178310</v>
      </c>
      <c r="O40" s="45"/>
      <c r="P40" s="235">
        <f>SUM(P38:P39)</f>
        <v>175868</v>
      </c>
      <c r="Q40" s="269"/>
      <c r="R40" s="235">
        <f>SUM(R38:R39)</f>
        <v>245330</v>
      </c>
      <c r="S40" s="269"/>
      <c r="T40" s="235">
        <f>SUM(T38:T39)</f>
        <v>196511</v>
      </c>
      <c r="U40" s="269"/>
      <c r="V40" s="235">
        <f>SUM(V38:V39)</f>
        <v>226152</v>
      </c>
      <c r="W40" s="269"/>
      <c r="X40" s="235">
        <f>SUM(X38:X39)</f>
        <v>220934</v>
      </c>
      <c r="Y40" s="269"/>
      <c r="Z40" s="312">
        <f>SUM(Z38:Z39)</f>
        <v>256531</v>
      </c>
      <c r="AA40" s="269"/>
      <c r="AB40" s="235">
        <f>SUM(AB38:AB39)</f>
        <v>199495</v>
      </c>
      <c r="AC40" s="269"/>
      <c r="AD40" s="235">
        <f>SUM(AD38:AD39)</f>
        <v>182471</v>
      </c>
      <c r="AE40" s="269"/>
      <c r="AF40" s="235">
        <f>SUM(AF38:AF39)</f>
        <v>182901</v>
      </c>
      <c r="AG40" s="269"/>
      <c r="AH40" s="235">
        <f>SUM(AH38:AH39)</f>
        <v>0</v>
      </c>
      <c r="AI40" s="269"/>
      <c r="AJ40" s="235">
        <f>SUM(AJ38:AJ39)</f>
        <v>0</v>
      </c>
      <c r="AK40" s="269"/>
      <c r="AL40" s="235">
        <f>SUM(AL38:AL39)</f>
        <v>0</v>
      </c>
      <c r="AM40" s="269"/>
      <c r="AT40" s="24">
        <v>4</v>
      </c>
      <c r="AU40" s="18" t="s">
        <v>89</v>
      </c>
      <c r="AV40" s="48">
        <v>45281</v>
      </c>
      <c r="AW40" s="81">
        <v>5000</v>
      </c>
    </row>
    <row r="41" spans="2:54" ht="15" thickTop="1" x14ac:dyDescent="0.3">
      <c r="B41" s="3" t="s">
        <v>143</v>
      </c>
      <c r="C41" s="117" t="s">
        <v>832</v>
      </c>
      <c r="D41" s="39">
        <v>11400</v>
      </c>
      <c r="E41" s="38">
        <v>44947</v>
      </c>
      <c r="F41" s="39"/>
      <c r="G41" s="38"/>
      <c r="H41" s="39"/>
      <c r="I41" s="38"/>
      <c r="J41" s="39">
        <v>20400</v>
      </c>
      <c r="K41" s="38">
        <v>45045</v>
      </c>
      <c r="L41" s="286"/>
      <c r="M41" s="38"/>
      <c r="N41" s="39"/>
      <c r="O41" s="38"/>
      <c r="P41" s="39"/>
      <c r="Q41" s="38"/>
      <c r="R41" s="39"/>
      <c r="S41" s="38"/>
      <c r="T41" s="39"/>
      <c r="U41" s="38"/>
      <c r="V41" s="39"/>
      <c r="W41" s="38"/>
      <c r="X41" s="39">
        <v>26240</v>
      </c>
      <c r="Y41" s="38">
        <v>45248</v>
      </c>
      <c r="Z41" s="314"/>
      <c r="AA41" s="38"/>
      <c r="AB41" s="39"/>
      <c r="AC41" s="38"/>
      <c r="AD41" s="39"/>
      <c r="AE41" s="38"/>
      <c r="AF41" s="39">
        <v>700</v>
      </c>
      <c r="AG41" s="38">
        <v>45371</v>
      </c>
      <c r="AH41" s="39">
        <v>1000</v>
      </c>
      <c r="AI41" s="38">
        <v>45406</v>
      </c>
      <c r="AJ41" s="39"/>
      <c r="AK41" s="38"/>
      <c r="AL41" s="39"/>
      <c r="AM41" s="38"/>
      <c r="AO41" s="24">
        <v>1</v>
      </c>
      <c r="AP41" s="18" t="s">
        <v>44</v>
      </c>
      <c r="AQ41" s="48">
        <v>45024</v>
      </c>
      <c r="AR41" s="81">
        <v>2500</v>
      </c>
      <c r="AT41" s="24">
        <v>5</v>
      </c>
      <c r="AU41" s="213" t="s">
        <v>680</v>
      </c>
      <c r="AV41" s="48">
        <v>45283</v>
      </c>
      <c r="AW41" s="203">
        <v>1750</v>
      </c>
      <c r="AY41" s="24">
        <v>1</v>
      </c>
      <c r="AZ41" s="18" t="s">
        <v>952</v>
      </c>
      <c r="BA41" s="48"/>
      <c r="BB41" s="81"/>
    </row>
    <row r="42" spans="2:54" x14ac:dyDescent="0.3">
      <c r="B42" s="3"/>
      <c r="C42" s="117" t="s">
        <v>846</v>
      </c>
      <c r="D42" s="39">
        <v>16230</v>
      </c>
      <c r="E42" s="38">
        <v>44954</v>
      </c>
      <c r="F42" s="39">
        <v>2200</v>
      </c>
      <c r="G42" s="38">
        <v>44971</v>
      </c>
      <c r="H42" s="39"/>
      <c r="I42" s="38"/>
      <c r="J42" s="39"/>
      <c r="K42" s="38"/>
      <c r="L42" s="286"/>
      <c r="M42" s="38"/>
      <c r="N42" s="39"/>
      <c r="O42" s="38"/>
      <c r="P42" s="39"/>
      <c r="Q42" s="38"/>
      <c r="R42" s="39">
        <v>12900</v>
      </c>
      <c r="S42" s="38">
        <v>45157</v>
      </c>
      <c r="T42" s="39"/>
      <c r="U42" s="38"/>
      <c r="V42" s="39"/>
      <c r="W42" s="38"/>
      <c r="X42" s="39"/>
      <c r="Y42" s="38"/>
      <c r="Z42" s="314"/>
      <c r="AA42" s="38"/>
      <c r="AB42" s="39"/>
      <c r="AC42" s="38"/>
      <c r="AD42" s="39"/>
      <c r="AE42" s="38"/>
      <c r="AF42" s="39">
        <v>19200</v>
      </c>
      <c r="AG42" s="38">
        <v>45381</v>
      </c>
      <c r="AH42" s="39"/>
      <c r="AI42" s="38"/>
      <c r="AJ42" s="39"/>
      <c r="AK42" s="38"/>
      <c r="AL42" s="39"/>
      <c r="AM42" s="38"/>
      <c r="AO42" s="24">
        <v>2</v>
      </c>
      <c r="AP42" s="18" t="s">
        <v>385</v>
      </c>
      <c r="AQ42" s="48">
        <v>45027</v>
      </c>
      <c r="AR42" s="81">
        <v>1000</v>
      </c>
      <c r="AT42" s="24">
        <v>6</v>
      </c>
      <c r="AU42" s="18"/>
      <c r="AV42" s="48"/>
      <c r="AW42" s="81"/>
      <c r="AY42" s="24">
        <v>2</v>
      </c>
      <c r="AZ42" s="18" t="s">
        <v>44</v>
      </c>
      <c r="BA42" s="48">
        <v>45414</v>
      </c>
      <c r="BB42" s="81">
        <v>3000</v>
      </c>
    </row>
    <row r="43" spans="2:54" x14ac:dyDescent="0.3">
      <c r="B43" s="3"/>
      <c r="C43" s="117" t="s">
        <v>847</v>
      </c>
      <c r="D43" s="39"/>
      <c r="E43" s="69"/>
      <c r="F43" s="39">
        <v>2200</v>
      </c>
      <c r="G43" s="38">
        <v>44971</v>
      </c>
      <c r="H43" s="39"/>
      <c r="I43" s="131"/>
      <c r="J43" s="39"/>
      <c r="K43" s="131"/>
      <c r="L43" s="299">
        <v>500</v>
      </c>
      <c r="M43" s="38">
        <v>45074</v>
      </c>
      <c r="N43" s="39"/>
      <c r="O43" s="131"/>
      <c r="P43" s="39"/>
      <c r="Q43" s="131"/>
      <c r="R43" s="39">
        <v>6000</v>
      </c>
      <c r="S43" s="38">
        <v>45169</v>
      </c>
      <c r="T43" s="39"/>
      <c r="U43" s="131"/>
      <c r="V43" s="39"/>
      <c r="W43" s="131"/>
      <c r="X43" s="39">
        <f>4000</f>
        <v>4000</v>
      </c>
      <c r="Y43" s="38">
        <v>45259</v>
      </c>
      <c r="Z43" s="314">
        <v>3460</v>
      </c>
      <c r="AA43" s="38">
        <v>45267</v>
      </c>
      <c r="AB43" s="39"/>
      <c r="AC43" s="38"/>
      <c r="AD43" s="39"/>
      <c r="AE43" s="38"/>
      <c r="AF43" s="39">
        <v>2000</v>
      </c>
      <c r="AG43" s="38">
        <v>45382</v>
      </c>
      <c r="AH43" s="39"/>
      <c r="AI43" s="38"/>
      <c r="AJ43" s="39"/>
      <c r="AK43" s="38"/>
      <c r="AL43" s="39"/>
      <c r="AM43" s="38"/>
      <c r="AO43" s="24">
        <v>3</v>
      </c>
      <c r="AP43" s="18" t="s">
        <v>89</v>
      </c>
      <c r="AQ43" s="48">
        <v>45027</v>
      </c>
      <c r="AR43" s="81">
        <v>1000</v>
      </c>
      <c r="AT43" s="24">
        <v>7</v>
      </c>
      <c r="AU43" s="18"/>
      <c r="AV43" s="48"/>
      <c r="AW43" s="81"/>
      <c r="AY43" s="24">
        <v>3</v>
      </c>
      <c r="AZ43" s="18" t="s">
        <v>89</v>
      </c>
      <c r="BA43" s="48">
        <v>45414</v>
      </c>
      <c r="BB43" s="291">
        <v>6500</v>
      </c>
    </row>
    <row r="44" spans="2:54" x14ac:dyDescent="0.3">
      <c r="B44" s="3"/>
      <c r="C44" s="293" t="s">
        <v>959</v>
      </c>
      <c r="D44" s="39"/>
      <c r="E44" s="38"/>
      <c r="F44" s="42"/>
      <c r="G44" s="38"/>
      <c r="H44" s="42"/>
      <c r="I44" s="38"/>
      <c r="J44" s="204">
        <v>7900</v>
      </c>
      <c r="K44" s="38">
        <v>45039</v>
      </c>
      <c r="L44" s="299"/>
      <c r="M44" s="38"/>
      <c r="N44" s="204"/>
      <c r="O44" s="38"/>
      <c r="P44" s="204"/>
      <c r="Q44" s="38"/>
      <c r="R44" s="204"/>
      <c r="S44" s="38"/>
      <c r="T44" s="204">
        <v>3800</v>
      </c>
      <c r="U44" s="38">
        <v>45187</v>
      </c>
      <c r="V44" s="204"/>
      <c r="W44" s="38"/>
      <c r="X44" s="204"/>
      <c r="Y44" s="38"/>
      <c r="Z44" s="317"/>
      <c r="AA44" s="38"/>
      <c r="AB44" s="204"/>
      <c r="AC44" s="38"/>
      <c r="AD44" s="204"/>
      <c r="AE44" s="38"/>
      <c r="AF44" s="204"/>
      <c r="AG44" s="38"/>
      <c r="AH44" s="204"/>
      <c r="AI44" s="38"/>
      <c r="AJ44" s="125">
        <v>2500</v>
      </c>
      <c r="AK44" s="38">
        <v>45430</v>
      </c>
      <c r="AL44" s="204"/>
      <c r="AM44" s="38"/>
      <c r="AO44" s="24">
        <v>4</v>
      </c>
      <c r="AP44" s="18" t="s">
        <v>391</v>
      </c>
      <c r="AQ44" s="48">
        <v>45029</v>
      </c>
      <c r="AR44" s="205">
        <v>3346</v>
      </c>
      <c r="AT44" s="24">
        <v>8</v>
      </c>
      <c r="AU44" s="18"/>
      <c r="AV44" s="48"/>
      <c r="AW44" s="81"/>
      <c r="AY44" s="24">
        <v>4</v>
      </c>
      <c r="AZ44" s="18" t="s">
        <v>115</v>
      </c>
      <c r="BA44" s="48"/>
      <c r="BB44" s="81"/>
    </row>
    <row r="45" spans="2:54" x14ac:dyDescent="0.3">
      <c r="B45" s="3"/>
      <c r="C45" s="117" t="s">
        <v>960</v>
      </c>
      <c r="D45" s="39"/>
      <c r="E45" s="38"/>
      <c r="F45" s="42"/>
      <c r="G45" s="38"/>
      <c r="H45" s="42"/>
      <c r="I45" s="38"/>
      <c r="J45" s="42"/>
      <c r="K45" s="38"/>
      <c r="L45" s="295"/>
      <c r="M45" s="38"/>
      <c r="N45" s="42"/>
      <c r="O45" s="38"/>
      <c r="P45" s="42">
        <f>3600+10530</f>
        <v>14130</v>
      </c>
      <c r="Q45" s="38">
        <v>45112</v>
      </c>
      <c r="R45" s="42"/>
      <c r="S45" s="38"/>
      <c r="T45" s="42"/>
      <c r="U45" s="38"/>
      <c r="V45" s="42"/>
      <c r="W45" s="38"/>
      <c r="X45" s="42"/>
      <c r="Y45" s="38"/>
      <c r="Z45" s="310"/>
      <c r="AA45" s="38"/>
      <c r="AB45" s="42"/>
      <c r="AC45" s="38"/>
      <c r="AD45" s="42"/>
      <c r="AE45" s="38"/>
      <c r="AF45" s="42"/>
      <c r="AG45" s="38"/>
      <c r="AH45" s="42"/>
      <c r="AI45" s="38"/>
      <c r="AJ45" s="42">
        <v>5000</v>
      </c>
      <c r="AK45" s="38">
        <v>45437</v>
      </c>
      <c r="AL45" s="42"/>
      <c r="AM45" s="38"/>
      <c r="AO45" s="24">
        <v>5</v>
      </c>
      <c r="AP45" s="18" t="s">
        <v>388</v>
      </c>
      <c r="AQ45" s="48">
        <v>45029</v>
      </c>
      <c r="AR45" s="205">
        <v>180</v>
      </c>
      <c r="AT45" s="24">
        <v>9</v>
      </c>
      <c r="AU45" s="18"/>
      <c r="AV45" s="48"/>
      <c r="AW45" s="81"/>
      <c r="AY45" s="24">
        <v>5</v>
      </c>
      <c r="AZ45" s="18" t="s">
        <v>958</v>
      </c>
      <c r="BA45" s="48">
        <v>45414</v>
      </c>
      <c r="BB45" s="81">
        <v>700</v>
      </c>
    </row>
    <row r="46" spans="2:54" x14ac:dyDescent="0.3">
      <c r="B46" s="78"/>
      <c r="C46" s="117"/>
      <c r="D46" s="169"/>
      <c r="E46" s="138"/>
      <c r="F46" s="79"/>
      <c r="G46" s="138"/>
      <c r="H46" s="79"/>
      <c r="I46" s="138"/>
      <c r="J46" s="79"/>
      <c r="K46" s="138"/>
      <c r="L46" s="302"/>
      <c r="M46" s="138"/>
      <c r="N46" s="79"/>
      <c r="O46" s="138"/>
      <c r="P46" s="79"/>
      <c r="Q46" s="138"/>
      <c r="R46" s="79"/>
      <c r="S46" s="138"/>
      <c r="T46" s="79"/>
      <c r="U46" s="138"/>
      <c r="V46" s="79">
        <v>2000</v>
      </c>
      <c r="W46" s="38">
        <v>45201</v>
      </c>
      <c r="X46" s="79"/>
      <c r="Y46" s="138"/>
      <c r="Z46" s="318"/>
      <c r="AA46" s="138"/>
      <c r="AB46" s="79"/>
      <c r="AC46" s="138"/>
      <c r="AD46" s="79"/>
      <c r="AE46" s="138"/>
      <c r="AF46" s="79"/>
      <c r="AG46" s="138"/>
      <c r="AH46" s="79"/>
      <c r="AI46" s="138"/>
      <c r="AJ46" s="79"/>
      <c r="AK46" s="138"/>
      <c r="AL46" s="79"/>
      <c r="AM46" s="138"/>
      <c r="AO46" s="24">
        <v>6</v>
      </c>
      <c r="AP46" s="18" t="s">
        <v>72</v>
      </c>
      <c r="AQ46" s="48">
        <v>45035</v>
      </c>
      <c r="AR46" s="81">
        <v>2000</v>
      </c>
      <c r="AT46" s="100">
        <v>45261</v>
      </c>
      <c r="AU46" s="70"/>
      <c r="AV46" s="70"/>
      <c r="AW46" s="71">
        <f>SUM(AW37:AW44)</f>
        <v>10850</v>
      </c>
      <c r="AY46" s="24">
        <v>6</v>
      </c>
      <c r="AZ46" s="18"/>
      <c r="BA46" s="48"/>
      <c r="BB46" s="81"/>
    </row>
    <row r="47" spans="2:54" ht="15" thickBot="1" x14ac:dyDescent="0.35">
      <c r="B47" s="44"/>
      <c r="C47" s="118"/>
      <c r="D47" s="236">
        <f>SUM(D41:D46)</f>
        <v>27630</v>
      </c>
      <c r="E47" s="45"/>
      <c r="F47" s="235">
        <f>SUM(F41:F46)</f>
        <v>4400</v>
      </c>
      <c r="G47" s="45"/>
      <c r="H47" s="235">
        <f>SUM(H41:H46)</f>
        <v>0</v>
      </c>
      <c r="I47" s="45"/>
      <c r="J47" s="235">
        <f>SUM(J41:J46)</f>
        <v>28300</v>
      </c>
      <c r="K47" s="45"/>
      <c r="L47" s="297">
        <f>SUM(L41:L46)</f>
        <v>500</v>
      </c>
      <c r="M47" s="45"/>
      <c r="N47" s="235">
        <f>SUM(N41:N46)</f>
        <v>0</v>
      </c>
      <c r="O47" s="45"/>
      <c r="P47" s="235">
        <f>SUM(P41:P46)</f>
        <v>14130</v>
      </c>
      <c r="Q47" s="269"/>
      <c r="R47" s="235">
        <f>SUM(R41:R46)</f>
        <v>18900</v>
      </c>
      <c r="S47" s="269"/>
      <c r="T47" s="235">
        <f>SUM(T41:T46)</f>
        <v>3800</v>
      </c>
      <c r="U47" s="269"/>
      <c r="V47" s="235">
        <f>SUM(V41:V46)</f>
        <v>2000</v>
      </c>
      <c r="W47" s="269"/>
      <c r="X47" s="235">
        <f>SUM(X41:X46)</f>
        <v>30240</v>
      </c>
      <c r="Y47" s="269"/>
      <c r="Z47" s="312">
        <f>SUM(Z41:Z46)</f>
        <v>3460</v>
      </c>
      <c r="AA47" s="269"/>
      <c r="AB47" s="235">
        <f>SUM(AB41:AB46)</f>
        <v>0</v>
      </c>
      <c r="AC47" s="269"/>
      <c r="AD47" s="235">
        <f>SUM(AD41:AD46)</f>
        <v>0</v>
      </c>
      <c r="AE47" s="269"/>
      <c r="AF47" s="235">
        <f>SUM(AF41:AF46)</f>
        <v>21900</v>
      </c>
      <c r="AG47" s="269"/>
      <c r="AH47" s="235">
        <f>SUM(AH41:AH46)</f>
        <v>1000</v>
      </c>
      <c r="AI47" s="269"/>
      <c r="AJ47" s="235">
        <f>SUM(AJ41:AJ46)</f>
        <v>7500</v>
      </c>
      <c r="AK47" s="269"/>
      <c r="AL47" s="235">
        <f>SUM(AL41:AL46)</f>
        <v>0</v>
      </c>
      <c r="AM47" s="269"/>
      <c r="AO47" s="24">
        <v>7</v>
      </c>
      <c r="AP47" s="18" t="s">
        <v>115</v>
      </c>
      <c r="AQ47" s="48">
        <v>45035</v>
      </c>
      <c r="AR47" s="81">
        <v>2500</v>
      </c>
      <c r="AY47" s="100">
        <v>45383</v>
      </c>
      <c r="AZ47" s="70"/>
      <c r="BA47" s="70"/>
      <c r="BB47" s="71">
        <f>SUM(BB41:BB46)</f>
        <v>10200</v>
      </c>
    </row>
    <row r="48" spans="2:54" ht="15" thickTop="1" x14ac:dyDescent="0.3">
      <c r="B48" s="3" t="s">
        <v>83</v>
      </c>
      <c r="C48" s="117" t="s">
        <v>75</v>
      </c>
      <c r="D48" s="136"/>
      <c r="E48" s="2"/>
      <c r="F48" s="136">
        <v>25800</v>
      </c>
      <c r="G48" s="38">
        <v>44966</v>
      </c>
      <c r="H48" s="136"/>
      <c r="I48" s="38"/>
      <c r="J48" s="136"/>
      <c r="K48" s="38"/>
      <c r="L48" s="303"/>
      <c r="M48" s="38"/>
      <c r="N48" s="136"/>
      <c r="O48" s="38"/>
      <c r="P48" s="136"/>
      <c r="Q48" s="38"/>
      <c r="R48" s="136"/>
      <c r="S48" s="38"/>
      <c r="T48" s="136"/>
      <c r="U48" s="38"/>
      <c r="V48" s="136"/>
      <c r="W48" s="38"/>
      <c r="X48" s="136"/>
      <c r="Y48" s="38"/>
      <c r="Z48" s="319"/>
      <c r="AA48" s="38"/>
      <c r="AB48" s="136"/>
      <c r="AC48" s="38"/>
      <c r="AD48" s="136"/>
      <c r="AE48" s="38"/>
      <c r="AF48" s="136"/>
      <c r="AG48" s="38"/>
      <c r="AH48" s="136"/>
      <c r="AI48" s="38"/>
      <c r="AJ48" s="136"/>
      <c r="AK48" s="38"/>
      <c r="AL48" s="136"/>
      <c r="AM48" s="38"/>
      <c r="AO48" s="24">
        <v>8</v>
      </c>
      <c r="AP48" s="18" t="s">
        <v>386</v>
      </c>
      <c r="AQ48" s="48">
        <v>45035</v>
      </c>
      <c r="AR48" s="203">
        <v>5330</v>
      </c>
    </row>
    <row r="49" spans="2:44" x14ac:dyDescent="0.3">
      <c r="B49" s="3"/>
      <c r="C49" s="117" t="s">
        <v>76</v>
      </c>
      <c r="D49" s="136">
        <v>5000</v>
      </c>
      <c r="E49" s="38">
        <v>44945</v>
      </c>
      <c r="F49" s="136">
        <f>5000+5000+5000</f>
        <v>15000</v>
      </c>
      <c r="G49" s="38">
        <v>44980</v>
      </c>
      <c r="H49" s="136">
        <v>5000</v>
      </c>
      <c r="I49" s="38">
        <v>44998</v>
      </c>
      <c r="J49" s="136">
        <v>5000</v>
      </c>
      <c r="K49" s="38">
        <v>45035</v>
      </c>
      <c r="L49" s="303">
        <v>5000</v>
      </c>
      <c r="M49" s="38">
        <v>45061</v>
      </c>
      <c r="N49" s="136">
        <v>5000</v>
      </c>
      <c r="O49" s="38">
        <v>45083</v>
      </c>
      <c r="P49" s="136">
        <v>5000</v>
      </c>
      <c r="Q49" s="38">
        <v>45123</v>
      </c>
      <c r="R49" s="136">
        <v>5000</v>
      </c>
      <c r="S49" s="38">
        <v>45140</v>
      </c>
      <c r="T49" s="136">
        <v>5000</v>
      </c>
      <c r="U49" s="38">
        <v>45177</v>
      </c>
      <c r="V49" s="136">
        <v>5000</v>
      </c>
      <c r="W49" s="38">
        <v>45201</v>
      </c>
      <c r="X49" s="136">
        <v>5000</v>
      </c>
      <c r="Y49" s="38">
        <v>45234</v>
      </c>
      <c r="Z49" s="319">
        <v>5000</v>
      </c>
      <c r="AA49" s="38">
        <v>45265</v>
      </c>
      <c r="AB49" s="136">
        <v>5000</v>
      </c>
      <c r="AC49" s="38">
        <v>45304</v>
      </c>
      <c r="AD49" s="136">
        <v>5000</v>
      </c>
      <c r="AE49" s="38">
        <v>45330</v>
      </c>
      <c r="AF49" s="136">
        <v>5000</v>
      </c>
      <c r="AG49" s="38">
        <v>45362</v>
      </c>
      <c r="AH49" s="136"/>
      <c r="AI49" s="38"/>
      <c r="AJ49" s="136">
        <v>5000</v>
      </c>
      <c r="AK49" s="38">
        <v>45437</v>
      </c>
      <c r="AL49" s="136"/>
      <c r="AM49" s="38"/>
      <c r="AO49" s="24">
        <v>9</v>
      </c>
      <c r="AP49" s="213" t="s">
        <v>387</v>
      </c>
      <c r="AQ49" s="48">
        <v>45035</v>
      </c>
      <c r="AR49" s="203">
        <v>300</v>
      </c>
    </row>
    <row r="50" spans="2:44" x14ac:dyDescent="0.3">
      <c r="B50" s="3"/>
      <c r="C50" s="117" t="s">
        <v>76</v>
      </c>
      <c r="D50" s="136">
        <f>5000+5000+5000</f>
        <v>15000</v>
      </c>
      <c r="E50" s="38">
        <v>44948</v>
      </c>
      <c r="F50" s="136">
        <v>5000</v>
      </c>
      <c r="G50" s="38">
        <v>44981</v>
      </c>
      <c r="H50" s="136"/>
      <c r="I50" s="38"/>
      <c r="J50" s="136">
        <v>5000</v>
      </c>
      <c r="K50" s="38">
        <v>45038</v>
      </c>
      <c r="L50" s="303">
        <v>5000</v>
      </c>
      <c r="M50" s="38">
        <v>45063</v>
      </c>
      <c r="N50" s="136">
        <f>5000+5000</f>
        <v>10000</v>
      </c>
      <c r="O50" s="38">
        <v>45087</v>
      </c>
      <c r="P50" s="136">
        <v>5000</v>
      </c>
      <c r="Q50" s="38">
        <v>45133</v>
      </c>
      <c r="R50" s="136">
        <v>5000</v>
      </c>
      <c r="S50" s="38">
        <v>45148</v>
      </c>
      <c r="T50" s="136">
        <v>5000</v>
      </c>
      <c r="U50" s="38">
        <v>45182</v>
      </c>
      <c r="V50" s="136">
        <v>5000</v>
      </c>
      <c r="W50" s="38">
        <v>45203</v>
      </c>
      <c r="X50" s="136">
        <f>5000+5000</f>
        <v>10000</v>
      </c>
      <c r="Y50" s="38">
        <v>45236</v>
      </c>
      <c r="Z50" s="319">
        <v>5000</v>
      </c>
      <c r="AA50" s="38">
        <v>45266</v>
      </c>
      <c r="AB50" s="136">
        <f>5000+5000</f>
        <v>10000</v>
      </c>
      <c r="AC50" s="38">
        <v>45306</v>
      </c>
      <c r="AD50" s="136"/>
      <c r="AE50" s="38"/>
      <c r="AF50" s="136">
        <v>5000</v>
      </c>
      <c r="AG50" s="38">
        <v>45376</v>
      </c>
      <c r="AH50" s="136"/>
      <c r="AI50" s="38"/>
      <c r="AJ50" s="136">
        <v>5000</v>
      </c>
      <c r="AK50" s="38">
        <v>45437</v>
      </c>
      <c r="AL50" s="136"/>
      <c r="AM50" s="38"/>
      <c r="AO50" s="24">
        <v>10</v>
      </c>
      <c r="AP50" s="18" t="s">
        <v>89</v>
      </c>
      <c r="AQ50" s="48">
        <v>45035</v>
      </c>
      <c r="AR50" s="81">
        <v>4000</v>
      </c>
    </row>
    <row r="51" spans="2:44" x14ac:dyDescent="0.3">
      <c r="B51" s="3"/>
      <c r="C51" s="117" t="s">
        <v>76</v>
      </c>
      <c r="D51" s="136">
        <f>5000+5000+5000</f>
        <v>15000</v>
      </c>
      <c r="E51" s="38">
        <v>44951</v>
      </c>
      <c r="F51" s="136">
        <v>5000</v>
      </c>
      <c r="G51" s="38">
        <v>44983</v>
      </c>
      <c r="H51" s="136"/>
      <c r="I51" s="38"/>
      <c r="J51" s="136">
        <v>5000</v>
      </c>
      <c r="K51" s="38">
        <v>45045</v>
      </c>
      <c r="L51" s="303">
        <v>5000</v>
      </c>
      <c r="M51" s="38">
        <v>45066</v>
      </c>
      <c r="N51" s="136">
        <v>5000</v>
      </c>
      <c r="O51" s="38">
        <v>45088</v>
      </c>
      <c r="P51" s="136"/>
      <c r="Q51" s="38"/>
      <c r="R51" s="136">
        <f>5000+5000</f>
        <v>10000</v>
      </c>
      <c r="S51" s="38">
        <v>45158</v>
      </c>
      <c r="T51" s="136">
        <v>5000</v>
      </c>
      <c r="U51" s="38">
        <v>45184</v>
      </c>
      <c r="V51" s="136">
        <f>5000+5000+5000</f>
        <v>15000</v>
      </c>
      <c r="W51" s="38">
        <v>45211</v>
      </c>
      <c r="X51" s="136">
        <v>5000</v>
      </c>
      <c r="Y51" s="38">
        <v>45240</v>
      </c>
      <c r="Z51" s="319">
        <v>5000</v>
      </c>
      <c r="AA51" s="38">
        <v>45266</v>
      </c>
      <c r="AB51" s="136">
        <v>5000</v>
      </c>
      <c r="AC51" s="38">
        <v>45318</v>
      </c>
      <c r="AD51" s="136"/>
      <c r="AE51" s="38"/>
      <c r="AF51" s="136"/>
      <c r="AG51" s="38"/>
      <c r="AH51" s="136"/>
      <c r="AI51" s="38"/>
      <c r="AJ51" s="136"/>
      <c r="AK51" s="38"/>
      <c r="AL51" s="136"/>
      <c r="AM51" s="38"/>
      <c r="AO51" s="24">
        <v>11</v>
      </c>
      <c r="AP51" s="18" t="s">
        <v>390</v>
      </c>
      <c r="AQ51" s="48">
        <v>45035</v>
      </c>
      <c r="AR51" s="205">
        <v>580</v>
      </c>
    </row>
    <row r="52" spans="2:44" x14ac:dyDescent="0.3">
      <c r="B52" s="3"/>
      <c r="C52" s="117" t="s">
        <v>76</v>
      </c>
      <c r="D52" s="136">
        <f>5000+5000</f>
        <v>10000</v>
      </c>
      <c r="E52" s="38">
        <v>44951</v>
      </c>
      <c r="F52" s="136"/>
      <c r="G52" s="38"/>
      <c r="H52" s="136"/>
      <c r="I52" s="38"/>
      <c r="J52" s="136"/>
      <c r="K52" s="38"/>
      <c r="L52" s="303">
        <v>5000</v>
      </c>
      <c r="M52" s="38">
        <v>45071</v>
      </c>
      <c r="N52" s="136">
        <v>5000</v>
      </c>
      <c r="O52" s="38">
        <v>45091</v>
      </c>
      <c r="P52" s="136"/>
      <c r="Q52" s="38"/>
      <c r="R52" s="136"/>
      <c r="S52" s="38"/>
      <c r="T52" s="136">
        <f>5000+5000</f>
        <v>10000</v>
      </c>
      <c r="U52" s="38">
        <v>45186</v>
      </c>
      <c r="V52" s="136">
        <f>5000+5000</f>
        <v>10000</v>
      </c>
      <c r="W52" s="38">
        <v>45213</v>
      </c>
      <c r="X52" s="136"/>
      <c r="Y52" s="38"/>
      <c r="Z52" s="319">
        <v>5000</v>
      </c>
      <c r="AA52" s="38">
        <v>45275</v>
      </c>
      <c r="AB52" s="136">
        <v>5000</v>
      </c>
      <c r="AC52" s="38">
        <v>45322</v>
      </c>
      <c r="AD52" s="136"/>
      <c r="AE52" s="38"/>
      <c r="AF52" s="136"/>
      <c r="AG52" s="38"/>
      <c r="AH52" s="136"/>
      <c r="AI52" s="38"/>
      <c r="AJ52" s="136"/>
      <c r="AK52" s="38"/>
      <c r="AL52" s="136"/>
      <c r="AM52" s="38"/>
      <c r="AO52" s="24">
        <v>12</v>
      </c>
      <c r="AP52" s="18" t="s">
        <v>413</v>
      </c>
      <c r="AQ52" s="48">
        <v>45046</v>
      </c>
      <c r="AR52" s="81">
        <v>1000</v>
      </c>
    </row>
    <row r="53" spans="2:44" x14ac:dyDescent="0.3">
      <c r="B53" s="3"/>
      <c r="C53" s="117" t="s">
        <v>76</v>
      </c>
      <c r="D53" s="136">
        <v>5000</v>
      </c>
      <c r="E53" s="38">
        <v>44955</v>
      </c>
      <c r="F53" s="136"/>
      <c r="G53" s="38"/>
      <c r="H53" s="136"/>
      <c r="I53" s="38"/>
      <c r="J53" s="136"/>
      <c r="K53" s="38"/>
      <c r="L53" s="303">
        <v>10000</v>
      </c>
      <c r="M53" s="38">
        <v>45075</v>
      </c>
      <c r="N53" s="136">
        <v>5000</v>
      </c>
      <c r="O53" s="38">
        <v>45093</v>
      </c>
      <c r="P53" s="136"/>
      <c r="Q53" s="38"/>
      <c r="R53" s="136"/>
      <c r="S53" s="38"/>
      <c r="T53" s="136">
        <v>5500</v>
      </c>
      <c r="U53" s="38">
        <v>45187</v>
      </c>
      <c r="V53" s="136">
        <f>15000</f>
        <v>15000</v>
      </c>
      <c r="W53" s="38">
        <v>45215</v>
      </c>
      <c r="X53" s="136"/>
      <c r="Y53" s="38"/>
      <c r="Z53" s="319">
        <v>5000</v>
      </c>
      <c r="AA53" s="38">
        <v>45276</v>
      </c>
      <c r="AB53" s="136"/>
      <c r="AC53" s="38"/>
      <c r="AD53" s="136"/>
      <c r="AE53" s="38"/>
      <c r="AF53" s="136"/>
      <c r="AG53" s="38"/>
      <c r="AH53" s="136"/>
      <c r="AI53" s="38"/>
      <c r="AJ53" s="136"/>
      <c r="AK53" s="38"/>
      <c r="AL53" s="136"/>
      <c r="AM53" s="38"/>
      <c r="AO53" s="24">
        <v>13</v>
      </c>
      <c r="AP53" s="213" t="s">
        <v>414</v>
      </c>
      <c r="AQ53" s="48">
        <v>45045</v>
      </c>
      <c r="AR53" s="81">
        <v>5500</v>
      </c>
    </row>
    <row r="54" spans="2:44" x14ac:dyDescent="0.3">
      <c r="B54" s="3"/>
      <c r="C54" s="117" t="s">
        <v>75</v>
      </c>
      <c r="D54" s="136"/>
      <c r="E54" s="38"/>
      <c r="F54" s="136">
        <f>5400+3000</f>
        <v>8400</v>
      </c>
      <c r="G54" s="38">
        <v>44981</v>
      </c>
      <c r="H54" s="136"/>
      <c r="I54" s="38"/>
      <c r="J54" s="136"/>
      <c r="K54" s="38"/>
      <c r="L54" s="303"/>
      <c r="M54" s="38"/>
      <c r="N54" s="136"/>
      <c r="O54" s="38"/>
      <c r="P54" s="136"/>
      <c r="Q54" s="38"/>
      <c r="R54" s="136"/>
      <c r="S54" s="38"/>
      <c r="T54" s="136"/>
      <c r="U54" s="38"/>
      <c r="V54" s="136">
        <v>5000</v>
      </c>
      <c r="W54" s="38">
        <v>45224</v>
      </c>
      <c r="X54" s="136"/>
      <c r="Y54" s="38"/>
      <c r="Z54" s="319">
        <f>5000+5000+2500</f>
        <v>12500</v>
      </c>
      <c r="AA54" s="38">
        <v>45278</v>
      </c>
      <c r="AB54" s="136"/>
      <c r="AC54" s="38"/>
      <c r="AD54" s="136"/>
      <c r="AE54" s="38"/>
      <c r="AF54" s="136"/>
      <c r="AG54" s="38"/>
      <c r="AH54" s="136"/>
      <c r="AI54" s="38"/>
      <c r="AJ54" s="136"/>
      <c r="AK54" s="38"/>
      <c r="AL54" s="136"/>
      <c r="AM54" s="38"/>
      <c r="AO54" s="100">
        <v>45017</v>
      </c>
      <c r="AP54" s="70"/>
      <c r="AQ54" s="70"/>
      <c r="AR54" s="71">
        <f>SUM(AR41:AR53)</f>
        <v>29236</v>
      </c>
    </row>
    <row r="55" spans="2:44" x14ac:dyDescent="0.3">
      <c r="B55" s="3"/>
      <c r="C55" s="117" t="s">
        <v>76</v>
      </c>
      <c r="D55" s="136"/>
      <c r="E55" s="38"/>
      <c r="F55" s="136"/>
      <c r="G55" s="38"/>
      <c r="H55" s="136"/>
      <c r="I55" s="38"/>
      <c r="J55" s="136"/>
      <c r="K55" s="38"/>
      <c r="L55" s="303"/>
      <c r="M55" s="38"/>
      <c r="N55" s="136">
        <f>5000+5000+5000</f>
        <v>15000</v>
      </c>
      <c r="O55" s="38">
        <v>45098</v>
      </c>
      <c r="P55" s="136"/>
      <c r="Q55" s="38"/>
      <c r="R55" s="136"/>
      <c r="S55" s="38"/>
      <c r="T55" s="136"/>
      <c r="U55" s="38"/>
      <c r="V55" s="136"/>
      <c r="W55" s="38"/>
      <c r="X55" s="136"/>
      <c r="Y55" s="38"/>
      <c r="Z55" s="319"/>
      <c r="AA55" s="38"/>
      <c r="AB55" s="136"/>
      <c r="AC55" s="38"/>
      <c r="AD55" s="136"/>
      <c r="AE55" s="38"/>
      <c r="AF55" s="136"/>
      <c r="AG55" s="38"/>
      <c r="AH55" s="136"/>
      <c r="AI55" s="38"/>
      <c r="AJ55" s="136"/>
      <c r="AK55" s="38"/>
      <c r="AL55" s="136"/>
      <c r="AM55" s="38"/>
    </row>
    <row r="56" spans="2:44" x14ac:dyDescent="0.3">
      <c r="B56" s="78"/>
      <c r="C56" s="117" t="s">
        <v>76</v>
      </c>
      <c r="D56" s="136"/>
      <c r="E56" s="38"/>
      <c r="F56" s="136"/>
      <c r="G56" s="38"/>
      <c r="H56" s="136"/>
      <c r="I56" s="38"/>
      <c r="J56" s="136"/>
      <c r="K56" s="38"/>
      <c r="L56" s="303"/>
      <c r="M56" s="38"/>
      <c r="N56" s="136"/>
      <c r="O56" s="38"/>
      <c r="P56" s="136"/>
      <c r="Q56" s="38"/>
      <c r="R56" s="136"/>
      <c r="S56" s="38"/>
      <c r="T56" s="136"/>
      <c r="U56" s="38"/>
      <c r="V56" s="136"/>
      <c r="W56" s="38"/>
      <c r="X56" s="136"/>
      <c r="Y56" s="38"/>
      <c r="Z56" s="319"/>
      <c r="AA56" s="38"/>
      <c r="AB56" s="136"/>
      <c r="AC56" s="38"/>
      <c r="AD56" s="136"/>
      <c r="AE56" s="38"/>
      <c r="AF56" s="136"/>
      <c r="AG56" s="38"/>
      <c r="AH56" s="136"/>
      <c r="AI56" s="38"/>
      <c r="AJ56" s="136"/>
      <c r="AK56" s="38"/>
      <c r="AL56" s="136"/>
      <c r="AM56" s="38"/>
      <c r="AO56" s="24">
        <v>1</v>
      </c>
      <c r="AP56" s="18" t="s">
        <v>44</v>
      </c>
      <c r="AQ56" s="48">
        <v>45048</v>
      </c>
      <c r="AR56" s="81">
        <v>2500</v>
      </c>
    </row>
    <row r="57" spans="2:44" ht="15" thickBot="1" x14ac:dyDescent="0.35">
      <c r="B57" s="44"/>
      <c r="C57" s="118"/>
      <c r="D57" s="126">
        <f>SUM(D48:D56)</f>
        <v>50000</v>
      </c>
      <c r="E57" s="45"/>
      <c r="F57" s="126">
        <f>SUM(F48:F56)</f>
        <v>59200</v>
      </c>
      <c r="G57" s="45"/>
      <c r="H57" s="126">
        <f>SUM(H48:H56)</f>
        <v>5000</v>
      </c>
      <c r="I57" s="45"/>
      <c r="J57" s="126">
        <f>SUM(J48:J56)</f>
        <v>15000</v>
      </c>
      <c r="K57" s="45"/>
      <c r="L57" s="304">
        <f>SUM(L48:L56)</f>
        <v>30000</v>
      </c>
      <c r="M57" s="45"/>
      <c r="N57" s="126">
        <f>SUM(N48:N56)</f>
        <v>45000</v>
      </c>
      <c r="O57" s="45"/>
      <c r="P57" s="126">
        <f>SUM(P48:P56)</f>
        <v>10000</v>
      </c>
      <c r="Q57" s="45"/>
      <c r="R57" s="126">
        <f>SUM(R48:R56)</f>
        <v>20000</v>
      </c>
      <c r="S57" s="45"/>
      <c r="T57" s="126">
        <f>SUM(T48:T56)</f>
        <v>30500</v>
      </c>
      <c r="U57" s="45"/>
      <c r="V57" s="126">
        <f>SUM(V48:V56)</f>
        <v>55000</v>
      </c>
      <c r="W57" s="45"/>
      <c r="X57" s="126">
        <f>SUM(X48:X56)</f>
        <v>20000</v>
      </c>
      <c r="Y57" s="45"/>
      <c r="Z57" s="320">
        <f>SUM(Z48:Z56)</f>
        <v>37500</v>
      </c>
      <c r="AA57" s="45"/>
      <c r="AB57" s="126">
        <f>SUM(AB48:AB56)</f>
        <v>25000</v>
      </c>
      <c r="AC57" s="45"/>
      <c r="AD57" s="126">
        <f>SUM(AD48:AD56)</f>
        <v>5000</v>
      </c>
      <c r="AE57" s="45"/>
      <c r="AF57" s="126">
        <f>SUM(AF48:AF56)</f>
        <v>10000</v>
      </c>
      <c r="AG57" s="45"/>
      <c r="AH57" s="126">
        <f>SUM(AH48:AH56)</f>
        <v>0</v>
      </c>
      <c r="AI57" s="45"/>
      <c r="AJ57" s="126">
        <f>SUM(AJ48:AJ56)</f>
        <v>10000</v>
      </c>
      <c r="AK57" s="45"/>
      <c r="AL57" s="126">
        <f>SUM(AL48:AL56)</f>
        <v>0</v>
      </c>
      <c r="AM57" s="45"/>
      <c r="AO57" s="24">
        <v>2</v>
      </c>
      <c r="AP57" s="18" t="s">
        <v>115</v>
      </c>
      <c r="AQ57" s="48">
        <v>45061</v>
      </c>
      <c r="AR57" s="81">
        <v>2500</v>
      </c>
    </row>
    <row r="58" spans="2:44" ht="15" thickTop="1" x14ac:dyDescent="0.3">
      <c r="B58" s="78" t="s">
        <v>527</v>
      </c>
      <c r="C58" s="117" t="s">
        <v>526</v>
      </c>
      <c r="D58" s="136"/>
      <c r="E58" s="38"/>
      <c r="F58" s="136"/>
      <c r="G58" s="38"/>
      <c r="H58" s="136"/>
      <c r="I58" s="38"/>
      <c r="J58" s="136"/>
      <c r="K58" s="38"/>
      <c r="L58" s="303">
        <v>236810</v>
      </c>
      <c r="M58" s="214" t="s">
        <v>416</v>
      </c>
      <c r="N58" s="136">
        <v>314940</v>
      </c>
      <c r="O58" s="214" t="s">
        <v>416</v>
      </c>
      <c r="P58" s="136"/>
      <c r="Q58" s="214"/>
      <c r="R58" s="136">
        <v>104150</v>
      </c>
      <c r="S58" s="214" t="s">
        <v>416</v>
      </c>
      <c r="T58" s="136"/>
      <c r="U58" s="214"/>
      <c r="V58" s="136"/>
      <c r="W58" s="214"/>
      <c r="X58" s="136"/>
      <c r="Y58" s="214"/>
      <c r="Z58" s="319"/>
      <c r="AA58" s="214"/>
      <c r="AB58" s="136"/>
      <c r="AC58" s="214"/>
      <c r="AD58" s="136"/>
      <c r="AE58" s="214"/>
      <c r="AF58" s="136"/>
      <c r="AG58" s="214"/>
      <c r="AH58" s="136"/>
      <c r="AI58" s="214"/>
      <c r="AJ58" s="136"/>
      <c r="AK58" s="214"/>
      <c r="AL58" s="136"/>
      <c r="AM58" s="214"/>
      <c r="AO58" s="24">
        <v>3</v>
      </c>
      <c r="AP58" s="18" t="s">
        <v>89</v>
      </c>
      <c r="AQ58" s="48">
        <v>45061</v>
      </c>
      <c r="AR58" s="81">
        <v>6000</v>
      </c>
    </row>
    <row r="59" spans="2:44" x14ac:dyDescent="0.3">
      <c r="B59" s="78"/>
      <c r="C59" s="117" t="s">
        <v>417</v>
      </c>
      <c r="D59" s="136"/>
      <c r="E59" s="38"/>
      <c r="F59" s="136"/>
      <c r="G59" s="38"/>
      <c r="H59" s="136"/>
      <c r="I59" s="38"/>
      <c r="J59" s="136"/>
      <c r="K59" s="38"/>
      <c r="L59" s="303">
        <v>175000</v>
      </c>
      <c r="M59" s="214" t="s">
        <v>416</v>
      </c>
      <c r="N59" s="136">
        <v>100000</v>
      </c>
      <c r="O59" s="214" t="s">
        <v>416</v>
      </c>
      <c r="P59" s="136"/>
      <c r="Q59" s="214"/>
      <c r="R59" s="136">
        <v>56500</v>
      </c>
      <c r="S59" s="214" t="s">
        <v>416</v>
      </c>
      <c r="T59" s="136"/>
      <c r="U59" s="214"/>
      <c r="V59" s="136"/>
      <c r="W59" s="214"/>
      <c r="X59" s="136"/>
      <c r="Y59" s="214"/>
      <c r="Z59" s="319"/>
      <c r="AA59" s="214"/>
      <c r="AB59" s="136"/>
      <c r="AC59" s="214"/>
      <c r="AD59" s="136"/>
      <c r="AE59" s="214"/>
      <c r="AF59" s="136"/>
      <c r="AG59" s="214"/>
      <c r="AH59" s="136"/>
      <c r="AI59" s="214"/>
      <c r="AJ59" s="136"/>
      <c r="AK59" s="214"/>
      <c r="AL59" s="136"/>
      <c r="AM59" s="214"/>
      <c r="AO59" s="24">
        <v>4</v>
      </c>
      <c r="AP59" s="18" t="s">
        <v>72</v>
      </c>
      <c r="AQ59" s="48">
        <v>45063</v>
      </c>
      <c r="AR59" s="81">
        <v>2880</v>
      </c>
    </row>
    <row r="60" spans="2:44" x14ac:dyDescent="0.3">
      <c r="B60" s="78"/>
      <c r="C60" s="117"/>
      <c r="D60" s="136"/>
      <c r="E60" s="38"/>
      <c r="F60" s="136"/>
      <c r="G60" s="38"/>
      <c r="H60" s="136"/>
      <c r="I60" s="38"/>
      <c r="J60" s="136"/>
      <c r="K60" s="38"/>
      <c r="L60" s="303"/>
      <c r="M60" s="214"/>
      <c r="N60" s="136">
        <v>80000</v>
      </c>
      <c r="O60" s="214" t="s">
        <v>416</v>
      </c>
      <c r="P60" s="136"/>
      <c r="Q60" s="214"/>
      <c r="R60" s="136"/>
      <c r="S60" s="214"/>
      <c r="T60" s="136"/>
      <c r="U60" s="214"/>
      <c r="V60" s="136"/>
      <c r="W60" s="214"/>
      <c r="X60" s="136"/>
      <c r="Y60" s="214"/>
      <c r="Z60" s="319"/>
      <c r="AA60" s="214"/>
      <c r="AB60" s="136"/>
      <c r="AC60" s="214"/>
      <c r="AD60" s="136"/>
      <c r="AE60" s="214"/>
      <c r="AF60" s="136"/>
      <c r="AG60" s="214"/>
      <c r="AH60" s="136"/>
      <c r="AI60" s="214"/>
      <c r="AJ60" s="136"/>
      <c r="AK60" s="214"/>
      <c r="AL60" s="136"/>
      <c r="AM60" s="214"/>
      <c r="AO60" s="24"/>
      <c r="AP60" s="18"/>
      <c r="AQ60" s="48"/>
      <c r="AR60" s="81"/>
    </row>
    <row r="61" spans="2:44" x14ac:dyDescent="0.3">
      <c r="B61" s="78"/>
      <c r="C61" s="117"/>
      <c r="D61" s="136"/>
      <c r="E61" s="38"/>
      <c r="F61" s="136"/>
      <c r="G61" s="38"/>
      <c r="H61" s="136"/>
      <c r="I61" s="38"/>
      <c r="J61" s="136"/>
      <c r="K61" s="38"/>
      <c r="L61" s="303"/>
      <c r="M61" s="214"/>
      <c r="N61" s="136">
        <v>33000</v>
      </c>
      <c r="O61" s="214" t="s">
        <v>416</v>
      </c>
      <c r="P61" s="136"/>
      <c r="Q61" s="214"/>
      <c r="R61" s="136"/>
      <c r="S61" s="214"/>
      <c r="T61" s="136"/>
      <c r="U61" s="214"/>
      <c r="V61" s="136"/>
      <c r="W61" s="214"/>
      <c r="X61" s="136"/>
      <c r="Y61" s="214"/>
      <c r="Z61" s="319"/>
      <c r="AA61" s="214"/>
      <c r="AB61" s="136"/>
      <c r="AC61" s="214"/>
      <c r="AD61" s="136"/>
      <c r="AE61" s="214"/>
      <c r="AF61" s="136"/>
      <c r="AG61" s="214"/>
      <c r="AH61" s="136"/>
      <c r="AI61" s="214"/>
      <c r="AJ61" s="136"/>
      <c r="AK61" s="214"/>
      <c r="AL61" s="136"/>
      <c r="AM61" s="214"/>
      <c r="AO61" s="24">
        <v>5</v>
      </c>
      <c r="AP61" s="18" t="s">
        <v>306</v>
      </c>
      <c r="AQ61" s="48">
        <v>45071</v>
      </c>
      <c r="AR61" s="205">
        <v>15000</v>
      </c>
    </row>
    <row r="62" spans="2:44" ht="15" thickBot="1" x14ac:dyDescent="0.35">
      <c r="B62" s="44"/>
      <c r="C62" s="118"/>
      <c r="D62" s="139"/>
      <c r="E62" s="45"/>
      <c r="F62" s="139"/>
      <c r="G62" s="45"/>
      <c r="H62" s="139"/>
      <c r="I62" s="45"/>
      <c r="J62" s="139"/>
      <c r="K62" s="45"/>
      <c r="L62" s="305">
        <f>SUM(L58:L61)</f>
        <v>411810</v>
      </c>
      <c r="M62" s="45"/>
      <c r="N62" s="139">
        <f>SUM(N58:N61)</f>
        <v>527940</v>
      </c>
      <c r="O62" s="45"/>
      <c r="P62" s="139"/>
      <c r="Q62" s="45"/>
      <c r="R62" s="139">
        <f>SUM(R58:R61)</f>
        <v>160650</v>
      </c>
      <c r="S62" s="45"/>
      <c r="T62" s="139"/>
      <c r="U62" s="45"/>
      <c r="V62" s="139"/>
      <c r="W62" s="45"/>
      <c r="X62" s="139"/>
      <c r="Y62" s="45"/>
      <c r="Z62" s="321"/>
      <c r="AA62" s="45"/>
      <c r="AB62" s="139">
        <f>SUM(AB58:AB61)</f>
        <v>0</v>
      </c>
      <c r="AC62" s="45"/>
      <c r="AD62" s="139">
        <f>SUM(AD58:AD61)</f>
        <v>0</v>
      </c>
      <c r="AE62" s="45"/>
      <c r="AF62" s="139">
        <f>SUM(AF58:AF61)</f>
        <v>0</v>
      </c>
      <c r="AG62" s="45"/>
      <c r="AH62" s="139">
        <f>SUM(AH58:AH61)</f>
        <v>0</v>
      </c>
      <c r="AI62" s="45"/>
      <c r="AJ62" s="139">
        <f>SUM(AJ58:AJ61)</f>
        <v>0</v>
      </c>
      <c r="AK62" s="45"/>
      <c r="AL62" s="139">
        <f>SUM(AL58:AL61)</f>
        <v>0</v>
      </c>
      <c r="AM62" s="45"/>
      <c r="AO62" s="100">
        <v>45047</v>
      </c>
      <c r="AP62" s="70"/>
      <c r="AQ62" s="70"/>
      <c r="AR62" s="71">
        <f>SUM(AR56:AR61)</f>
        <v>28880</v>
      </c>
    </row>
    <row r="63" spans="2:44" ht="15" thickTop="1" x14ac:dyDescent="0.3">
      <c r="B63" s="78" t="s">
        <v>838</v>
      </c>
      <c r="C63" s="117"/>
      <c r="D63" s="136"/>
      <c r="E63" s="38"/>
      <c r="F63" s="136"/>
      <c r="G63" s="38"/>
      <c r="H63" s="136"/>
      <c r="I63" s="38"/>
      <c r="J63" s="136"/>
      <c r="K63" s="38"/>
      <c r="L63" s="303"/>
      <c r="M63" s="214"/>
      <c r="N63" s="136"/>
      <c r="O63" s="214"/>
      <c r="P63" s="136"/>
      <c r="Q63" s="214"/>
      <c r="R63" s="136"/>
      <c r="S63" s="214"/>
      <c r="T63" s="136"/>
      <c r="U63" s="214"/>
      <c r="V63" s="136"/>
      <c r="W63" s="214"/>
      <c r="X63" s="136"/>
      <c r="Y63" s="214"/>
      <c r="Z63" s="319"/>
      <c r="AA63" s="214"/>
      <c r="AB63" s="136"/>
      <c r="AC63" s="214"/>
      <c r="AD63" s="136">
        <v>44000</v>
      </c>
      <c r="AE63" s="38">
        <v>45347</v>
      </c>
      <c r="AF63" s="136">
        <v>0</v>
      </c>
      <c r="AG63" s="214"/>
      <c r="AH63" s="136"/>
      <c r="AI63" s="214"/>
      <c r="AJ63" s="136"/>
      <c r="AK63" s="214"/>
      <c r="AL63" s="136"/>
      <c r="AM63" s="214"/>
      <c r="AO63" s="24"/>
      <c r="AP63" s="18"/>
      <c r="AQ63" s="48"/>
      <c r="AR63" s="81"/>
    </row>
    <row r="64" spans="2:44" x14ac:dyDescent="0.3">
      <c r="B64" s="78" t="s">
        <v>845</v>
      </c>
      <c r="C64" s="117"/>
      <c r="D64" s="136"/>
      <c r="E64" s="38"/>
      <c r="F64" s="136"/>
      <c r="G64" s="38"/>
      <c r="H64" s="136"/>
      <c r="I64" s="38"/>
      <c r="J64" s="136"/>
      <c r="K64" s="38"/>
      <c r="L64" s="303"/>
      <c r="M64" s="214"/>
      <c r="N64" s="136"/>
      <c r="O64" s="214"/>
      <c r="P64" s="136"/>
      <c r="Q64" s="214"/>
      <c r="R64" s="136"/>
      <c r="S64" s="214"/>
      <c r="T64" s="136"/>
      <c r="U64" s="214"/>
      <c r="V64" s="136"/>
      <c r="W64" s="214"/>
      <c r="X64" s="136"/>
      <c r="Y64" s="214"/>
      <c r="Z64" s="319"/>
      <c r="AA64" s="214"/>
      <c r="AB64" s="136"/>
      <c r="AC64" s="214"/>
      <c r="AD64" s="136"/>
      <c r="AE64" s="214"/>
      <c r="AF64" s="136">
        <v>15900</v>
      </c>
      <c r="AG64" s="38">
        <v>45368</v>
      </c>
      <c r="AH64" s="136"/>
      <c r="AI64" s="214"/>
      <c r="AJ64" s="136"/>
      <c r="AK64" s="214"/>
      <c r="AL64" s="136"/>
      <c r="AM64" s="214"/>
      <c r="AO64" s="24"/>
      <c r="AP64" s="18"/>
      <c r="AQ64" s="48"/>
      <c r="AR64" s="81"/>
    </row>
    <row r="65" spans="2:44" ht="15" thickBot="1" x14ac:dyDescent="0.35">
      <c r="B65" s="44"/>
      <c r="C65" s="118"/>
      <c r="D65" s="139"/>
      <c r="E65" s="45"/>
      <c r="F65" s="139"/>
      <c r="G65" s="45"/>
      <c r="H65" s="139"/>
      <c r="I65" s="45"/>
      <c r="J65" s="139"/>
      <c r="K65" s="45"/>
      <c r="L65" s="305"/>
      <c r="M65" s="45"/>
      <c r="N65" s="139"/>
      <c r="O65" s="45"/>
      <c r="P65" s="139"/>
      <c r="Q65" s="45"/>
      <c r="R65" s="139"/>
      <c r="S65" s="45"/>
      <c r="T65" s="139"/>
      <c r="U65" s="45"/>
      <c r="V65" s="139"/>
      <c r="W65" s="45"/>
      <c r="X65" s="139"/>
      <c r="Y65" s="45"/>
      <c r="Z65" s="321"/>
      <c r="AA65" s="45"/>
      <c r="AB65" s="139">
        <f>SUM(AB63:AB64)</f>
        <v>0</v>
      </c>
      <c r="AC65" s="45"/>
      <c r="AD65" s="139">
        <f>SUM(AD63:AD64)</f>
        <v>44000</v>
      </c>
      <c r="AE65" s="45"/>
      <c r="AF65" s="139">
        <f>SUM(AF63:AF64)</f>
        <v>15900</v>
      </c>
      <c r="AG65" s="45"/>
      <c r="AH65" s="139">
        <f>SUM(AH63:AH64)</f>
        <v>0</v>
      </c>
      <c r="AI65" s="45"/>
      <c r="AJ65" s="139">
        <f>SUM(AJ63:AJ64)</f>
        <v>0</v>
      </c>
      <c r="AK65" s="45"/>
      <c r="AL65" s="139">
        <f>SUM(AL63:AL64)</f>
        <v>0</v>
      </c>
      <c r="AM65" s="45"/>
    </row>
    <row r="66" spans="2:44" ht="15" thickTop="1" x14ac:dyDescent="0.3">
      <c r="B66" s="78" t="s">
        <v>843</v>
      </c>
      <c r="C66" t="s">
        <v>742</v>
      </c>
      <c r="D66" s="136"/>
      <c r="E66" s="38"/>
      <c r="F66" s="136"/>
      <c r="G66" s="38"/>
      <c r="H66" s="136"/>
      <c r="I66" s="38"/>
      <c r="J66" s="136"/>
      <c r="K66" s="38"/>
      <c r="L66" s="303"/>
      <c r="M66" s="214"/>
      <c r="N66" s="136"/>
      <c r="O66" s="214"/>
      <c r="P66" s="136"/>
      <c r="Q66" s="214"/>
      <c r="R66" s="136"/>
      <c r="S66" s="214"/>
      <c r="T66" s="136"/>
      <c r="U66" s="214"/>
      <c r="V66" s="136"/>
      <c r="W66" s="214"/>
      <c r="X66" s="136"/>
      <c r="Y66" s="214"/>
      <c r="Z66" s="319"/>
      <c r="AA66" s="214"/>
      <c r="AB66" s="136"/>
      <c r="AC66" s="214"/>
      <c r="AD66" s="136">
        <v>0</v>
      </c>
      <c r="AE66" s="214"/>
      <c r="AF66" s="136">
        <v>7000</v>
      </c>
      <c r="AG66" s="214"/>
      <c r="AH66" s="136"/>
      <c r="AI66" s="214"/>
      <c r="AJ66" s="136"/>
      <c r="AK66" s="214"/>
      <c r="AL66" s="136"/>
      <c r="AM66" s="214"/>
    </row>
    <row r="67" spans="2:44" x14ac:dyDescent="0.3">
      <c r="B67" s="78"/>
      <c r="C67" t="s">
        <v>758</v>
      </c>
      <c r="D67" s="136"/>
      <c r="E67" s="38"/>
      <c r="F67" s="136"/>
      <c r="G67" s="38"/>
      <c r="H67" s="136"/>
      <c r="I67" s="38"/>
      <c r="J67" s="136"/>
      <c r="K67" s="38"/>
      <c r="L67" s="303"/>
      <c r="M67" s="214"/>
      <c r="N67" s="136"/>
      <c r="O67" s="214"/>
      <c r="P67" s="136"/>
      <c r="Q67" s="214"/>
      <c r="R67" s="136"/>
      <c r="S67" s="214"/>
      <c r="T67" s="136"/>
      <c r="U67" s="214"/>
      <c r="V67" s="136"/>
      <c r="W67" s="214"/>
      <c r="X67" s="238">
        <v>42000</v>
      </c>
      <c r="Y67" s="38">
        <v>45245</v>
      </c>
      <c r="Z67" s="319">
        <v>50000</v>
      </c>
      <c r="AA67" s="214"/>
      <c r="AB67" s="136"/>
      <c r="AC67" s="214"/>
      <c r="AD67" s="136"/>
      <c r="AE67" s="214"/>
      <c r="AF67" s="136"/>
      <c r="AG67" s="214"/>
      <c r="AH67" s="136">
        <v>8500</v>
      </c>
      <c r="AI67" s="38">
        <v>45388</v>
      </c>
      <c r="AJ67" s="136"/>
      <c r="AK67" s="38"/>
      <c r="AL67" s="136"/>
      <c r="AM67" s="38"/>
    </row>
    <row r="68" spans="2:44" ht="15" thickBot="1" x14ac:dyDescent="0.35">
      <c r="B68" s="44"/>
      <c r="C68" s="118"/>
      <c r="D68" s="139"/>
      <c r="E68" s="45"/>
      <c r="F68" s="139"/>
      <c r="G68" s="45"/>
      <c r="H68" s="139"/>
      <c r="I68" s="45"/>
      <c r="J68" s="139"/>
      <c r="K68" s="45"/>
      <c r="L68" s="305"/>
      <c r="M68" s="45"/>
      <c r="N68" s="139"/>
      <c r="O68" s="45"/>
      <c r="P68" s="139"/>
      <c r="Q68" s="45"/>
      <c r="R68" s="139"/>
      <c r="S68" s="45"/>
      <c r="T68" s="139"/>
      <c r="U68" s="45"/>
      <c r="V68" s="139"/>
      <c r="W68" s="45"/>
      <c r="X68" s="139">
        <f>SUM(X66:X67)</f>
        <v>42000</v>
      </c>
      <c r="Y68" s="45"/>
      <c r="Z68" s="139">
        <f>SUM(Z66:Z67)</f>
        <v>50000</v>
      </c>
      <c r="AA68" s="45"/>
      <c r="AB68" s="139">
        <f>SUM(AB66:AB67)</f>
        <v>0</v>
      </c>
      <c r="AC68" s="45"/>
      <c r="AD68" s="139">
        <f>SUM(AD66:AD67)</f>
        <v>0</v>
      </c>
      <c r="AE68" s="45"/>
      <c r="AF68" s="139">
        <f>SUM(AF66:AF67)</f>
        <v>7000</v>
      </c>
      <c r="AG68" s="45"/>
      <c r="AH68" s="139">
        <f>SUM(AH66:AH67)</f>
        <v>8500</v>
      </c>
      <c r="AI68" s="45"/>
      <c r="AJ68" s="139">
        <f>SUM(AJ66:AJ67)</f>
        <v>0</v>
      </c>
      <c r="AK68" s="45"/>
      <c r="AL68" s="139">
        <f>SUM(AL66:AL67)</f>
        <v>0</v>
      </c>
      <c r="AM68" s="45"/>
    </row>
    <row r="69" spans="2:44" ht="15" thickTop="1" x14ac:dyDescent="0.3">
      <c r="B69" s="3" t="s">
        <v>77</v>
      </c>
      <c r="C69" s="117" t="s">
        <v>225</v>
      </c>
      <c r="D69" s="39">
        <f>200000+70000+5000+3000</f>
        <v>278000</v>
      </c>
      <c r="E69" s="38">
        <v>44950</v>
      </c>
      <c r="F69" s="42"/>
      <c r="G69" s="38"/>
      <c r="H69" s="42"/>
      <c r="I69" s="38"/>
      <c r="J69" s="42"/>
      <c r="K69" s="38"/>
      <c r="L69" s="295"/>
      <c r="M69" s="38"/>
      <c r="N69" s="42"/>
      <c r="O69" s="38"/>
      <c r="P69" s="42"/>
      <c r="Q69" s="38"/>
      <c r="R69" s="42"/>
      <c r="S69" s="38"/>
      <c r="T69" s="42"/>
      <c r="U69" s="38"/>
      <c r="V69" s="42"/>
      <c r="W69" s="38"/>
      <c r="X69" s="42"/>
      <c r="Y69" s="38"/>
      <c r="Z69" s="310"/>
      <c r="AA69" s="38"/>
      <c r="AB69" s="42"/>
      <c r="AC69" s="38"/>
      <c r="AD69" s="42"/>
      <c r="AE69" s="38"/>
      <c r="AF69" s="42"/>
      <c r="AG69" s="38"/>
      <c r="AH69" s="42"/>
      <c r="AI69" s="38"/>
      <c r="AJ69" s="42"/>
      <c r="AK69" s="38"/>
      <c r="AL69" s="42"/>
      <c r="AM69" s="38"/>
      <c r="AO69" s="24">
        <v>1</v>
      </c>
      <c r="AP69" s="18" t="s">
        <v>44</v>
      </c>
      <c r="AQ69" s="48">
        <v>45083</v>
      </c>
      <c r="AR69" s="81">
        <v>2500</v>
      </c>
    </row>
    <row r="70" spans="2:44" x14ac:dyDescent="0.3">
      <c r="B70" s="3"/>
      <c r="C70" s="122" t="s">
        <v>151</v>
      </c>
      <c r="D70" s="39"/>
      <c r="E70" s="38"/>
      <c r="F70" s="42"/>
      <c r="G70" s="38"/>
      <c r="H70" s="42"/>
      <c r="I70" s="38"/>
      <c r="J70" s="42"/>
      <c r="K70" s="38"/>
      <c r="L70" s="295"/>
      <c r="M70" s="38"/>
      <c r="N70" s="42"/>
      <c r="O70" s="38"/>
      <c r="P70" s="42"/>
      <c r="Q70" s="38"/>
      <c r="R70" s="42"/>
      <c r="S70" s="38"/>
      <c r="T70" s="42"/>
      <c r="U70" s="38"/>
      <c r="V70" s="42"/>
      <c r="W70" s="38"/>
      <c r="X70" s="42"/>
      <c r="Y70" s="38"/>
      <c r="Z70" s="310"/>
      <c r="AA70" s="38"/>
      <c r="AB70" s="42"/>
      <c r="AC70" s="38"/>
      <c r="AD70" s="42"/>
      <c r="AE70" s="38"/>
      <c r="AF70" s="42"/>
      <c r="AG70" s="38"/>
      <c r="AH70" s="42"/>
      <c r="AI70" s="38"/>
      <c r="AJ70" s="42"/>
      <c r="AK70" s="38"/>
      <c r="AL70" s="42"/>
      <c r="AM70" s="38"/>
      <c r="AO70" s="24">
        <v>2</v>
      </c>
      <c r="AP70" s="18" t="s">
        <v>529</v>
      </c>
      <c r="AQ70" s="48">
        <v>45088</v>
      </c>
      <c r="AR70" s="81">
        <v>1000</v>
      </c>
    </row>
    <row r="71" spans="2:44" x14ac:dyDescent="0.3">
      <c r="B71" s="3"/>
      <c r="C71" s="122" t="s">
        <v>296</v>
      </c>
      <c r="D71" s="39"/>
      <c r="E71" s="38"/>
      <c r="F71" s="42"/>
      <c r="G71" s="38"/>
      <c r="H71" s="42">
        <v>19300</v>
      </c>
      <c r="I71" s="38">
        <v>45015</v>
      </c>
      <c r="J71" s="42"/>
      <c r="K71" s="38"/>
      <c r="L71" s="295"/>
      <c r="M71" s="38"/>
      <c r="N71" s="42"/>
      <c r="O71" s="38"/>
      <c r="P71" s="42"/>
      <c r="Q71" s="38"/>
      <c r="R71" s="42"/>
      <c r="S71" s="38"/>
      <c r="T71" s="42"/>
      <c r="U71" s="38"/>
      <c r="V71" s="42"/>
      <c r="W71" s="38"/>
      <c r="X71" s="42"/>
      <c r="Y71" s="38"/>
      <c r="Z71" s="310"/>
      <c r="AA71" s="38"/>
      <c r="AB71" s="42"/>
      <c r="AC71" s="38"/>
      <c r="AD71" s="42"/>
      <c r="AE71" s="38"/>
      <c r="AF71" s="42">
        <v>17000</v>
      </c>
      <c r="AG71" s="38">
        <v>45374</v>
      </c>
      <c r="AH71" s="42"/>
      <c r="AI71" s="38"/>
      <c r="AJ71" s="42"/>
      <c r="AK71" s="38"/>
      <c r="AL71" s="42"/>
      <c r="AM71" s="38"/>
      <c r="AO71" s="24">
        <v>3</v>
      </c>
      <c r="AP71" s="18" t="s">
        <v>115</v>
      </c>
      <c r="AQ71" s="48">
        <v>45088</v>
      </c>
      <c r="AR71" s="81">
        <v>2500</v>
      </c>
    </row>
    <row r="72" spans="2:44" x14ac:dyDescent="0.3">
      <c r="B72" s="78"/>
      <c r="C72" s="122" t="s">
        <v>691</v>
      </c>
      <c r="D72" s="271"/>
      <c r="E72" s="94"/>
      <c r="F72" s="75"/>
      <c r="G72" s="94"/>
      <c r="H72" s="75"/>
      <c r="I72" s="94"/>
      <c r="J72" s="75"/>
      <c r="K72" s="94"/>
      <c r="L72" s="153"/>
      <c r="M72" s="94"/>
      <c r="N72" s="75"/>
      <c r="O72" s="94"/>
      <c r="P72" s="75"/>
      <c r="Q72" s="94"/>
      <c r="R72" s="75"/>
      <c r="S72" s="94"/>
      <c r="T72" s="75"/>
      <c r="U72" s="94"/>
      <c r="V72" s="75"/>
      <c r="W72" s="94"/>
      <c r="X72" s="75">
        <v>19800</v>
      </c>
      <c r="Y72" s="38">
        <v>45235</v>
      </c>
      <c r="Z72" s="174"/>
      <c r="AA72" s="94"/>
      <c r="AB72" s="75"/>
      <c r="AC72" s="94"/>
      <c r="AD72" s="75"/>
      <c r="AE72" s="94"/>
      <c r="AF72" s="75"/>
      <c r="AG72" s="94"/>
      <c r="AH72" s="75"/>
      <c r="AI72" s="94"/>
      <c r="AJ72" s="75"/>
      <c r="AK72" s="94"/>
      <c r="AL72" s="75"/>
      <c r="AM72" s="94"/>
      <c r="AO72" s="24">
        <v>4</v>
      </c>
      <c r="AP72" s="18" t="s">
        <v>515</v>
      </c>
      <c r="AQ72" s="48">
        <v>45091</v>
      </c>
      <c r="AR72" s="81">
        <f>500+2000</f>
        <v>2500</v>
      </c>
    </row>
    <row r="73" spans="2:44" ht="15" thickBot="1" x14ac:dyDescent="0.35">
      <c r="B73" s="44"/>
      <c r="C73" s="118"/>
      <c r="D73" s="139">
        <f>SUM(D69:D71)</f>
        <v>278000</v>
      </c>
      <c r="E73" s="45"/>
      <c r="F73" s="139">
        <f>SUM(F69:F71)</f>
        <v>0</v>
      </c>
      <c r="G73" s="45"/>
      <c r="H73" s="139">
        <f>SUM(H69:H71)</f>
        <v>19300</v>
      </c>
      <c r="I73" s="45"/>
      <c r="J73" s="139">
        <f>SUM(J69:J71)</f>
        <v>0</v>
      </c>
      <c r="K73" s="45"/>
      <c r="L73" s="305">
        <f>SUM(L69:L71)</f>
        <v>0</v>
      </c>
      <c r="M73" s="45"/>
      <c r="N73" s="139">
        <f>SUM(N69:N71)</f>
        <v>0</v>
      </c>
      <c r="O73" s="45"/>
      <c r="P73" s="139">
        <f>SUM(P69:P71)</f>
        <v>0</v>
      </c>
      <c r="Q73" s="45"/>
      <c r="R73" s="139">
        <f>SUM(R69:R71)</f>
        <v>0</v>
      </c>
      <c r="S73" s="45"/>
      <c r="T73" s="139">
        <f>SUM(T69:T71)</f>
        <v>0</v>
      </c>
      <c r="U73" s="45"/>
      <c r="V73" s="139">
        <f>SUM(V69:V71)</f>
        <v>0</v>
      </c>
      <c r="W73" s="45"/>
      <c r="X73" s="139">
        <f>SUM(X69:X72)</f>
        <v>19800</v>
      </c>
      <c r="Y73" s="45"/>
      <c r="Z73" s="321">
        <f>SUM(Z69:Z71)</f>
        <v>0</v>
      </c>
      <c r="AA73" s="45"/>
      <c r="AB73" s="139">
        <f>SUM(AB69:AB71)</f>
        <v>0</v>
      </c>
      <c r="AC73" s="45"/>
      <c r="AD73" s="139">
        <f>SUM(AD69:AD71)</f>
        <v>0</v>
      </c>
      <c r="AE73" s="45"/>
      <c r="AF73" s="139">
        <f>SUM(AF69:AF71)</f>
        <v>17000</v>
      </c>
      <c r="AG73" s="45"/>
      <c r="AH73" s="139">
        <f>SUM(AH69:AH71)</f>
        <v>0</v>
      </c>
      <c r="AI73" s="45"/>
      <c r="AJ73" s="139">
        <f>SUM(AJ69:AJ71)</f>
        <v>0</v>
      </c>
      <c r="AK73" s="45"/>
      <c r="AL73" s="139">
        <f>SUM(AL69:AL71)</f>
        <v>0</v>
      </c>
      <c r="AM73" s="45"/>
      <c r="AO73" s="24">
        <v>5</v>
      </c>
      <c r="AP73" s="18" t="s">
        <v>89</v>
      </c>
      <c r="AQ73" s="48">
        <v>45093</v>
      </c>
      <c r="AR73" s="81">
        <v>5000</v>
      </c>
    </row>
    <row r="74" spans="2:44" ht="15" thickTop="1" x14ac:dyDescent="0.3">
      <c r="B74" s="3" t="s">
        <v>82</v>
      </c>
      <c r="C74" s="117" t="s">
        <v>818</v>
      </c>
      <c r="D74" s="136">
        <v>5480</v>
      </c>
      <c r="E74" s="38">
        <v>44938</v>
      </c>
      <c r="F74" s="125"/>
      <c r="G74" s="38"/>
      <c r="H74" s="125"/>
      <c r="I74" s="38"/>
      <c r="J74" s="125"/>
      <c r="K74" s="38"/>
      <c r="L74" s="299">
        <v>23000</v>
      </c>
      <c r="M74" s="38">
        <v>45047</v>
      </c>
      <c r="N74" s="125">
        <v>22330</v>
      </c>
      <c r="O74" s="38">
        <v>45093</v>
      </c>
      <c r="P74" s="125"/>
      <c r="Q74" s="38"/>
      <c r="R74" s="125"/>
      <c r="S74" s="38"/>
      <c r="T74" s="125"/>
      <c r="U74" s="38"/>
      <c r="V74" s="125">
        <v>23000</v>
      </c>
      <c r="W74" s="38">
        <v>45203</v>
      </c>
      <c r="X74" s="125"/>
      <c r="Y74" s="38"/>
      <c r="Z74" s="206"/>
      <c r="AA74" s="38"/>
      <c r="AB74" s="204">
        <v>14500</v>
      </c>
      <c r="AC74" s="38">
        <v>45304</v>
      </c>
      <c r="AD74" s="125"/>
      <c r="AE74" s="38"/>
      <c r="AF74" s="125"/>
      <c r="AG74" s="38"/>
      <c r="AH74" s="125">
        <v>2200</v>
      </c>
      <c r="AI74" s="38">
        <v>45387</v>
      </c>
      <c r="AJ74" s="125"/>
      <c r="AK74" s="38"/>
      <c r="AL74" s="125"/>
      <c r="AM74" s="38"/>
      <c r="AO74" s="24">
        <v>6</v>
      </c>
      <c r="AP74" s="18" t="s">
        <v>400</v>
      </c>
      <c r="AQ74" s="48">
        <v>45093</v>
      </c>
      <c r="AR74" s="205">
        <v>2600</v>
      </c>
    </row>
    <row r="75" spans="2:44" x14ac:dyDescent="0.3">
      <c r="B75" s="3"/>
      <c r="C75" s="117" t="s">
        <v>830</v>
      </c>
      <c r="D75" s="136">
        <f>5950+600</f>
        <v>6550</v>
      </c>
      <c r="E75" s="38">
        <v>44956</v>
      </c>
      <c r="F75" s="125"/>
      <c r="G75" s="38"/>
      <c r="H75" s="125"/>
      <c r="I75" s="38"/>
      <c r="J75" s="125"/>
      <c r="K75" s="38"/>
      <c r="L75" s="299"/>
      <c r="M75" s="38"/>
      <c r="N75" s="125"/>
      <c r="O75" s="38"/>
      <c r="P75" s="125"/>
      <c r="Q75" s="38"/>
      <c r="R75" s="125"/>
      <c r="S75" s="38"/>
      <c r="T75" s="125"/>
      <c r="U75" s="38"/>
      <c r="V75" s="125"/>
      <c r="W75" s="38"/>
      <c r="X75" s="125"/>
      <c r="Y75" s="38"/>
      <c r="Z75" s="206"/>
      <c r="AA75" s="38"/>
      <c r="AB75" s="125">
        <v>15460</v>
      </c>
      <c r="AC75" s="38">
        <v>45318</v>
      </c>
      <c r="AD75" s="125"/>
      <c r="AE75" s="38"/>
      <c r="AF75" s="125"/>
      <c r="AG75" s="38"/>
      <c r="AH75" s="125">
        <v>2500</v>
      </c>
      <c r="AI75" s="38">
        <v>45392</v>
      </c>
      <c r="AJ75" s="125"/>
      <c r="AK75" s="38"/>
      <c r="AL75" s="125"/>
      <c r="AM75" s="38"/>
      <c r="AO75" s="24">
        <v>7</v>
      </c>
      <c r="AP75" s="18" t="s">
        <v>542</v>
      </c>
      <c r="AQ75" s="48">
        <v>45095</v>
      </c>
      <c r="AR75" s="205">
        <v>6500</v>
      </c>
    </row>
    <row r="76" spans="2:44" x14ac:dyDescent="0.3">
      <c r="B76" s="3"/>
      <c r="C76" s="122" t="s">
        <v>831</v>
      </c>
      <c r="D76" s="169">
        <v>17000</v>
      </c>
      <c r="E76" s="38">
        <v>44957</v>
      </c>
      <c r="F76" s="79"/>
      <c r="G76" s="38"/>
      <c r="H76" s="79">
        <f>10000+500</f>
        <v>10500</v>
      </c>
      <c r="I76" s="38">
        <v>44997</v>
      </c>
      <c r="J76" s="79"/>
      <c r="K76" s="38"/>
      <c r="L76" s="302"/>
      <c r="M76" s="38"/>
      <c r="N76" s="79"/>
      <c r="O76" s="38"/>
      <c r="P76" s="79"/>
      <c r="Q76" s="38"/>
      <c r="R76" s="79"/>
      <c r="S76" s="38"/>
      <c r="T76" s="79"/>
      <c r="U76" s="38"/>
      <c r="V76" s="79"/>
      <c r="W76" s="38"/>
      <c r="X76" s="79"/>
      <c r="Y76" s="38"/>
      <c r="Z76" s="318"/>
      <c r="AA76" s="38"/>
      <c r="AB76" s="79"/>
      <c r="AC76" s="38"/>
      <c r="AD76" s="79"/>
      <c r="AE76" s="38"/>
      <c r="AF76" s="79">
        <v>16790</v>
      </c>
      <c r="AG76" s="38">
        <v>45362</v>
      </c>
      <c r="AH76" s="79"/>
      <c r="AI76" s="38"/>
      <c r="AJ76" s="79"/>
      <c r="AK76" s="38"/>
      <c r="AL76" s="79"/>
      <c r="AM76" s="38"/>
      <c r="AO76" s="24">
        <v>8</v>
      </c>
      <c r="AP76" s="18" t="s">
        <v>516</v>
      </c>
      <c r="AQ76" s="48">
        <v>45098</v>
      </c>
      <c r="AR76" s="81">
        <v>500</v>
      </c>
    </row>
    <row r="77" spans="2:44" x14ac:dyDescent="0.3">
      <c r="B77" s="3"/>
      <c r="C77" s="117" t="s">
        <v>956</v>
      </c>
      <c r="D77" s="136"/>
      <c r="E77" s="38"/>
      <c r="F77" s="42">
        <v>6000</v>
      </c>
      <c r="G77" s="38">
        <v>44964</v>
      </c>
      <c r="H77" s="42"/>
      <c r="I77" s="38"/>
      <c r="J77" s="42"/>
      <c r="K77" s="38"/>
      <c r="L77" s="295">
        <v>22400</v>
      </c>
      <c r="M77" s="38">
        <v>45057</v>
      </c>
      <c r="N77" s="42"/>
      <c r="O77" s="38"/>
      <c r="P77" s="42"/>
      <c r="Q77" s="38"/>
      <c r="R77" s="42"/>
      <c r="S77" s="38"/>
      <c r="T77" s="42"/>
      <c r="U77" s="38"/>
      <c r="V77" s="42"/>
      <c r="W77" s="38"/>
      <c r="X77" s="42">
        <v>22000</v>
      </c>
      <c r="Y77" s="38">
        <v>45250</v>
      </c>
      <c r="Z77" s="310"/>
      <c r="AA77" s="38"/>
      <c r="AB77" s="42"/>
      <c r="AC77" s="38"/>
      <c r="AD77" s="42"/>
      <c r="AE77" s="38"/>
      <c r="AF77" s="42">
        <v>21000</v>
      </c>
      <c r="AG77" s="38">
        <v>45362</v>
      </c>
      <c r="AH77" s="42">
        <v>10020</v>
      </c>
      <c r="AI77" s="38">
        <v>45406</v>
      </c>
      <c r="AJ77" s="42"/>
      <c r="AK77" s="38"/>
      <c r="AL77" s="42"/>
      <c r="AM77" s="38"/>
      <c r="AO77" s="24">
        <v>9</v>
      </c>
      <c r="AP77" s="18" t="s">
        <v>528</v>
      </c>
      <c r="AQ77" s="48">
        <v>45107</v>
      </c>
      <c r="AR77" s="81">
        <v>650</v>
      </c>
    </row>
    <row r="78" spans="2:44" x14ac:dyDescent="0.3">
      <c r="B78" s="78"/>
      <c r="C78" s="122" t="s">
        <v>953</v>
      </c>
      <c r="D78" s="136"/>
      <c r="E78" s="38"/>
      <c r="F78" s="42">
        <v>8000</v>
      </c>
      <c r="G78" s="38">
        <v>44964</v>
      </c>
      <c r="H78" s="42"/>
      <c r="I78" s="38"/>
      <c r="J78" s="42"/>
      <c r="K78" s="38"/>
      <c r="L78" s="295">
        <v>34000</v>
      </c>
      <c r="M78" s="38"/>
      <c r="N78" s="42"/>
      <c r="O78" s="38"/>
      <c r="P78" s="42"/>
      <c r="Q78" s="38"/>
      <c r="R78" s="42"/>
      <c r="S78" s="38"/>
      <c r="T78" s="42"/>
      <c r="U78" s="38"/>
      <c r="V78" s="42"/>
      <c r="W78" s="38"/>
      <c r="X78" s="42"/>
      <c r="Y78" s="38"/>
      <c r="Z78" s="310"/>
      <c r="AA78" s="38"/>
      <c r="AB78" s="42"/>
      <c r="AC78" s="38"/>
      <c r="AD78" s="42"/>
      <c r="AE78" s="38"/>
      <c r="AF78" s="42"/>
      <c r="AG78" s="38"/>
      <c r="AH78" s="42">
        <v>7360</v>
      </c>
      <c r="AI78" s="38">
        <v>45384</v>
      </c>
      <c r="AJ78" s="42"/>
      <c r="AK78" s="38"/>
      <c r="AL78" s="42"/>
      <c r="AM78" s="38"/>
      <c r="AO78" s="100">
        <v>45078</v>
      </c>
      <c r="AP78" s="70"/>
      <c r="AQ78" s="70"/>
      <c r="AR78" s="71">
        <f>SUM(AR69:AR77)</f>
        <v>23750</v>
      </c>
    </row>
    <row r="79" spans="2:44" x14ac:dyDescent="0.3">
      <c r="B79" s="78"/>
      <c r="C79" s="122"/>
      <c r="D79" s="136"/>
      <c r="E79" s="38"/>
      <c r="F79" s="42">
        <v>4470</v>
      </c>
      <c r="G79" s="38">
        <v>44965</v>
      </c>
      <c r="H79" s="42">
        <v>5000</v>
      </c>
      <c r="I79" s="38">
        <v>45002</v>
      </c>
      <c r="J79" s="42">
        <f>9900+2000</f>
        <v>11900</v>
      </c>
      <c r="K79" s="38">
        <v>45026</v>
      </c>
      <c r="L79" s="295"/>
      <c r="M79" s="38"/>
      <c r="N79" s="42"/>
      <c r="O79" s="38"/>
      <c r="P79" s="42"/>
      <c r="Q79" s="38"/>
      <c r="R79" s="42"/>
      <c r="S79" s="38"/>
      <c r="T79" s="42"/>
      <c r="U79" s="38"/>
      <c r="V79" s="42"/>
      <c r="W79" s="38"/>
      <c r="X79" s="42">
        <f>1950+1500</f>
        <v>3450</v>
      </c>
      <c r="Y79" s="38">
        <v>45236</v>
      </c>
      <c r="Z79" s="310"/>
      <c r="AA79" s="38"/>
      <c r="AB79" s="42"/>
      <c r="AC79" s="38"/>
      <c r="AD79" s="42"/>
      <c r="AE79" s="38"/>
      <c r="AF79" s="42"/>
      <c r="AG79" s="38"/>
      <c r="AH79" s="42"/>
      <c r="AI79" s="38"/>
      <c r="AJ79" s="42"/>
      <c r="AK79" s="38"/>
      <c r="AL79" s="42"/>
      <c r="AM79" s="38"/>
    </row>
    <row r="80" spans="2:44" x14ac:dyDescent="0.3">
      <c r="B80" s="78"/>
      <c r="C80" s="122"/>
      <c r="D80" s="136"/>
      <c r="E80" s="38"/>
      <c r="F80" s="42">
        <v>78000</v>
      </c>
      <c r="G80" s="38">
        <v>44968</v>
      </c>
      <c r="H80" s="42"/>
      <c r="I80" s="38"/>
      <c r="J80" s="42">
        <v>32000</v>
      </c>
      <c r="K80" s="38">
        <v>45024</v>
      </c>
      <c r="L80" s="295"/>
      <c r="M80" s="38"/>
      <c r="N80" s="42"/>
      <c r="O80" s="38"/>
      <c r="P80" s="42"/>
      <c r="Q80" s="38"/>
      <c r="R80" s="42"/>
      <c r="S80" s="38"/>
      <c r="T80" s="42"/>
      <c r="U80" s="38"/>
      <c r="V80" s="42"/>
      <c r="W80" s="38"/>
      <c r="X80" s="42"/>
      <c r="Y80" s="38"/>
      <c r="Z80" s="310"/>
      <c r="AA80" s="38"/>
      <c r="AB80" s="42"/>
      <c r="AC80" s="38"/>
      <c r="AD80" s="42"/>
      <c r="AE80" s="38"/>
      <c r="AF80" s="42"/>
      <c r="AG80" s="38"/>
      <c r="AH80" s="42"/>
      <c r="AI80" s="38"/>
      <c r="AJ80" s="42"/>
      <c r="AK80" s="38"/>
      <c r="AL80" s="42"/>
      <c r="AM80" s="38"/>
      <c r="AO80" s="24">
        <v>1</v>
      </c>
      <c r="AP80" s="18" t="s">
        <v>532</v>
      </c>
      <c r="AQ80" s="48">
        <v>45120</v>
      </c>
      <c r="AR80" s="81">
        <v>1500</v>
      </c>
    </row>
    <row r="81" spans="2:44" x14ac:dyDescent="0.3">
      <c r="B81" s="78"/>
      <c r="C81" s="122"/>
      <c r="D81" s="136"/>
      <c r="E81" s="38"/>
      <c r="F81" s="42">
        <v>1000</v>
      </c>
      <c r="G81" s="38">
        <v>44976</v>
      </c>
      <c r="H81" s="42">
        <f>2000+1000</f>
        <v>3000</v>
      </c>
      <c r="I81" s="38">
        <v>45007</v>
      </c>
      <c r="J81" s="42">
        <v>3000</v>
      </c>
      <c r="K81" s="38">
        <v>45024</v>
      </c>
      <c r="L81" s="295">
        <v>5500</v>
      </c>
      <c r="M81" s="38">
        <v>45047</v>
      </c>
      <c r="N81" s="42"/>
      <c r="O81" s="38"/>
      <c r="P81" s="42"/>
      <c r="Q81" s="38"/>
      <c r="R81" s="42">
        <v>1000</v>
      </c>
      <c r="S81" s="38">
        <v>45148</v>
      </c>
      <c r="T81" s="42"/>
      <c r="U81" s="38"/>
      <c r="V81" s="42">
        <v>1200</v>
      </c>
      <c r="W81" s="38">
        <v>45224</v>
      </c>
      <c r="X81" s="42"/>
      <c r="Y81" s="38"/>
      <c r="Z81" s="310">
        <v>15000</v>
      </c>
      <c r="AA81" s="38">
        <v>45274</v>
      </c>
      <c r="AB81" s="42"/>
      <c r="AC81" s="38"/>
      <c r="AD81" s="42"/>
      <c r="AE81" s="38"/>
      <c r="AF81" s="42"/>
      <c r="AG81" s="38"/>
      <c r="AH81" s="42"/>
      <c r="AI81" s="38"/>
      <c r="AJ81" s="42"/>
      <c r="AK81" s="38"/>
      <c r="AL81" s="42"/>
      <c r="AM81" s="38"/>
      <c r="AO81" s="24">
        <v>2</v>
      </c>
      <c r="AP81" s="18" t="s">
        <v>44</v>
      </c>
      <c r="AQ81" s="48">
        <v>45120</v>
      </c>
      <c r="AR81" s="81">
        <v>2500</v>
      </c>
    </row>
    <row r="82" spans="2:44" x14ac:dyDescent="0.3">
      <c r="B82" s="78"/>
      <c r="C82" s="122"/>
      <c r="D82" s="136"/>
      <c r="E82" s="38"/>
      <c r="F82" s="42"/>
      <c r="G82" s="38"/>
      <c r="H82" s="42"/>
      <c r="I82" s="38"/>
      <c r="J82" s="42">
        <f>31000+31000</f>
        <v>62000</v>
      </c>
      <c r="K82" s="38">
        <v>45045</v>
      </c>
      <c r="L82" s="295">
        <v>31000</v>
      </c>
      <c r="M82" s="38">
        <v>45047</v>
      </c>
      <c r="N82" s="42"/>
      <c r="O82" s="38"/>
      <c r="P82" s="42"/>
      <c r="Q82" s="38"/>
      <c r="R82" s="42"/>
      <c r="S82" s="38"/>
      <c r="T82" s="42"/>
      <c r="U82" s="38"/>
      <c r="V82" s="42"/>
      <c r="W82" s="38"/>
      <c r="X82" s="42"/>
      <c r="Y82" s="38"/>
      <c r="Z82" s="310"/>
      <c r="AA82" s="38"/>
      <c r="AB82" s="42"/>
      <c r="AC82" s="38"/>
      <c r="AD82" s="42"/>
      <c r="AE82" s="38"/>
      <c r="AF82" s="42"/>
      <c r="AG82" s="38"/>
      <c r="AH82" s="42"/>
      <c r="AI82" s="38"/>
      <c r="AJ82" s="42"/>
      <c r="AK82" s="38"/>
      <c r="AL82" s="42"/>
      <c r="AM82" s="38"/>
      <c r="AO82" s="24">
        <v>3</v>
      </c>
      <c r="AP82" s="18" t="s">
        <v>115</v>
      </c>
      <c r="AQ82" s="48">
        <v>45123</v>
      </c>
      <c r="AR82" s="81">
        <v>2500</v>
      </c>
    </row>
    <row r="83" spans="2:44" x14ac:dyDescent="0.3">
      <c r="B83" s="78"/>
      <c r="C83" s="122"/>
      <c r="D83" s="136"/>
      <c r="E83" s="38"/>
      <c r="F83" s="42">
        <v>5500</v>
      </c>
      <c r="G83" s="38">
        <v>44980</v>
      </c>
      <c r="H83" s="42"/>
      <c r="I83" s="38"/>
      <c r="J83" s="42">
        <v>3000</v>
      </c>
      <c r="K83" s="38">
        <v>45045</v>
      </c>
      <c r="L83" s="295">
        <f>2500+11500</f>
        <v>14000</v>
      </c>
      <c r="M83" s="38">
        <v>45071</v>
      </c>
      <c r="N83" s="42"/>
      <c r="O83" s="38"/>
      <c r="P83" s="42"/>
      <c r="Q83" s="38"/>
      <c r="R83" s="42">
        <v>5840</v>
      </c>
      <c r="S83" s="38">
        <v>45152</v>
      </c>
      <c r="T83" s="42"/>
      <c r="U83" s="38"/>
      <c r="V83" s="42">
        <v>7180</v>
      </c>
      <c r="W83" s="38">
        <v>45201</v>
      </c>
      <c r="X83" s="42"/>
      <c r="Y83" s="38"/>
      <c r="Z83" s="310">
        <v>5000</v>
      </c>
      <c r="AA83" s="38">
        <v>45275</v>
      </c>
      <c r="AB83" s="42"/>
      <c r="AC83" s="38"/>
      <c r="AD83" s="42"/>
      <c r="AE83" s="38"/>
      <c r="AF83" s="42"/>
      <c r="AG83" s="38"/>
      <c r="AH83" s="42"/>
      <c r="AI83" s="38"/>
      <c r="AJ83" s="42"/>
      <c r="AK83" s="38"/>
      <c r="AL83" s="42"/>
      <c r="AM83" s="38"/>
      <c r="AO83" s="24">
        <v>4</v>
      </c>
      <c r="AP83" s="18" t="s">
        <v>533</v>
      </c>
      <c r="AQ83" s="48">
        <v>45123</v>
      </c>
      <c r="AR83" s="81">
        <v>13000</v>
      </c>
    </row>
    <row r="84" spans="2:44" x14ac:dyDescent="0.3">
      <c r="B84" s="78"/>
      <c r="C84" s="122"/>
      <c r="D84" s="238"/>
      <c r="E84" s="94"/>
      <c r="F84" s="75"/>
      <c r="G84" s="94"/>
      <c r="H84" s="75"/>
      <c r="I84" s="94"/>
      <c r="J84" s="75"/>
      <c r="K84" s="94"/>
      <c r="L84" s="153"/>
      <c r="M84" s="94"/>
      <c r="N84" s="75"/>
      <c r="O84" s="94"/>
      <c r="P84" s="75">
        <v>6000</v>
      </c>
      <c r="Q84" s="94">
        <v>45112</v>
      </c>
      <c r="R84" s="75">
        <v>11780</v>
      </c>
      <c r="S84" s="38">
        <v>45142</v>
      </c>
      <c r="T84" s="75"/>
      <c r="U84" s="38"/>
      <c r="V84" s="75"/>
      <c r="W84" s="38"/>
      <c r="X84" s="75"/>
      <c r="Y84" s="38"/>
      <c r="Z84" s="174">
        <v>13000</v>
      </c>
      <c r="AA84" s="38">
        <v>45278</v>
      </c>
      <c r="AB84" s="75"/>
      <c r="AC84" s="38"/>
      <c r="AD84" s="75"/>
      <c r="AE84" s="38"/>
      <c r="AF84" s="75"/>
      <c r="AG84" s="38"/>
      <c r="AH84" s="75"/>
      <c r="AI84" s="38"/>
      <c r="AJ84" s="75"/>
      <c r="AK84" s="38"/>
      <c r="AL84" s="75"/>
      <c r="AM84" s="38"/>
      <c r="AO84" s="24">
        <v>5</v>
      </c>
      <c r="AP84" s="18" t="s">
        <v>72</v>
      </c>
      <c r="AQ84" s="48">
        <v>45133</v>
      </c>
      <c r="AR84" s="81">
        <v>2000</v>
      </c>
    </row>
    <row r="85" spans="2:44" ht="15" thickBot="1" x14ac:dyDescent="0.35">
      <c r="B85" s="44"/>
      <c r="C85" s="118"/>
      <c r="D85" s="126">
        <f>SUM(D74:D83)</f>
        <v>29030</v>
      </c>
      <c r="E85" s="45"/>
      <c r="F85" s="126">
        <f>SUM(F74:F83)</f>
        <v>102970</v>
      </c>
      <c r="G85" s="45"/>
      <c r="H85" s="126">
        <f>SUM(H74:H83)</f>
        <v>18500</v>
      </c>
      <c r="I85" s="45"/>
      <c r="J85" s="126">
        <f>SUM(J74:J83)</f>
        <v>111900</v>
      </c>
      <c r="K85" s="45"/>
      <c r="L85" s="304">
        <f>SUM(L74:L83)</f>
        <v>129900</v>
      </c>
      <c r="M85" s="45"/>
      <c r="N85" s="126">
        <f>SUM(N74:N83)</f>
        <v>22330</v>
      </c>
      <c r="O85" s="45"/>
      <c r="P85" s="126">
        <f>SUM(P74:P84)</f>
        <v>6000</v>
      </c>
      <c r="Q85" s="45"/>
      <c r="R85" s="126">
        <f>SUM(R74:R84)</f>
        <v>18620</v>
      </c>
      <c r="S85" s="45"/>
      <c r="T85" s="126">
        <f>SUM(T74:T83)</f>
        <v>0</v>
      </c>
      <c r="U85" s="45"/>
      <c r="V85" s="126">
        <f>SUM(V74:V83)</f>
        <v>31380</v>
      </c>
      <c r="W85" s="45"/>
      <c r="X85" s="126">
        <f>SUM(X74:X83)</f>
        <v>25450</v>
      </c>
      <c r="Y85" s="45"/>
      <c r="Z85" s="320">
        <f>SUM(Z74:Z83)</f>
        <v>20000</v>
      </c>
      <c r="AA85" s="45"/>
      <c r="AB85" s="126">
        <f>SUM(AB74:AB83)</f>
        <v>29960</v>
      </c>
      <c r="AC85" s="45"/>
      <c r="AD85" s="126">
        <f>SUM(AD74:AD83)</f>
        <v>0</v>
      </c>
      <c r="AE85" s="45"/>
      <c r="AF85" s="126">
        <f>SUM(AF74:AF83)</f>
        <v>37790</v>
      </c>
      <c r="AG85" s="45"/>
      <c r="AH85" s="126">
        <f>SUM(AH74:AH83)</f>
        <v>22080</v>
      </c>
      <c r="AI85" s="45"/>
      <c r="AJ85" s="126">
        <f>SUM(AJ74:AJ83)</f>
        <v>0</v>
      </c>
      <c r="AK85" s="45"/>
      <c r="AL85" s="126">
        <f>SUM(AL74:AL83)</f>
        <v>0</v>
      </c>
      <c r="AM85" s="45"/>
      <c r="AO85" s="24">
        <v>6</v>
      </c>
      <c r="AP85" s="18" t="s">
        <v>89</v>
      </c>
      <c r="AQ85" s="48">
        <v>45137</v>
      </c>
      <c r="AR85" s="239">
        <v>5000</v>
      </c>
    </row>
    <row r="86" spans="2:44" ht="15" thickTop="1" x14ac:dyDescent="0.3">
      <c r="B86" s="3" t="s">
        <v>129</v>
      </c>
      <c r="C86" s="117" t="s">
        <v>535</v>
      </c>
      <c r="D86" s="159"/>
      <c r="E86" s="38"/>
      <c r="F86" s="106"/>
      <c r="G86" s="38"/>
      <c r="H86" s="106"/>
      <c r="I86" s="38"/>
      <c r="J86" s="106"/>
      <c r="K86" s="38"/>
      <c r="L86" s="299"/>
      <c r="M86" s="38"/>
      <c r="N86" s="106">
        <v>57000</v>
      </c>
      <c r="O86" s="38">
        <v>45098</v>
      </c>
      <c r="P86" s="106">
        <f>8000+3000</f>
        <v>11000</v>
      </c>
      <c r="Q86" s="94" t="s">
        <v>536</v>
      </c>
      <c r="R86" s="106"/>
      <c r="S86" s="94"/>
      <c r="T86" s="106"/>
      <c r="U86" s="94"/>
      <c r="V86" s="106"/>
      <c r="W86" s="94"/>
      <c r="X86" s="106"/>
      <c r="Y86" s="94"/>
      <c r="Z86" s="206"/>
      <c r="AA86" s="94"/>
      <c r="AB86" s="106"/>
      <c r="AC86" s="94"/>
      <c r="AD86" s="106"/>
      <c r="AE86" s="94"/>
      <c r="AF86" s="106"/>
      <c r="AG86" s="94"/>
      <c r="AH86" s="106"/>
      <c r="AI86" s="94"/>
      <c r="AJ86" s="106"/>
      <c r="AK86" s="94"/>
      <c r="AL86" s="106"/>
      <c r="AM86" s="94"/>
      <c r="AO86" s="24">
        <v>7</v>
      </c>
      <c r="AP86" s="18" t="s">
        <v>537</v>
      </c>
      <c r="AQ86" s="48">
        <v>45137</v>
      </c>
      <c r="AR86" s="81">
        <v>1500</v>
      </c>
    </row>
    <row r="87" spans="2:44" x14ac:dyDescent="0.3">
      <c r="B87" s="3"/>
      <c r="C87" s="117" t="s">
        <v>130</v>
      </c>
      <c r="D87" s="159"/>
      <c r="E87" s="38"/>
      <c r="F87" s="106"/>
      <c r="G87" s="38"/>
      <c r="H87" s="106"/>
      <c r="I87" s="38"/>
      <c r="J87" s="106"/>
      <c r="K87" s="38"/>
      <c r="L87" s="299"/>
      <c r="M87" s="38"/>
      <c r="N87" s="106">
        <v>9000</v>
      </c>
      <c r="O87" s="38">
        <v>45107</v>
      </c>
      <c r="P87" s="106"/>
      <c r="Q87" s="38"/>
      <c r="R87" s="106"/>
      <c r="S87" s="38"/>
      <c r="T87" s="106"/>
      <c r="U87" s="38"/>
      <c r="V87" s="106"/>
      <c r="W87" s="38"/>
      <c r="X87" s="106"/>
      <c r="Y87" s="38"/>
      <c r="Z87" s="206"/>
      <c r="AA87" s="38"/>
      <c r="AB87" s="106"/>
      <c r="AC87" s="38"/>
      <c r="AD87" s="106"/>
      <c r="AE87" s="38"/>
      <c r="AF87" s="106"/>
      <c r="AG87" s="38"/>
      <c r="AH87" s="106"/>
      <c r="AI87" s="38"/>
      <c r="AJ87" s="106"/>
      <c r="AK87" s="38"/>
      <c r="AL87" s="106"/>
      <c r="AM87" s="38"/>
      <c r="AO87" s="100">
        <v>45108</v>
      </c>
      <c r="AP87" s="70"/>
      <c r="AQ87" s="70"/>
      <c r="AR87" s="71">
        <f>SUM(AR80:AR86)</f>
        <v>28000</v>
      </c>
    </row>
    <row r="88" spans="2:44" x14ac:dyDescent="0.3">
      <c r="B88" s="3"/>
      <c r="C88" s="117" t="s">
        <v>405</v>
      </c>
      <c r="D88" s="159"/>
      <c r="E88" s="38"/>
      <c r="F88" s="106"/>
      <c r="G88" s="38"/>
      <c r="H88" s="106"/>
      <c r="I88" s="38"/>
      <c r="J88" s="106"/>
      <c r="K88" s="38"/>
      <c r="L88" s="299"/>
      <c r="M88" s="38"/>
      <c r="N88" s="106">
        <v>2000</v>
      </c>
      <c r="O88" s="38">
        <v>45098</v>
      </c>
      <c r="P88" s="106"/>
      <c r="Q88" s="38"/>
      <c r="R88" s="106"/>
      <c r="S88" s="38"/>
      <c r="T88" s="106"/>
      <c r="U88" s="38"/>
      <c r="V88" s="106"/>
      <c r="W88" s="38"/>
      <c r="X88" s="106"/>
      <c r="Y88" s="38"/>
      <c r="Z88" s="206"/>
      <c r="AA88" s="38"/>
      <c r="AB88" s="106"/>
      <c r="AC88" s="38"/>
      <c r="AD88" s="106"/>
      <c r="AE88" s="38"/>
      <c r="AF88" s="106"/>
      <c r="AG88" s="38"/>
      <c r="AH88" s="106"/>
      <c r="AI88" s="38"/>
      <c r="AJ88" s="106"/>
      <c r="AK88" s="38"/>
      <c r="AL88" s="106"/>
      <c r="AM88" s="38"/>
    </row>
    <row r="89" spans="2:44" x14ac:dyDescent="0.3">
      <c r="B89" s="3"/>
      <c r="C89" s="117" t="s">
        <v>530</v>
      </c>
      <c r="D89" s="159"/>
      <c r="E89" s="38"/>
      <c r="F89" s="106"/>
      <c r="G89" s="38"/>
      <c r="H89" s="106"/>
      <c r="I89" s="38"/>
      <c r="J89" s="106"/>
      <c r="K89" s="38"/>
      <c r="L89" s="299"/>
      <c r="M89" s="38"/>
      <c r="N89" s="106">
        <v>15000</v>
      </c>
      <c r="O89" s="38">
        <v>45099</v>
      </c>
      <c r="P89" s="106"/>
      <c r="Q89" s="38"/>
      <c r="R89" s="106"/>
      <c r="S89" s="38"/>
      <c r="T89" s="106"/>
      <c r="U89" s="38"/>
      <c r="V89" s="106"/>
      <c r="W89" s="38"/>
      <c r="X89" s="106"/>
      <c r="Y89" s="38"/>
      <c r="Z89" s="206"/>
      <c r="AA89" s="38"/>
      <c r="AB89" s="106"/>
      <c r="AC89" s="38"/>
      <c r="AD89" s="106"/>
      <c r="AE89" s="38"/>
      <c r="AF89" s="106"/>
      <c r="AG89" s="38"/>
      <c r="AH89" s="106"/>
      <c r="AI89" s="38"/>
      <c r="AJ89" s="106"/>
      <c r="AK89" s="38"/>
      <c r="AL89" s="106"/>
      <c r="AM89" s="38"/>
      <c r="AO89" s="24">
        <v>1</v>
      </c>
      <c r="AP89" s="18" t="s">
        <v>538</v>
      </c>
      <c r="AQ89" s="48">
        <v>45140</v>
      </c>
      <c r="AR89" s="81">
        <v>200</v>
      </c>
    </row>
    <row r="90" spans="2:44" x14ac:dyDescent="0.3">
      <c r="B90" s="3"/>
      <c r="C90" s="117" t="s">
        <v>131</v>
      </c>
      <c r="D90" s="159"/>
      <c r="E90" s="38"/>
      <c r="F90" s="106"/>
      <c r="G90" s="38"/>
      <c r="H90" s="106"/>
      <c r="I90" s="38"/>
      <c r="J90" s="106"/>
      <c r="K90" s="38"/>
      <c r="L90" s="299"/>
      <c r="M90" s="38"/>
      <c r="N90" s="106"/>
      <c r="O90" s="38"/>
      <c r="P90" s="106"/>
      <c r="Q90" s="38"/>
      <c r="R90" s="106"/>
      <c r="S90" s="38"/>
      <c r="T90" s="106"/>
      <c r="U90" s="38"/>
      <c r="V90" s="106"/>
      <c r="W90" s="38"/>
      <c r="X90" s="106"/>
      <c r="Y90" s="38"/>
      <c r="Z90" s="206"/>
      <c r="AA90" s="38"/>
      <c r="AB90" s="106"/>
      <c r="AC90" s="38"/>
      <c r="AD90" s="106"/>
      <c r="AE90" s="38"/>
      <c r="AF90" s="106"/>
      <c r="AG90" s="38"/>
      <c r="AH90" s="106"/>
      <c r="AI90" s="38"/>
      <c r="AJ90" s="106"/>
      <c r="AK90" s="38"/>
      <c r="AL90" s="106"/>
      <c r="AM90" s="38"/>
      <c r="AO90" s="24">
        <v>2</v>
      </c>
      <c r="AP90" s="18" t="s">
        <v>44</v>
      </c>
      <c r="AQ90" s="48">
        <v>45143</v>
      </c>
      <c r="AR90" s="239">
        <v>2500</v>
      </c>
    </row>
    <row r="91" spans="2:44" ht="15" thickBot="1" x14ac:dyDescent="0.35">
      <c r="B91" s="44"/>
      <c r="C91" s="118"/>
      <c r="D91" s="46">
        <f>SUM(D86:D87)</f>
        <v>0</v>
      </c>
      <c r="E91" s="45"/>
      <c r="F91" s="124">
        <f>SUM(F86:F87)</f>
        <v>0</v>
      </c>
      <c r="G91" s="45"/>
      <c r="H91" s="124">
        <f>SUM(H86:H87)</f>
        <v>0</v>
      </c>
      <c r="I91" s="45"/>
      <c r="J91" s="124">
        <f>SUM(J86:J87)</f>
        <v>0</v>
      </c>
      <c r="K91" s="45"/>
      <c r="L91" s="306">
        <f>SUM(L86:L87)</f>
        <v>0</v>
      </c>
      <c r="M91" s="45"/>
      <c r="N91" s="235">
        <f>SUM(N86:N90)</f>
        <v>83000</v>
      </c>
      <c r="O91" s="45"/>
      <c r="P91" s="235">
        <f>SUM(P86:P90)</f>
        <v>11000</v>
      </c>
      <c r="Q91" s="45"/>
      <c r="R91" s="124">
        <f>SUM(R86:R90)</f>
        <v>0</v>
      </c>
      <c r="S91" s="45"/>
      <c r="T91" s="124">
        <f>SUM(T86:T90)</f>
        <v>0</v>
      </c>
      <c r="U91" s="45"/>
      <c r="V91" s="124">
        <f>SUM(V86:V90)</f>
        <v>0</v>
      </c>
      <c r="W91" s="45"/>
      <c r="X91" s="124">
        <f>SUM(X86:X90)</f>
        <v>0</v>
      </c>
      <c r="Y91" s="45"/>
      <c r="Z91" s="322">
        <f>SUM(Z86:Z90)</f>
        <v>0</v>
      </c>
      <c r="AA91" s="45"/>
      <c r="AB91" s="124">
        <f>SUM(AB86:AB90)</f>
        <v>0</v>
      </c>
      <c r="AC91" s="45"/>
      <c r="AD91" s="124">
        <f>SUM(AD86:AD90)</f>
        <v>0</v>
      </c>
      <c r="AE91" s="45"/>
      <c r="AF91" s="124">
        <f>SUM(AF86:AF90)</f>
        <v>0</v>
      </c>
      <c r="AG91" s="45"/>
      <c r="AH91" s="124">
        <f>SUM(AH86:AH90)</f>
        <v>0</v>
      </c>
      <c r="AI91" s="45"/>
      <c r="AJ91" s="124">
        <f>SUM(AJ86:AJ90)</f>
        <v>0</v>
      </c>
      <c r="AK91" s="45"/>
      <c r="AL91" s="124">
        <f>SUM(AL86:AL90)</f>
        <v>0</v>
      </c>
      <c r="AM91" s="45"/>
      <c r="AO91" s="24">
        <v>3</v>
      </c>
      <c r="AP91" s="18" t="s">
        <v>89</v>
      </c>
      <c r="AQ91" s="48">
        <v>45152</v>
      </c>
      <c r="AR91" s="81">
        <v>2000</v>
      </c>
    </row>
    <row r="92" spans="2:44" ht="15" thickTop="1" x14ac:dyDescent="0.3">
      <c r="B92" s="3" t="s">
        <v>291</v>
      </c>
      <c r="C92" s="117" t="s">
        <v>97</v>
      </c>
      <c r="D92" s="39"/>
      <c r="E92" s="38"/>
      <c r="F92" s="42"/>
      <c r="G92" s="38"/>
      <c r="H92" s="42">
        <v>41600</v>
      </c>
      <c r="I92" s="38">
        <v>45012</v>
      </c>
      <c r="J92" s="42"/>
      <c r="K92" s="38"/>
      <c r="L92" s="295"/>
      <c r="M92" s="38"/>
      <c r="N92" s="42"/>
      <c r="O92" s="38"/>
      <c r="P92" s="42"/>
      <c r="Q92" s="38"/>
      <c r="R92" s="42"/>
      <c r="S92" s="38"/>
      <c r="T92" s="42"/>
      <c r="U92" s="38"/>
      <c r="V92" s="42"/>
      <c r="W92" s="38"/>
      <c r="X92" s="42"/>
      <c r="Y92" s="38"/>
      <c r="Z92" s="310"/>
      <c r="AA92" s="38"/>
      <c r="AB92" s="42"/>
      <c r="AC92" s="38"/>
      <c r="AD92" s="42"/>
      <c r="AE92" s="38"/>
      <c r="AF92" s="42">
        <v>41600</v>
      </c>
      <c r="AG92" s="38">
        <v>45379</v>
      </c>
      <c r="AH92" s="42"/>
      <c r="AI92" s="38"/>
      <c r="AJ92" s="42"/>
      <c r="AK92" s="38"/>
      <c r="AL92" s="42"/>
      <c r="AM92" s="38"/>
      <c r="AO92" s="24">
        <v>4</v>
      </c>
      <c r="AP92" s="18" t="s">
        <v>589</v>
      </c>
      <c r="AQ92" s="48">
        <v>45157</v>
      </c>
      <c r="AR92" s="205">
        <v>350</v>
      </c>
    </row>
    <row r="93" spans="2:44" x14ac:dyDescent="0.3">
      <c r="B93" s="3"/>
      <c r="C93" s="122" t="s">
        <v>844</v>
      </c>
      <c r="D93" s="39"/>
      <c r="E93" s="38"/>
      <c r="F93" s="42"/>
      <c r="G93" s="38"/>
      <c r="H93" s="42">
        <v>6000</v>
      </c>
      <c r="I93" s="38">
        <v>45007</v>
      </c>
      <c r="J93" s="42"/>
      <c r="K93" s="38"/>
      <c r="L93" s="295"/>
      <c r="M93" s="38"/>
      <c r="N93" s="42"/>
      <c r="O93" s="38"/>
      <c r="P93" s="42"/>
      <c r="Q93" s="38"/>
      <c r="R93" s="42"/>
      <c r="S93" s="38"/>
      <c r="T93" s="42"/>
      <c r="U93" s="38"/>
      <c r="V93" s="42"/>
      <c r="W93" s="38"/>
      <c r="X93" s="42"/>
      <c r="Y93" s="38"/>
      <c r="Z93" s="310"/>
      <c r="AA93" s="38"/>
      <c r="AB93" s="42"/>
      <c r="AC93" s="38"/>
      <c r="AD93" s="42"/>
      <c r="AE93" s="38"/>
      <c r="AF93" s="42">
        <v>5050</v>
      </c>
      <c r="AG93" s="38">
        <v>45366</v>
      </c>
      <c r="AH93" s="42"/>
      <c r="AI93" s="38"/>
      <c r="AJ93" s="42"/>
      <c r="AK93" s="38"/>
      <c r="AL93" s="42"/>
      <c r="AM93" s="38"/>
      <c r="AO93" s="100">
        <v>45139</v>
      </c>
      <c r="AP93" s="70"/>
      <c r="AQ93" s="70"/>
      <c r="AR93" s="71">
        <f>SUM(AR89:AR92)</f>
        <v>5050</v>
      </c>
    </row>
    <row r="94" spans="2:44" x14ac:dyDescent="0.3">
      <c r="B94" s="3"/>
      <c r="C94" t="s">
        <v>748</v>
      </c>
      <c r="D94" s="39"/>
      <c r="E94" s="38"/>
      <c r="F94" s="42"/>
      <c r="G94" s="38"/>
      <c r="H94" s="42">
        <v>11000</v>
      </c>
      <c r="I94" s="38">
        <v>45007</v>
      </c>
      <c r="J94" s="42"/>
      <c r="K94" s="38"/>
      <c r="L94" s="295"/>
      <c r="M94" s="38"/>
      <c r="N94" s="42"/>
      <c r="O94" s="38"/>
      <c r="P94" s="42"/>
      <c r="Q94" s="38"/>
      <c r="R94" s="42"/>
      <c r="S94" s="38"/>
      <c r="T94" s="42"/>
      <c r="U94" s="38"/>
      <c r="V94" s="42"/>
      <c r="W94" s="38"/>
      <c r="X94" s="42"/>
      <c r="Y94" s="38"/>
      <c r="Z94" s="310"/>
      <c r="AA94" s="38"/>
      <c r="AB94" s="42"/>
      <c r="AC94" s="38"/>
      <c r="AD94" s="42"/>
      <c r="AE94" s="38"/>
      <c r="AF94" s="42">
        <v>23500</v>
      </c>
      <c r="AG94" s="38">
        <v>45366</v>
      </c>
      <c r="AH94" s="42"/>
      <c r="AI94" s="38"/>
      <c r="AJ94" s="42"/>
      <c r="AK94" s="38"/>
      <c r="AL94" s="42"/>
      <c r="AM94" s="38"/>
    </row>
    <row r="95" spans="2:44" x14ac:dyDescent="0.3">
      <c r="B95" s="3"/>
      <c r="C95" s="207" t="s">
        <v>96</v>
      </c>
      <c r="D95" s="39"/>
      <c r="E95" s="38"/>
      <c r="F95" s="42"/>
      <c r="G95" s="38"/>
      <c r="H95" s="42"/>
      <c r="I95" s="38"/>
      <c r="J95" s="206">
        <f>18402+2500</f>
        <v>20902</v>
      </c>
      <c r="K95" s="38">
        <v>45033</v>
      </c>
      <c r="L95" s="299"/>
      <c r="M95" s="38"/>
      <c r="N95" s="106"/>
      <c r="O95" s="38"/>
      <c r="P95" s="106"/>
      <c r="Q95" s="38"/>
      <c r="R95" s="106"/>
      <c r="S95" s="38"/>
      <c r="T95" s="106"/>
      <c r="U95" s="38"/>
      <c r="V95" s="106"/>
      <c r="W95" s="38"/>
      <c r="X95" s="106"/>
      <c r="Y95" s="38"/>
      <c r="Z95" s="206"/>
      <c r="AA95" s="38"/>
      <c r="AB95" s="106"/>
      <c r="AC95" s="38"/>
      <c r="AD95" s="106"/>
      <c r="AE95" s="38"/>
      <c r="AF95" s="106"/>
      <c r="AG95" s="38"/>
      <c r="AH95" s="106">
        <f>-Naveed!AL130-Naveed!AL132-Naveed!AL133-Naveed!AL134</f>
        <v>27460</v>
      </c>
      <c r="AI95" s="38">
        <v>45388</v>
      </c>
      <c r="AJ95" s="106"/>
      <c r="AK95" s="38"/>
      <c r="AL95" s="106"/>
      <c r="AM95" s="38"/>
    </row>
    <row r="96" spans="2:44" x14ac:dyDescent="0.3">
      <c r="B96" s="3"/>
      <c r="C96" s="117" t="s">
        <v>98</v>
      </c>
      <c r="D96" s="39"/>
      <c r="E96" s="38"/>
      <c r="F96" s="42"/>
      <c r="G96" s="38"/>
      <c r="H96" s="42"/>
      <c r="I96" s="38"/>
      <c r="J96" s="204">
        <v>25000</v>
      </c>
      <c r="K96" s="38">
        <v>45033</v>
      </c>
      <c r="L96" s="307"/>
      <c r="M96" s="38"/>
      <c r="N96" s="204"/>
      <c r="O96" s="38"/>
      <c r="P96" s="204"/>
      <c r="Q96" s="38"/>
      <c r="R96" s="204"/>
      <c r="S96" s="38"/>
      <c r="T96" s="204"/>
      <c r="U96" s="38"/>
      <c r="V96" s="204"/>
      <c r="W96" s="38"/>
      <c r="X96" s="204"/>
      <c r="Y96" s="38"/>
      <c r="Z96" s="317"/>
      <c r="AA96" s="38"/>
      <c r="AB96" s="204"/>
      <c r="AC96" s="38"/>
      <c r="AD96" s="204"/>
      <c r="AE96" s="38"/>
      <c r="AF96" s="204"/>
      <c r="AG96" s="38"/>
      <c r="AH96" s="204">
        <f>-Naveed!AL131</f>
        <v>30000</v>
      </c>
      <c r="AI96" s="38">
        <v>45388</v>
      </c>
      <c r="AJ96" s="204"/>
      <c r="AK96" s="38"/>
      <c r="AL96" s="204"/>
      <c r="AM96" s="38"/>
    </row>
    <row r="97" spans="2:39" x14ac:dyDescent="0.3">
      <c r="B97" s="3"/>
      <c r="C97" s="117" t="s">
        <v>95</v>
      </c>
      <c r="D97" s="39"/>
      <c r="E97" s="38"/>
      <c r="F97" s="42"/>
      <c r="G97" s="38"/>
      <c r="H97" s="42"/>
      <c r="I97" s="38"/>
      <c r="J97" s="42">
        <f>53000</f>
        <v>53000</v>
      </c>
      <c r="K97" s="38">
        <v>45035</v>
      </c>
      <c r="L97" s="295"/>
      <c r="M97" s="38"/>
      <c r="N97" s="42"/>
      <c r="O97" s="38"/>
      <c r="P97" s="42"/>
      <c r="Q97" s="38"/>
      <c r="R97" s="42"/>
      <c r="S97" s="38"/>
      <c r="T97" s="42"/>
      <c r="U97" s="38"/>
      <c r="V97" s="42"/>
      <c r="W97" s="38"/>
      <c r="X97" s="42"/>
      <c r="Y97" s="38"/>
      <c r="Z97" s="310"/>
      <c r="AA97" s="38"/>
      <c r="AB97" s="42"/>
      <c r="AC97" s="38"/>
      <c r="AD97" s="42"/>
      <c r="AE97" s="38"/>
      <c r="AF97" s="42"/>
      <c r="AG97" s="38"/>
      <c r="AH97" s="42">
        <v>63000</v>
      </c>
      <c r="AI97" s="38">
        <v>45392</v>
      </c>
      <c r="AJ97" s="42"/>
      <c r="AK97" s="38"/>
      <c r="AL97" s="42"/>
      <c r="AM97" s="38"/>
    </row>
    <row r="98" spans="2:39" ht="15" thickBot="1" x14ac:dyDescent="0.35">
      <c r="B98" s="44"/>
      <c r="C98" s="118"/>
      <c r="D98" s="126">
        <f>SUM(D92:D97)</f>
        <v>0</v>
      </c>
      <c r="E98" s="45"/>
      <c r="F98" s="126">
        <f>SUM(F92:F97)</f>
        <v>0</v>
      </c>
      <c r="G98" s="45"/>
      <c r="H98" s="126">
        <f>SUM(H92:H97)</f>
        <v>58600</v>
      </c>
      <c r="I98" s="45"/>
      <c r="J98" s="126">
        <f>SUM(J92:J97)</f>
        <v>98902</v>
      </c>
      <c r="K98" s="45"/>
      <c r="L98" s="304">
        <f>SUM(L92:L97)</f>
        <v>0</v>
      </c>
      <c r="M98" s="45"/>
      <c r="N98" s="126">
        <f>SUM(N92:N97)</f>
        <v>0</v>
      </c>
      <c r="O98" s="45"/>
      <c r="P98" s="126">
        <f>SUM(P92:P97)</f>
        <v>0</v>
      </c>
      <c r="Q98" s="45"/>
      <c r="R98" s="126">
        <f>SUM(R92:R97)</f>
        <v>0</v>
      </c>
      <c r="S98" s="45"/>
      <c r="T98" s="126">
        <f>SUM(T92:T97)</f>
        <v>0</v>
      </c>
      <c r="U98" s="45"/>
      <c r="V98" s="126">
        <f>SUM(V92:V97)</f>
        <v>0</v>
      </c>
      <c r="W98" s="45"/>
      <c r="X98" s="126">
        <f>SUM(X92:X97)</f>
        <v>0</v>
      </c>
      <c r="Y98" s="45"/>
      <c r="Z98" s="320">
        <f>SUM(Z92:Z97)</f>
        <v>0</v>
      </c>
      <c r="AA98" s="45"/>
      <c r="AB98" s="126">
        <f>SUM(AB92:AB97)</f>
        <v>0</v>
      </c>
      <c r="AC98" s="45"/>
      <c r="AD98" s="126">
        <f>SUM(AD92:AD97)</f>
        <v>0</v>
      </c>
      <c r="AE98" s="45"/>
      <c r="AF98" s="126">
        <f>SUM(AF92:AF97)</f>
        <v>70150</v>
      </c>
      <c r="AG98" s="45"/>
      <c r="AH98" s="126">
        <f>SUM(AH92:AH97)</f>
        <v>120460</v>
      </c>
      <c r="AI98" s="45"/>
      <c r="AJ98" s="126">
        <f>SUM(AJ92:AJ97)</f>
        <v>0</v>
      </c>
      <c r="AK98" s="45"/>
      <c r="AL98" s="126">
        <f>SUM(AL92:AL97)</f>
        <v>0</v>
      </c>
      <c r="AM98" s="45"/>
    </row>
    <row r="99" spans="2:39" ht="15" thickTop="1" x14ac:dyDescent="0.3">
      <c r="B99" s="3" t="s">
        <v>133</v>
      </c>
      <c r="C99" s="121"/>
      <c r="D99" s="170"/>
      <c r="E99" s="5"/>
      <c r="F99" s="91"/>
      <c r="G99" s="5"/>
      <c r="H99" s="91"/>
      <c r="I99" s="5"/>
      <c r="J99" s="91"/>
      <c r="K99" s="5"/>
      <c r="L99" s="300"/>
      <c r="M99" s="5"/>
      <c r="N99" s="91"/>
      <c r="O99" s="5"/>
      <c r="P99" s="91"/>
      <c r="Q99" s="5"/>
      <c r="R99" s="91"/>
      <c r="S99" s="5"/>
      <c r="T99" s="91"/>
      <c r="U99" s="5"/>
      <c r="V99" s="91"/>
      <c r="W99" s="5"/>
      <c r="X99" s="91"/>
      <c r="Y99" s="5"/>
      <c r="Z99" s="315"/>
      <c r="AA99" s="5"/>
      <c r="AB99" s="91"/>
      <c r="AC99" s="5"/>
      <c r="AD99" s="91"/>
      <c r="AE99" s="5"/>
      <c r="AF99" s="91"/>
      <c r="AG99" s="5"/>
      <c r="AH99" s="91"/>
      <c r="AI99" s="5"/>
      <c r="AJ99" s="91"/>
      <c r="AK99" s="5"/>
      <c r="AL99" s="91"/>
      <c r="AM99" s="5"/>
    </row>
    <row r="100" spans="2:39" x14ac:dyDescent="0.3">
      <c r="B100" s="3" t="s">
        <v>134</v>
      </c>
      <c r="C100" s="121"/>
      <c r="D100" s="39"/>
      <c r="E100" s="38"/>
      <c r="F100" s="42"/>
      <c r="G100" s="38"/>
      <c r="H100" s="42"/>
      <c r="I100" s="38"/>
      <c r="J100" s="42">
        <v>9000</v>
      </c>
      <c r="K100" s="38">
        <v>45045</v>
      </c>
      <c r="L100" s="295"/>
      <c r="M100" s="38"/>
      <c r="N100" s="42"/>
      <c r="O100" s="38"/>
      <c r="P100" s="42"/>
      <c r="Q100" s="38"/>
      <c r="R100" s="42">
        <v>10000</v>
      </c>
      <c r="S100" s="38">
        <v>45158</v>
      </c>
      <c r="T100" s="42"/>
      <c r="U100" s="38"/>
      <c r="V100" s="42"/>
      <c r="W100" s="38"/>
      <c r="X100" s="42">
        <v>2500</v>
      </c>
      <c r="Y100" s="38">
        <v>45245</v>
      </c>
      <c r="Z100" s="310"/>
      <c r="AA100" s="38"/>
      <c r="AB100" s="42"/>
      <c r="AC100" s="38"/>
      <c r="AD100" s="42"/>
      <c r="AE100" s="38"/>
      <c r="AF100" s="42"/>
      <c r="AG100" s="38"/>
      <c r="AH100" s="42">
        <v>3500</v>
      </c>
      <c r="AI100" s="38">
        <v>45392</v>
      </c>
      <c r="AJ100" s="42"/>
      <c r="AK100" s="38"/>
      <c r="AL100" s="42"/>
      <c r="AM100" s="38"/>
    </row>
    <row r="101" spans="2:39" x14ac:dyDescent="0.3">
      <c r="B101" s="3" t="s">
        <v>732</v>
      </c>
      <c r="C101" s="121"/>
      <c r="D101" s="39"/>
      <c r="E101" s="38"/>
      <c r="F101" s="42"/>
      <c r="G101" s="38"/>
      <c r="H101" s="42"/>
      <c r="I101" s="38"/>
      <c r="J101" s="42"/>
      <c r="K101" s="38"/>
      <c r="L101" s="295"/>
      <c r="M101" s="38"/>
      <c r="N101" s="42"/>
      <c r="O101" s="38"/>
      <c r="P101" s="42"/>
      <c r="Q101" s="38"/>
      <c r="R101" s="42"/>
      <c r="S101" s="38"/>
      <c r="T101" s="42"/>
      <c r="U101" s="38"/>
      <c r="V101" s="42"/>
      <c r="W101" s="38"/>
      <c r="X101" s="42">
        <v>17340</v>
      </c>
      <c r="Y101" s="38">
        <v>45239</v>
      </c>
      <c r="Z101" s="310"/>
      <c r="AA101" s="38"/>
      <c r="AB101" s="42"/>
      <c r="AC101" s="38"/>
      <c r="AD101" s="42"/>
      <c r="AE101" s="38"/>
      <c r="AF101" s="42"/>
      <c r="AG101" s="38"/>
      <c r="AH101" s="42"/>
      <c r="AI101" s="38"/>
      <c r="AJ101" s="42"/>
      <c r="AK101" s="38"/>
      <c r="AL101" s="42"/>
      <c r="AM101" s="38"/>
    </row>
    <row r="102" spans="2:39" ht="15" thickBot="1" x14ac:dyDescent="0.35">
      <c r="B102" s="44"/>
      <c r="C102" s="118"/>
      <c r="D102" s="126">
        <f>SUM(D99:D101)</f>
        <v>0</v>
      </c>
      <c r="E102" s="45"/>
      <c r="F102" s="126">
        <f>SUM(F99:F101)</f>
        <v>0</v>
      </c>
      <c r="G102" s="45"/>
      <c r="H102" s="126">
        <f>SUM(H99:H101)</f>
        <v>0</v>
      </c>
      <c r="I102" s="45"/>
      <c r="J102" s="126">
        <f>SUM(J99:J101)</f>
        <v>9000</v>
      </c>
      <c r="K102" s="45"/>
      <c r="L102" s="304">
        <f>SUM(L99:L101)</f>
        <v>0</v>
      </c>
      <c r="M102" s="45"/>
      <c r="N102" s="126">
        <f>SUM(N99:N101)</f>
        <v>0</v>
      </c>
      <c r="O102" s="45"/>
      <c r="P102" s="126">
        <f>SUM(P99:P101)</f>
        <v>0</v>
      </c>
      <c r="Q102" s="45"/>
      <c r="R102" s="126">
        <f>SUM(R99:R101)</f>
        <v>10000</v>
      </c>
      <c r="S102" s="45"/>
      <c r="T102" s="126">
        <f>SUM(T99:T101)</f>
        <v>0</v>
      </c>
      <c r="U102" s="45"/>
      <c r="V102" s="126">
        <f>SUM(V99:V101)</f>
        <v>0</v>
      </c>
      <c r="W102" s="45"/>
      <c r="X102" s="126">
        <f>SUM(X99:X101)</f>
        <v>19840</v>
      </c>
      <c r="Y102" s="45"/>
      <c r="Z102" s="320">
        <f>SUM(Z99:Z101)</f>
        <v>0</v>
      </c>
      <c r="AA102" s="45"/>
      <c r="AB102" s="126">
        <f>SUM(AB99:AB101)</f>
        <v>0</v>
      </c>
      <c r="AC102" s="45"/>
      <c r="AD102" s="126">
        <f>SUM(AD99:AD101)</f>
        <v>0</v>
      </c>
      <c r="AE102" s="45"/>
      <c r="AF102" s="126">
        <f>SUM(AF99:AF101)</f>
        <v>0</v>
      </c>
      <c r="AG102" s="45"/>
      <c r="AH102" s="126">
        <f>SUM(AH99:AH101)</f>
        <v>3500</v>
      </c>
      <c r="AI102" s="45"/>
      <c r="AJ102" s="126">
        <f>SUM(AJ99:AJ101)</f>
        <v>0</v>
      </c>
      <c r="AK102" s="45"/>
      <c r="AL102" s="126">
        <f>SUM(AL99:AL101)</f>
        <v>0</v>
      </c>
      <c r="AM102" s="45"/>
    </row>
    <row r="103" spans="2:39" ht="15.6" thickTop="1" thickBot="1" x14ac:dyDescent="0.35">
      <c r="B103" s="50" t="s">
        <v>8</v>
      </c>
      <c r="C103" s="167"/>
      <c r="D103" s="132">
        <f>D14+D23+D26+D34+D37+D40+D47+D57+D73+D85+D91+D98+D102</f>
        <v>746427</v>
      </c>
      <c r="E103" s="171"/>
      <c r="F103" s="132">
        <f>F14+F23+F26+F34+F37+F40+F47+F57+F73+F85+F91+F98+F102</f>
        <v>554264</v>
      </c>
      <c r="G103" s="51"/>
      <c r="H103" s="132">
        <f>H14+H23+H26+H34+H37+H40+H47+H57+H73+H85+H91+H98+H102</f>
        <v>483950</v>
      </c>
      <c r="I103" s="51"/>
      <c r="J103" s="132">
        <f>J14+J23+J26+J34+J37+J40+J47+J57+J73+J85+J91+J98+J102</f>
        <v>799057</v>
      </c>
      <c r="K103" s="51"/>
      <c r="L103" s="308">
        <f>L14+L23+L26+L34+L37+L40+L47+L57+L73+L85+L91+L98+L102+L62</f>
        <v>1094310</v>
      </c>
      <c r="M103" s="51"/>
      <c r="N103" s="132">
        <f>N14+N23+N26+N34+N37+N40+N47+N57+N73+N85+N91+N98+N102+N62</f>
        <v>1156470</v>
      </c>
      <c r="O103" s="51"/>
      <c r="P103" s="132">
        <f>P14+P23+P26+P34+P37+P40+P47+P57+P73+P85+P91+P98+P102+P62</f>
        <v>520498</v>
      </c>
      <c r="Q103" s="51"/>
      <c r="R103" s="132">
        <f>R14+R23+R26+R34+R37+R40+R47+R57+R73+R85+R91+R98+R102+R62</f>
        <v>740850</v>
      </c>
      <c r="S103" s="51"/>
      <c r="T103" s="132">
        <f>T14+T23+T26+T34+T37+T40+T47+T57+T73+T85+T91+T98+T102+T62</f>
        <v>518361</v>
      </c>
      <c r="U103" s="51"/>
      <c r="V103" s="132">
        <f>V14+V23+V26+V34+V37+V40+V47+V57+V73+V85+V91+V98+V102+V62</f>
        <v>638472</v>
      </c>
      <c r="W103" s="51"/>
      <c r="X103" s="132">
        <f>X14+X23+X26+X34+X37+X40+X47+X57+X73+X85+X91+X98+X102+X62+X68</f>
        <v>836634</v>
      </c>
      <c r="Y103" s="51"/>
      <c r="Z103" s="132">
        <f>Z14+Z23+Z26+Z34+Z37+Z40+Z47+Z57+Z73+Z85+Z91+Z98+Z102+Z62+Z68</f>
        <v>931841</v>
      </c>
      <c r="AA103" s="51"/>
      <c r="AB103" s="132">
        <f>AB14+AB23+AB26+AB34+AB37+AB40+AB47+AB57+AB73+AB85+AB91+AB98+AB102+AB65+AB62+AB68</f>
        <v>712305</v>
      </c>
      <c r="AC103" s="51"/>
      <c r="AD103" s="132">
        <f>AD14+AD23+AD26+AD34+AD37+AD40+AD47+AD57+AD73+AD85+AD91+AD98+AD102+AD65+AD62+AD68</f>
        <v>666071</v>
      </c>
      <c r="AE103" s="51"/>
      <c r="AF103" s="132">
        <f>AF14+AF23+AF26+AF34+AF37+AF40+AF47+AF57+AF73+AF85+AF91+AF98+AF102+AF65+AF62+AF68</f>
        <v>708641</v>
      </c>
      <c r="AG103" s="51"/>
      <c r="AH103" s="132">
        <f>AH14+AH23+AH26+AH34+AH37+AH40+AH47+AH57+AH73+AH85+AH91+AH98+AH102+AH65+AH62+AH68</f>
        <v>413340</v>
      </c>
      <c r="AI103" s="51"/>
      <c r="AJ103" s="132">
        <f>AJ14+AJ23+AJ26+AJ34+AJ37+AJ40+AJ47+AJ57+AJ73+AJ85+AJ91+AJ98+AJ102+AJ65+AJ62+AJ68</f>
        <v>250900</v>
      </c>
      <c r="AK103" s="51"/>
      <c r="AL103" s="132">
        <f>AL14+AL23+AL26+AL34+AL37+AL40+AL47+AL57+AL73+AL85+AL91+AL98+AL102+AL65+AL62+AL68</f>
        <v>0</v>
      </c>
      <c r="AM103" s="51"/>
    </row>
    <row r="104" spans="2:39" ht="15" thickTop="1" x14ac:dyDescent="0.3"/>
  </sheetData>
  <mergeCells count="19">
    <mergeCell ref="B5:C5"/>
    <mergeCell ref="H5:I5"/>
    <mergeCell ref="L5:M5"/>
    <mergeCell ref="N5:O5"/>
    <mergeCell ref="J5:K5"/>
    <mergeCell ref="D5:E5"/>
    <mergeCell ref="F5:G5"/>
    <mergeCell ref="P5:Q5"/>
    <mergeCell ref="V5:W5"/>
    <mergeCell ref="X5:Y5"/>
    <mergeCell ref="Z5:AA5"/>
    <mergeCell ref="R5:S5"/>
    <mergeCell ref="T5:U5"/>
    <mergeCell ref="AJ5:AK5"/>
    <mergeCell ref="AL5:AM5"/>
    <mergeCell ref="AB5:AC5"/>
    <mergeCell ref="AD5:AE5"/>
    <mergeCell ref="AF5:AG5"/>
    <mergeCell ref="AH5:AI5"/>
  </mergeCells>
  <pageMargins left="0.7" right="0.7" top="0.75" bottom="0.75" header="0.3" footer="0.3"/>
  <pageSetup scale="39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BBCB-FDA5-4CCC-A3FD-CE8DB02E5950}">
  <sheetPr>
    <pageSetUpPr fitToPage="1"/>
  </sheetPr>
  <dimension ref="B3:BU125"/>
  <sheetViews>
    <sheetView topLeftCell="U93" zoomScaleNormal="100" workbookViewId="0">
      <selection activeCell="AO110" sqref="AO110"/>
    </sheetView>
  </sheetViews>
  <sheetFormatPr defaultRowHeight="14.4" x14ac:dyDescent="0.3"/>
  <cols>
    <col min="2" max="2" width="31.88671875" customWidth="1"/>
    <col min="3" max="3" width="31.109375" customWidth="1"/>
    <col min="4" max="16" width="12" customWidth="1"/>
    <col min="17" max="17" width="8.5546875" customWidth="1"/>
    <col min="18" max="18" width="9" customWidth="1"/>
    <col min="19" max="19" width="9.6640625" customWidth="1"/>
    <col min="20" max="20" width="9" customWidth="1"/>
    <col min="21" max="21" width="9.44140625" customWidth="1"/>
    <col min="22" max="23" width="12" customWidth="1"/>
    <col min="24" max="24" width="8.88671875" customWidth="1"/>
    <col min="25" max="25" width="9.6640625" customWidth="1"/>
    <col min="26" max="26" width="9" customWidth="1"/>
    <col min="27" max="27" width="9.6640625" customWidth="1"/>
    <col min="28" max="28" width="1.109375" customWidth="1"/>
    <col min="29" max="32" width="9.6640625" customWidth="1"/>
    <col min="33" max="33" width="10.5546875" customWidth="1"/>
    <col min="34" max="40" width="9.77734375" customWidth="1"/>
    <col min="41" max="41" width="11.6640625" customWidth="1"/>
    <col min="42" max="46" width="9.77734375" customWidth="1"/>
    <col min="47" max="47" width="10.5546875" customWidth="1"/>
    <col min="48" max="48" width="9.77734375" customWidth="1"/>
    <col min="49" max="49" width="10.44140625" bestFit="1" customWidth="1"/>
    <col min="50" max="52" width="9.77734375" customWidth="1"/>
    <col min="53" max="55" width="9.77734375" hidden="1" customWidth="1"/>
    <col min="56" max="57" width="8.88671875" hidden="1" customWidth="1"/>
    <col min="58" max="58" width="29.109375" hidden="1" customWidth="1"/>
    <col min="59" max="59" width="9.77734375" hidden="1" customWidth="1"/>
    <col min="60" max="60" width="9.6640625" hidden="1" customWidth="1"/>
    <col min="61" max="61" width="8.88671875" customWidth="1"/>
    <col min="63" max="63" width="29.109375" bestFit="1" customWidth="1"/>
    <col min="64" max="64" width="10" bestFit="1" customWidth="1"/>
    <col min="65" max="65" width="10.5546875" bestFit="1" customWidth="1"/>
    <col min="67" max="67" width="14.6640625" bestFit="1" customWidth="1"/>
    <col min="68" max="68" width="10.77734375" bestFit="1" customWidth="1"/>
    <col min="71" max="71" width="13.88671875" bestFit="1" customWidth="1"/>
    <col min="72" max="72" width="10.77734375" bestFit="1" customWidth="1"/>
  </cols>
  <sheetData>
    <row r="3" spans="2:65" x14ac:dyDescent="0.3">
      <c r="B3" t="s">
        <v>0</v>
      </c>
    </row>
    <row r="4" spans="2:65" ht="15" thickBot="1" x14ac:dyDescent="0.35">
      <c r="B4" t="s">
        <v>1449</v>
      </c>
    </row>
    <row r="5" spans="2:65" x14ac:dyDescent="0.3">
      <c r="B5" s="584" t="s">
        <v>3</v>
      </c>
      <c r="C5" s="585"/>
      <c r="D5" s="584">
        <v>45292</v>
      </c>
      <c r="E5" s="597"/>
      <c r="F5" s="584">
        <v>45323</v>
      </c>
      <c r="G5" s="597"/>
      <c r="H5" s="584">
        <v>45352</v>
      </c>
      <c r="I5" s="597"/>
      <c r="J5" s="584">
        <v>45383</v>
      </c>
      <c r="K5" s="597"/>
      <c r="L5" s="584">
        <v>45413</v>
      </c>
      <c r="M5" s="597"/>
      <c r="N5" s="584">
        <v>45444</v>
      </c>
      <c r="O5" s="597"/>
      <c r="P5" s="584">
        <v>45474</v>
      </c>
      <c r="Q5" s="597"/>
      <c r="R5" s="584">
        <v>45505</v>
      </c>
      <c r="S5" s="597"/>
      <c r="T5" s="584">
        <v>45536</v>
      </c>
      <c r="U5" s="597"/>
      <c r="V5" s="584">
        <v>45566</v>
      </c>
      <c r="W5" s="597"/>
      <c r="X5" s="584">
        <v>45597</v>
      </c>
      <c r="Y5" s="597"/>
      <c r="Z5" s="584">
        <v>45627</v>
      </c>
      <c r="AA5" s="585"/>
      <c r="AB5" s="400"/>
      <c r="AC5" s="598">
        <v>45658</v>
      </c>
      <c r="AD5" s="597"/>
      <c r="AE5" s="584">
        <v>45689</v>
      </c>
      <c r="AF5" s="597"/>
      <c r="AG5" s="584">
        <v>45717</v>
      </c>
      <c r="AH5" s="597"/>
      <c r="AI5" s="584">
        <v>45748</v>
      </c>
      <c r="AJ5" s="597"/>
      <c r="AK5" s="584">
        <v>45778</v>
      </c>
      <c r="AL5" s="597"/>
      <c r="AM5" s="584">
        <v>45809</v>
      </c>
      <c r="AN5" s="597"/>
      <c r="AO5" s="584">
        <v>45839</v>
      </c>
      <c r="AP5" s="597"/>
      <c r="AQ5" s="584">
        <v>45870</v>
      </c>
      <c r="AR5" s="597"/>
      <c r="AS5" s="584">
        <v>45901</v>
      </c>
      <c r="AT5" s="597"/>
      <c r="AU5" s="584">
        <v>45931</v>
      </c>
      <c r="AV5" s="597"/>
      <c r="AW5" s="584">
        <v>45962</v>
      </c>
      <c r="AX5" s="597"/>
      <c r="AY5" s="584">
        <v>45992</v>
      </c>
      <c r="AZ5" s="597"/>
      <c r="BA5" s="473"/>
      <c r="BB5" s="473"/>
      <c r="BC5" s="473"/>
      <c r="BE5" t="s">
        <v>21</v>
      </c>
      <c r="BJ5" t="s">
        <v>21</v>
      </c>
    </row>
    <row r="6" spans="2:65" ht="15" thickBot="1" x14ac:dyDescent="0.35">
      <c r="B6" s="8" t="s">
        <v>30</v>
      </c>
      <c r="C6" s="166" t="s">
        <v>31</v>
      </c>
      <c r="D6" s="8" t="s">
        <v>1</v>
      </c>
      <c r="E6" s="7" t="s">
        <v>6</v>
      </c>
      <c r="F6" s="8" t="s">
        <v>1</v>
      </c>
      <c r="G6" s="7" t="s">
        <v>6</v>
      </c>
      <c r="H6" s="8" t="s">
        <v>1</v>
      </c>
      <c r="I6" s="7" t="s">
        <v>6</v>
      </c>
      <c r="J6" s="8" t="s">
        <v>1</v>
      </c>
      <c r="K6" s="7" t="s">
        <v>6</v>
      </c>
      <c r="L6" s="8" t="s">
        <v>1</v>
      </c>
      <c r="M6" s="7" t="s">
        <v>6</v>
      </c>
      <c r="N6" s="8" t="s">
        <v>1</v>
      </c>
      <c r="O6" s="7" t="s">
        <v>6</v>
      </c>
      <c r="P6" s="8" t="s">
        <v>1</v>
      </c>
      <c r="Q6" s="7" t="s">
        <v>6</v>
      </c>
      <c r="R6" s="8" t="s">
        <v>1</v>
      </c>
      <c r="S6" s="7" t="s">
        <v>6</v>
      </c>
      <c r="T6" s="8" t="s">
        <v>1</v>
      </c>
      <c r="U6" s="7" t="s">
        <v>6</v>
      </c>
      <c r="V6" s="8" t="s">
        <v>1</v>
      </c>
      <c r="W6" s="7" t="s">
        <v>6</v>
      </c>
      <c r="X6" s="8" t="s">
        <v>1</v>
      </c>
      <c r="Y6" s="7" t="s">
        <v>6</v>
      </c>
      <c r="Z6" s="8" t="s">
        <v>1</v>
      </c>
      <c r="AA6" s="166" t="s">
        <v>6</v>
      </c>
      <c r="AB6" s="401"/>
      <c r="AC6" s="395" t="s">
        <v>1</v>
      </c>
      <c r="AD6" s="7" t="s">
        <v>6</v>
      </c>
      <c r="AE6" s="8" t="s">
        <v>1</v>
      </c>
      <c r="AF6" s="7" t="s">
        <v>6</v>
      </c>
      <c r="AG6" s="8" t="s">
        <v>1</v>
      </c>
      <c r="AH6" s="7" t="s">
        <v>6</v>
      </c>
      <c r="AI6" s="8"/>
      <c r="AJ6" s="7"/>
      <c r="AK6" s="8"/>
      <c r="AL6" s="7"/>
      <c r="AM6" s="8"/>
      <c r="AN6" s="7"/>
      <c r="AO6" s="8"/>
      <c r="AP6" s="7"/>
      <c r="AQ6" s="8"/>
      <c r="AR6" s="7"/>
      <c r="AS6" s="8"/>
      <c r="AT6" s="7"/>
      <c r="AU6" s="8"/>
      <c r="AV6" s="7"/>
      <c r="AW6" s="8"/>
      <c r="AX6" s="7"/>
      <c r="AY6" s="8"/>
      <c r="AZ6" s="7"/>
      <c r="BA6" s="473"/>
      <c r="BB6" s="473"/>
      <c r="BC6" s="473"/>
      <c r="BE6" s="47" t="s">
        <v>141</v>
      </c>
      <c r="BF6" s="47" t="s">
        <v>11</v>
      </c>
      <c r="BG6" s="47" t="s">
        <v>22</v>
      </c>
      <c r="BH6" s="47" t="s">
        <v>1</v>
      </c>
      <c r="BJ6" s="47" t="s">
        <v>141</v>
      </c>
      <c r="BK6" s="47" t="s">
        <v>11</v>
      </c>
      <c r="BL6" s="47" t="s">
        <v>22</v>
      </c>
      <c r="BM6" s="47" t="s">
        <v>1</v>
      </c>
    </row>
    <row r="7" spans="2:65" x14ac:dyDescent="0.3">
      <c r="B7" s="3" t="s">
        <v>15</v>
      </c>
      <c r="C7" s="117" t="s">
        <v>32</v>
      </c>
      <c r="D7" s="248">
        <v>20000</v>
      </c>
      <c r="E7" s="250">
        <v>45292</v>
      </c>
      <c r="F7" s="73">
        <v>30000</v>
      </c>
      <c r="G7" s="38" t="s">
        <v>822</v>
      </c>
      <c r="H7" s="73">
        <v>20000</v>
      </c>
      <c r="I7" s="38" t="s">
        <v>828</v>
      </c>
      <c r="J7" s="73">
        <v>11500</v>
      </c>
      <c r="K7" s="38">
        <v>45406</v>
      </c>
      <c r="L7" s="73"/>
      <c r="M7" s="38"/>
      <c r="N7" s="73"/>
      <c r="O7" s="38"/>
      <c r="P7" s="73"/>
      <c r="Q7" s="38"/>
      <c r="R7" s="73"/>
      <c r="S7" s="38"/>
      <c r="T7" s="73"/>
      <c r="U7" s="38"/>
      <c r="V7" s="73"/>
      <c r="W7" s="38"/>
      <c r="X7" s="73">
        <v>13000</v>
      </c>
      <c r="Y7" s="38">
        <v>45621</v>
      </c>
      <c r="Z7" s="73">
        <v>13000</v>
      </c>
      <c r="AA7" s="352">
        <v>45634</v>
      </c>
      <c r="AB7" s="402"/>
      <c r="AC7" s="73"/>
      <c r="AD7" s="38"/>
      <c r="AE7" s="73">
        <v>13000</v>
      </c>
      <c r="AF7" s="38">
        <v>45710</v>
      </c>
      <c r="AG7" s="73">
        <v>13000</v>
      </c>
      <c r="AH7" s="38">
        <v>45731</v>
      </c>
      <c r="AI7" s="73"/>
      <c r="AJ7" s="38"/>
      <c r="AK7" s="73">
        <v>18000</v>
      </c>
      <c r="AL7" s="38">
        <v>45802</v>
      </c>
      <c r="AM7" s="73">
        <v>18000</v>
      </c>
      <c r="AN7" s="38">
        <v>45812</v>
      </c>
      <c r="AO7" s="73">
        <v>15000</v>
      </c>
      <c r="AP7" s="38">
        <v>45840</v>
      </c>
      <c r="AQ7" s="73"/>
      <c r="AR7" s="38"/>
      <c r="AS7" s="73">
        <v>15000</v>
      </c>
      <c r="AT7" s="38">
        <v>45901</v>
      </c>
      <c r="AU7" s="73">
        <f>15000+15000</f>
        <v>30000</v>
      </c>
      <c r="AV7" s="38" t="s">
        <v>1646</v>
      </c>
      <c r="AW7" s="73">
        <v>18000</v>
      </c>
      <c r="AX7" s="38">
        <v>45962</v>
      </c>
      <c r="AY7" s="73">
        <v>15000</v>
      </c>
      <c r="AZ7" s="38">
        <v>45992</v>
      </c>
      <c r="BA7" s="77"/>
      <c r="BB7" s="77"/>
      <c r="BC7" s="77"/>
      <c r="BE7" s="24">
        <v>1</v>
      </c>
      <c r="BF7" s="18" t="s">
        <v>89</v>
      </c>
      <c r="BG7" s="48">
        <v>45296</v>
      </c>
      <c r="BH7" s="81">
        <v>4500</v>
      </c>
      <c r="BJ7" s="24">
        <v>1</v>
      </c>
      <c r="BK7" s="18" t="s">
        <v>44</v>
      </c>
      <c r="BL7" s="48">
        <v>45660</v>
      </c>
      <c r="BM7" s="81">
        <v>3000</v>
      </c>
    </row>
    <row r="8" spans="2:65" x14ac:dyDescent="0.3">
      <c r="B8" s="3"/>
      <c r="C8" s="117" t="s">
        <v>32</v>
      </c>
      <c r="D8" s="95">
        <v>10000</v>
      </c>
      <c r="E8" s="38">
        <v>45292</v>
      </c>
      <c r="F8" s="73">
        <v>70000</v>
      </c>
      <c r="G8" s="38" t="s">
        <v>824</v>
      </c>
      <c r="H8" s="73">
        <v>34500</v>
      </c>
      <c r="I8" s="38" t="s">
        <v>829</v>
      </c>
      <c r="J8" s="73"/>
      <c r="K8" s="38"/>
      <c r="L8" s="73"/>
      <c r="M8" s="38"/>
      <c r="N8" s="73"/>
      <c r="O8" s="38"/>
      <c r="P8" s="73"/>
      <c r="Q8" s="38"/>
      <c r="R8" s="73"/>
      <c r="S8" s="38"/>
      <c r="T8" s="73"/>
      <c r="U8" s="38"/>
      <c r="V8" s="73"/>
      <c r="W8" s="38"/>
      <c r="X8" s="73">
        <v>13000</v>
      </c>
      <c r="Y8" s="38">
        <v>45626</v>
      </c>
      <c r="Z8" s="73">
        <v>13000</v>
      </c>
      <c r="AA8" s="352">
        <v>45645</v>
      </c>
      <c r="AB8" s="402"/>
      <c r="AC8" s="73"/>
      <c r="AD8" s="38"/>
      <c r="AE8" s="73"/>
      <c r="AF8" s="38"/>
      <c r="AG8" s="73"/>
      <c r="AH8" s="38"/>
      <c r="AI8" s="73"/>
      <c r="AJ8" s="38"/>
      <c r="AK8" s="73"/>
      <c r="AL8" s="38"/>
      <c r="AM8" s="73"/>
      <c r="AN8" s="38"/>
      <c r="AO8" s="73">
        <v>15000</v>
      </c>
      <c r="AP8" s="38">
        <v>45852</v>
      </c>
      <c r="AQ8" s="73"/>
      <c r="AR8" s="38"/>
      <c r="AS8" s="73">
        <f>15000+15000+15000</f>
        <v>45000</v>
      </c>
      <c r="AT8" s="38" t="s">
        <v>1589</v>
      </c>
      <c r="AU8" s="73">
        <f>15000+18000+18000</f>
        <v>51000</v>
      </c>
      <c r="AV8" s="38" t="s">
        <v>1647</v>
      </c>
      <c r="AW8" s="73">
        <v>18000</v>
      </c>
      <c r="AX8" s="38">
        <v>45969</v>
      </c>
      <c r="AY8" s="73"/>
      <c r="AZ8" s="38"/>
      <c r="BA8" s="77"/>
      <c r="BB8" s="77"/>
      <c r="BC8" s="77"/>
      <c r="BE8" s="24">
        <v>2</v>
      </c>
      <c r="BF8" s="18" t="s">
        <v>115</v>
      </c>
      <c r="BG8" s="48">
        <v>45306</v>
      </c>
      <c r="BH8" s="81">
        <v>5000</v>
      </c>
      <c r="BJ8" s="24">
        <v>2</v>
      </c>
      <c r="BK8" s="18" t="s">
        <v>89</v>
      </c>
      <c r="BL8" s="48">
        <v>45667</v>
      </c>
      <c r="BM8" s="81">
        <v>5050</v>
      </c>
    </row>
    <row r="9" spans="2:65" x14ac:dyDescent="0.3">
      <c r="B9" s="3"/>
      <c r="C9" s="117" t="s">
        <v>32</v>
      </c>
      <c r="D9" s="168">
        <v>70000</v>
      </c>
      <c r="E9" s="38" t="s">
        <v>815</v>
      </c>
      <c r="F9" s="123">
        <v>90000</v>
      </c>
      <c r="G9" s="38" t="s">
        <v>825</v>
      </c>
      <c r="H9" s="123">
        <v>27500</v>
      </c>
      <c r="I9" s="38">
        <v>45356</v>
      </c>
      <c r="J9" s="123"/>
      <c r="K9" s="38"/>
      <c r="L9" s="123"/>
      <c r="M9" s="38"/>
      <c r="N9" s="123"/>
      <c r="O9" s="38"/>
      <c r="P9" s="123"/>
      <c r="Q9" s="38"/>
      <c r="R9" s="123"/>
      <c r="S9" s="38"/>
      <c r="T9" s="123"/>
      <c r="U9" s="38"/>
      <c r="V9" s="123"/>
      <c r="W9" s="38"/>
      <c r="X9" s="123"/>
      <c r="Y9" s="38"/>
      <c r="Z9" s="123">
        <v>13000</v>
      </c>
      <c r="AA9" s="352">
        <v>45645</v>
      </c>
      <c r="AB9" s="402"/>
      <c r="AC9" s="123"/>
      <c r="AD9" s="38"/>
      <c r="AE9" s="123"/>
      <c r="AF9" s="38"/>
      <c r="AG9" s="123"/>
      <c r="AH9" s="38"/>
      <c r="AI9" s="123"/>
      <c r="AJ9" s="38"/>
      <c r="AK9" s="123"/>
      <c r="AL9" s="38"/>
      <c r="AM9" s="123"/>
      <c r="AN9" s="38"/>
      <c r="AO9" s="123"/>
      <c r="AP9" s="38"/>
      <c r="AQ9" s="123"/>
      <c r="AR9" s="38"/>
      <c r="AS9" s="123"/>
      <c r="AT9" s="38"/>
      <c r="AU9" s="123">
        <f>18000+15000+18000</f>
        <v>51000</v>
      </c>
      <c r="AV9" s="38" t="s">
        <v>1648</v>
      </c>
      <c r="AW9" s="123">
        <v>15000</v>
      </c>
      <c r="AX9" s="38">
        <v>45974</v>
      </c>
      <c r="AY9" s="123"/>
      <c r="AZ9" s="38"/>
      <c r="BA9" s="77"/>
      <c r="BB9" s="77"/>
      <c r="BC9" s="77"/>
      <c r="BE9" s="24">
        <v>3</v>
      </c>
      <c r="BF9" s="213" t="s">
        <v>820</v>
      </c>
      <c r="BG9" s="48">
        <v>45316</v>
      </c>
      <c r="BH9" s="81">
        <v>5000</v>
      </c>
      <c r="BJ9" s="24">
        <v>3</v>
      </c>
      <c r="BK9" s="18" t="s">
        <v>115</v>
      </c>
      <c r="BL9" s="48">
        <v>45660</v>
      </c>
      <c r="BM9" s="81">
        <v>2500</v>
      </c>
    </row>
    <row r="10" spans="2:65" x14ac:dyDescent="0.3">
      <c r="B10" s="43"/>
      <c r="C10" s="117" t="s">
        <v>32</v>
      </c>
      <c r="D10" s="168">
        <v>60000</v>
      </c>
      <c r="E10" s="38" t="s">
        <v>817</v>
      </c>
      <c r="F10" s="123">
        <v>20000</v>
      </c>
      <c r="G10" s="38">
        <v>45351</v>
      </c>
      <c r="H10" s="123">
        <v>28000</v>
      </c>
      <c r="I10" s="38">
        <v>45358</v>
      </c>
      <c r="J10" s="123"/>
      <c r="K10" s="38"/>
      <c r="L10" s="123"/>
      <c r="M10" s="38"/>
      <c r="N10" s="123"/>
      <c r="O10" s="38"/>
      <c r="P10" s="123"/>
      <c r="Q10" s="38"/>
      <c r="R10" s="123"/>
      <c r="S10" s="38"/>
      <c r="T10" s="123"/>
      <c r="U10" s="38"/>
      <c r="V10" s="123"/>
      <c r="W10" s="38"/>
      <c r="X10" s="123"/>
      <c r="Y10" s="38"/>
      <c r="Z10" s="123">
        <v>13000</v>
      </c>
      <c r="AA10" s="352">
        <v>45645</v>
      </c>
      <c r="AB10" s="402"/>
      <c r="AC10" s="123"/>
      <c r="AD10" s="38"/>
      <c r="AE10" s="123"/>
      <c r="AF10" s="38"/>
      <c r="AG10" s="123"/>
      <c r="AH10" s="38"/>
      <c r="AI10" s="123"/>
      <c r="AJ10" s="38"/>
      <c r="AK10" s="123"/>
      <c r="AL10" s="38"/>
      <c r="AM10" s="123"/>
      <c r="AN10" s="38"/>
      <c r="AO10" s="123"/>
      <c r="AP10" s="38"/>
      <c r="AQ10" s="123"/>
      <c r="AR10" s="38"/>
      <c r="AS10" s="123"/>
      <c r="AT10" s="38"/>
      <c r="AU10" s="123"/>
      <c r="AV10" s="38"/>
      <c r="AW10" s="123">
        <v>15000</v>
      </c>
      <c r="AX10" s="38">
        <v>45977</v>
      </c>
      <c r="AY10" s="123"/>
      <c r="AZ10" s="38"/>
      <c r="BA10" s="77"/>
      <c r="BB10" s="77"/>
      <c r="BC10" s="77"/>
      <c r="BE10" s="24">
        <v>4</v>
      </c>
      <c r="BF10" s="110" t="s">
        <v>821</v>
      </c>
      <c r="BG10" s="48">
        <v>45316</v>
      </c>
      <c r="BH10" s="81">
        <v>350</v>
      </c>
      <c r="BJ10" s="24">
        <v>4</v>
      </c>
      <c r="BK10" s="439" t="s">
        <v>952</v>
      </c>
      <c r="BL10" s="48">
        <v>45660</v>
      </c>
      <c r="BM10" s="205">
        <v>10500</v>
      </c>
    </row>
    <row r="11" spans="2:65" x14ac:dyDescent="0.3">
      <c r="B11" s="43"/>
      <c r="C11" s="117" t="s">
        <v>32</v>
      </c>
      <c r="D11" s="168">
        <v>60000</v>
      </c>
      <c r="E11" s="38" t="s">
        <v>819</v>
      </c>
      <c r="F11" s="123"/>
      <c r="G11" s="38"/>
      <c r="H11" s="123"/>
      <c r="I11" s="38"/>
      <c r="J11" s="123"/>
      <c r="K11" s="38"/>
      <c r="L11" s="123"/>
      <c r="M11" s="38"/>
      <c r="N11" s="123"/>
      <c r="O11" s="38"/>
      <c r="P11" s="123"/>
      <c r="Q11" s="38"/>
      <c r="R11" s="123"/>
      <c r="S11" s="38"/>
      <c r="T11" s="123"/>
      <c r="U11" s="38"/>
      <c r="V11" s="123"/>
      <c r="W11" s="38"/>
      <c r="X11" s="123"/>
      <c r="Y11" s="38"/>
      <c r="Z11" s="123"/>
      <c r="AA11" s="352"/>
      <c r="AB11" s="402"/>
      <c r="AC11" s="123"/>
      <c r="AD11" s="38"/>
      <c r="AE11" s="123"/>
      <c r="AF11" s="38"/>
      <c r="AG11" s="123"/>
      <c r="AH11" s="38"/>
      <c r="AI11" s="123"/>
      <c r="AJ11" s="38"/>
      <c r="AK11" s="123"/>
      <c r="AL11" s="38"/>
      <c r="AM11" s="123"/>
      <c r="AN11" s="38"/>
      <c r="AO11" s="123"/>
      <c r="AP11" s="38"/>
      <c r="AQ11" s="123"/>
      <c r="AR11" s="38"/>
      <c r="AS11" s="123"/>
      <c r="AT11" s="38"/>
      <c r="AU11" s="123"/>
      <c r="AV11" s="38"/>
      <c r="AW11" s="123">
        <f>15000+15000</f>
        <v>30000</v>
      </c>
      <c r="AX11" s="38">
        <v>45980</v>
      </c>
      <c r="AY11" s="123"/>
      <c r="AZ11" s="38"/>
      <c r="BA11" s="77"/>
      <c r="BB11" s="77"/>
      <c r="BC11" s="77"/>
      <c r="BE11" s="24"/>
      <c r="BF11" s="18"/>
      <c r="BG11" s="48"/>
      <c r="BH11" s="81"/>
      <c r="BJ11" s="24">
        <v>5</v>
      </c>
      <c r="BK11" s="18" t="s">
        <v>1241</v>
      </c>
      <c r="BL11" s="48">
        <v>45667</v>
      </c>
      <c r="BM11" s="81">
        <v>3250</v>
      </c>
    </row>
    <row r="12" spans="2:65" x14ac:dyDescent="0.3">
      <c r="B12" s="43"/>
      <c r="C12" s="117" t="s">
        <v>32</v>
      </c>
      <c r="D12" s="168"/>
      <c r="E12" s="38"/>
      <c r="F12" s="123"/>
      <c r="G12" s="38"/>
      <c r="H12" s="123"/>
      <c r="I12" s="38"/>
      <c r="J12" s="123"/>
      <c r="K12" s="38"/>
      <c r="L12" s="123"/>
      <c r="M12" s="38"/>
      <c r="N12" s="123"/>
      <c r="O12" s="38"/>
      <c r="P12" s="123"/>
      <c r="Q12" s="38"/>
      <c r="R12" s="123"/>
      <c r="S12" s="38"/>
      <c r="T12" s="123"/>
      <c r="U12" s="38"/>
      <c r="V12" s="123"/>
      <c r="W12" s="38"/>
      <c r="X12" s="123"/>
      <c r="Y12" s="38"/>
      <c r="Z12" s="123"/>
      <c r="AA12" s="352"/>
      <c r="AB12" s="402"/>
      <c r="AC12" s="123"/>
      <c r="AD12" s="38"/>
      <c r="AE12" s="123"/>
      <c r="AF12" s="38"/>
      <c r="AG12" s="123"/>
      <c r="AH12" s="38"/>
      <c r="AI12" s="123"/>
      <c r="AJ12" s="38"/>
      <c r="AK12" s="123"/>
      <c r="AL12" s="38"/>
      <c r="AM12" s="123"/>
      <c r="AN12" s="38"/>
      <c r="AO12" s="123"/>
      <c r="AP12" s="38"/>
      <c r="AQ12" s="123"/>
      <c r="AR12" s="38"/>
      <c r="AS12" s="123"/>
      <c r="AT12" s="38"/>
      <c r="AU12" s="123"/>
      <c r="AV12" s="38"/>
      <c r="AW12" s="123">
        <f>15000+18000</f>
        <v>33000</v>
      </c>
      <c r="AX12" s="38" t="s">
        <v>1758</v>
      </c>
      <c r="AY12" s="123"/>
      <c r="AZ12" s="38"/>
      <c r="BA12" s="77"/>
      <c r="BB12" s="77"/>
      <c r="BC12" s="77"/>
      <c r="BE12" s="100">
        <v>45292</v>
      </c>
      <c r="BF12" s="70"/>
      <c r="BG12" s="70"/>
      <c r="BH12" s="71">
        <f>SUM(BH7:BH10)</f>
        <v>14850</v>
      </c>
      <c r="BJ12" s="24">
        <v>6</v>
      </c>
      <c r="BK12" s="18" t="s">
        <v>1242</v>
      </c>
      <c r="BL12" s="48">
        <v>45688</v>
      </c>
      <c r="BM12" s="81">
        <v>5000</v>
      </c>
    </row>
    <row r="13" spans="2:65" x14ac:dyDescent="0.3">
      <c r="B13" s="43"/>
      <c r="C13" s="117"/>
      <c r="D13" s="168"/>
      <c r="E13" s="38"/>
      <c r="F13" s="123"/>
      <c r="G13" s="38"/>
      <c r="H13" s="123"/>
      <c r="I13" s="38"/>
      <c r="J13" s="123"/>
      <c r="K13" s="38"/>
      <c r="L13" s="123"/>
      <c r="M13" s="38"/>
      <c r="N13" s="123"/>
      <c r="O13" s="38"/>
      <c r="P13" s="123"/>
      <c r="Q13" s="38"/>
      <c r="R13" s="123"/>
      <c r="S13" s="38"/>
      <c r="T13" s="123"/>
      <c r="U13" s="38"/>
      <c r="V13" s="123"/>
      <c r="W13" s="38"/>
      <c r="X13" s="123"/>
      <c r="Y13" s="38"/>
      <c r="Z13" s="123"/>
      <c r="AA13" s="352"/>
      <c r="AB13" s="402"/>
      <c r="AC13" s="123"/>
      <c r="AD13" s="38"/>
      <c r="AE13" s="123"/>
      <c r="AF13" s="38"/>
      <c r="AG13" s="123"/>
      <c r="AH13" s="38"/>
      <c r="AI13" s="123"/>
      <c r="AJ13" s="38"/>
      <c r="AK13" s="123"/>
      <c r="AL13" s="38"/>
      <c r="AM13" s="123"/>
      <c r="AN13" s="38"/>
      <c r="AO13" s="123"/>
      <c r="AP13" s="38"/>
      <c r="AQ13" s="123"/>
      <c r="AR13" s="38"/>
      <c r="AS13" s="123"/>
      <c r="AT13" s="38"/>
      <c r="AU13" s="123"/>
      <c r="AV13" s="38"/>
      <c r="AW13" s="123"/>
      <c r="AX13" s="38"/>
      <c r="AY13" s="123"/>
      <c r="AZ13" s="38"/>
      <c r="BA13" s="77"/>
      <c r="BB13" s="77"/>
      <c r="BC13" s="77"/>
      <c r="BJ13" s="100">
        <v>45658</v>
      </c>
      <c r="BK13" s="70"/>
      <c r="BL13" s="70"/>
      <c r="BM13" s="71">
        <f>SUM(BM7:BM12)</f>
        <v>29300</v>
      </c>
    </row>
    <row r="14" spans="2:65" ht="15" thickBot="1" x14ac:dyDescent="0.35">
      <c r="B14" s="44"/>
      <c r="C14" s="118"/>
      <c r="D14" s="236">
        <f>SUM(D7:D13)</f>
        <v>220000</v>
      </c>
      <c r="E14" s="45"/>
      <c r="F14" s="235">
        <f>SUM(F7:F13)</f>
        <v>210000</v>
      </c>
      <c r="G14" s="45"/>
      <c r="H14" s="235">
        <f>SUM(H7:H13)</f>
        <v>110000</v>
      </c>
      <c r="I14" s="45"/>
      <c r="J14" s="235">
        <f>SUM(J7:J13)</f>
        <v>11500</v>
      </c>
      <c r="K14" s="45"/>
      <c r="L14" s="235">
        <f>SUM(L7:L13)</f>
        <v>0</v>
      </c>
      <c r="M14" s="45"/>
      <c r="N14" s="235">
        <f>SUM(N7:N13)</f>
        <v>0</v>
      </c>
      <c r="O14" s="45"/>
      <c r="P14" s="235">
        <f>SUM(P7:P13)</f>
        <v>0</v>
      </c>
      <c r="Q14" s="45"/>
      <c r="R14" s="235">
        <f>SUM(R7:R13)</f>
        <v>0</v>
      </c>
      <c r="S14" s="45"/>
      <c r="T14" s="235">
        <f>SUM(T7:T13)</f>
        <v>0</v>
      </c>
      <c r="U14" s="45"/>
      <c r="V14" s="235">
        <f>SUM(V7:V13)</f>
        <v>0</v>
      </c>
      <c r="W14" s="45"/>
      <c r="X14" s="235">
        <f>SUM(X7:X13)</f>
        <v>26000</v>
      </c>
      <c r="Y14" s="45"/>
      <c r="Z14" s="235">
        <f>SUM(Z7:Z13)</f>
        <v>52000</v>
      </c>
      <c r="AA14" s="385"/>
      <c r="AB14" s="403"/>
      <c r="AC14" s="235">
        <f>SUM(AC7:AC13)</f>
        <v>0</v>
      </c>
      <c r="AD14" s="45"/>
      <c r="AE14" s="235">
        <f>SUM(AE7:AE13)</f>
        <v>13000</v>
      </c>
      <c r="AF14" s="45"/>
      <c r="AG14" s="235">
        <f>SUM(AG7:AG13)</f>
        <v>13000</v>
      </c>
      <c r="AH14" s="45"/>
      <c r="AI14" s="235">
        <f>SUM(AI7:AI13)</f>
        <v>0</v>
      </c>
      <c r="AJ14" s="45"/>
      <c r="AK14" s="235">
        <f>SUM(AK7:AK13)</f>
        <v>18000</v>
      </c>
      <c r="AL14" s="45"/>
      <c r="AM14" s="235">
        <f>SUM(AM7:AM13)</f>
        <v>18000</v>
      </c>
      <c r="AN14" s="45"/>
      <c r="AO14" s="235">
        <f>SUM(AO7:AO13)</f>
        <v>30000</v>
      </c>
      <c r="AP14" s="45"/>
      <c r="AQ14" s="235">
        <f>SUM(AQ7:AQ13)</f>
        <v>0</v>
      </c>
      <c r="AR14" s="45"/>
      <c r="AS14" s="235">
        <f>SUM(AS7:AS13)</f>
        <v>60000</v>
      </c>
      <c r="AT14" s="45"/>
      <c r="AU14" s="235">
        <f>SUM(AU7:AU13)</f>
        <v>132000</v>
      </c>
      <c r="AV14" s="45"/>
      <c r="AW14" s="235">
        <f>SUM(AW7:AW13)</f>
        <v>129000</v>
      </c>
      <c r="AX14" s="45"/>
      <c r="AY14" s="235">
        <f>SUM(AY7:AY13)</f>
        <v>15000</v>
      </c>
      <c r="AZ14" s="45"/>
      <c r="BA14" s="474"/>
      <c r="BB14" s="474"/>
      <c r="BC14" s="474"/>
      <c r="BE14" s="24">
        <v>1</v>
      </c>
      <c r="BF14" s="18" t="s">
        <v>89</v>
      </c>
      <c r="BG14" s="48">
        <v>45332</v>
      </c>
      <c r="BH14" s="81">
        <v>5300</v>
      </c>
    </row>
    <row r="15" spans="2:65" ht="15" thickTop="1" x14ac:dyDescent="0.3">
      <c r="B15" s="6" t="s">
        <v>16</v>
      </c>
      <c r="C15" s="119" t="s">
        <v>1247</v>
      </c>
      <c r="D15" s="168">
        <v>28000</v>
      </c>
      <c r="E15" s="38">
        <v>45292</v>
      </c>
      <c r="F15" s="123">
        <v>28000</v>
      </c>
      <c r="G15" s="38">
        <v>45324</v>
      </c>
      <c r="H15" s="123">
        <v>28000</v>
      </c>
      <c r="I15" s="38">
        <v>45358</v>
      </c>
      <c r="J15" s="123">
        <v>28000</v>
      </c>
      <c r="K15" s="38">
        <v>45383</v>
      </c>
      <c r="L15" s="123">
        <v>28000</v>
      </c>
      <c r="M15" s="38">
        <v>45414</v>
      </c>
      <c r="N15" s="123">
        <v>35000</v>
      </c>
      <c r="O15" s="38">
        <v>45446</v>
      </c>
      <c r="P15" s="123">
        <v>35000</v>
      </c>
      <c r="Q15" s="38">
        <v>45476</v>
      </c>
      <c r="R15" s="123">
        <v>35000</v>
      </c>
      <c r="S15" s="38">
        <v>45510</v>
      </c>
      <c r="T15" s="123">
        <v>35000</v>
      </c>
      <c r="U15" s="38">
        <v>45538</v>
      </c>
      <c r="V15" s="123">
        <v>35000</v>
      </c>
      <c r="W15" s="38">
        <v>45570</v>
      </c>
      <c r="X15" s="123">
        <v>35000</v>
      </c>
      <c r="Y15" s="38">
        <v>45598</v>
      </c>
      <c r="Z15" s="123">
        <v>35000</v>
      </c>
      <c r="AA15" s="352">
        <v>45628</v>
      </c>
      <c r="AB15" s="402"/>
      <c r="AC15" s="123">
        <v>35000</v>
      </c>
      <c r="AD15" s="38">
        <v>45658</v>
      </c>
      <c r="AE15" s="123">
        <v>35000</v>
      </c>
      <c r="AF15" s="38">
        <v>45689</v>
      </c>
      <c r="AG15" s="123">
        <v>35000</v>
      </c>
      <c r="AH15" s="38">
        <v>45717</v>
      </c>
      <c r="AI15" s="123">
        <v>35000</v>
      </c>
      <c r="AJ15" s="38">
        <v>45748</v>
      </c>
      <c r="AK15" s="123">
        <v>35000</v>
      </c>
      <c r="AL15" s="38">
        <v>45778</v>
      </c>
      <c r="AM15" s="123">
        <v>35000</v>
      </c>
      <c r="AN15" s="38">
        <v>45811</v>
      </c>
      <c r="AO15" s="123">
        <v>35000</v>
      </c>
      <c r="AP15" s="38">
        <v>45840</v>
      </c>
      <c r="AQ15" s="123">
        <v>35000</v>
      </c>
      <c r="AR15" s="38">
        <v>45871</v>
      </c>
      <c r="AS15" s="442">
        <v>35000</v>
      </c>
      <c r="AT15" s="443">
        <v>45901</v>
      </c>
      <c r="AU15" s="459">
        <v>35000</v>
      </c>
      <c r="AV15" s="460">
        <v>45932</v>
      </c>
      <c r="AW15" s="123">
        <v>40000</v>
      </c>
      <c r="AX15" s="38">
        <v>45963</v>
      </c>
      <c r="AY15" s="123">
        <v>40000</v>
      </c>
      <c r="AZ15" s="38">
        <v>45992</v>
      </c>
      <c r="BA15" s="77"/>
      <c r="BB15" s="77"/>
      <c r="BC15" s="77"/>
      <c r="BE15" s="24">
        <v>2</v>
      </c>
      <c r="BF15" s="18" t="s">
        <v>44</v>
      </c>
      <c r="BG15" s="48">
        <v>45336</v>
      </c>
      <c r="BH15" s="81">
        <v>3000</v>
      </c>
      <c r="BJ15" s="24">
        <v>1</v>
      </c>
      <c r="BK15" s="18" t="s">
        <v>44</v>
      </c>
      <c r="BL15" s="48">
        <v>45693</v>
      </c>
      <c r="BM15" s="81">
        <v>3000</v>
      </c>
    </row>
    <row r="16" spans="2:65" x14ac:dyDescent="0.3">
      <c r="B16" s="3"/>
      <c r="C16" s="119" t="s">
        <v>1246</v>
      </c>
      <c r="D16" s="168">
        <v>22000</v>
      </c>
      <c r="E16" s="38">
        <v>45292</v>
      </c>
      <c r="F16" s="123">
        <v>22000</v>
      </c>
      <c r="G16" s="38">
        <v>45326</v>
      </c>
      <c r="H16" s="123">
        <v>22000</v>
      </c>
      <c r="I16" s="38">
        <v>45358</v>
      </c>
      <c r="J16" s="123">
        <v>22000</v>
      </c>
      <c r="K16" s="38">
        <v>45383</v>
      </c>
      <c r="L16" s="123">
        <v>22000</v>
      </c>
      <c r="M16" s="38">
        <v>45414</v>
      </c>
      <c r="N16" s="123">
        <v>25000</v>
      </c>
      <c r="O16" s="38">
        <v>45446</v>
      </c>
      <c r="P16" s="123">
        <v>25000</v>
      </c>
      <c r="Q16" s="38">
        <v>45476</v>
      </c>
      <c r="R16" s="123">
        <v>25000</v>
      </c>
      <c r="S16" s="38">
        <v>45509</v>
      </c>
      <c r="T16" s="123">
        <v>25000</v>
      </c>
      <c r="U16" s="38">
        <v>45538</v>
      </c>
      <c r="V16" s="123">
        <v>25000</v>
      </c>
      <c r="W16" s="38">
        <v>45570</v>
      </c>
      <c r="X16" s="123">
        <v>25000</v>
      </c>
      <c r="Y16" s="38">
        <v>45598</v>
      </c>
      <c r="Z16" s="123">
        <v>25000</v>
      </c>
      <c r="AA16" s="352">
        <v>45628</v>
      </c>
      <c r="AB16" s="402"/>
      <c r="AC16" s="123">
        <v>25000</v>
      </c>
      <c r="AD16" s="38">
        <v>45658</v>
      </c>
      <c r="AE16" s="123">
        <v>25000</v>
      </c>
      <c r="AF16" s="38">
        <v>45689</v>
      </c>
      <c r="AG16" s="123">
        <v>25000</v>
      </c>
      <c r="AH16" s="38">
        <v>45717</v>
      </c>
      <c r="AI16" s="123">
        <v>25000</v>
      </c>
      <c r="AJ16" s="38">
        <v>45748</v>
      </c>
      <c r="AK16" s="123">
        <v>25000</v>
      </c>
      <c r="AL16" s="38">
        <v>45778</v>
      </c>
      <c r="AM16" s="123">
        <v>25000</v>
      </c>
      <c r="AN16" s="38">
        <v>45811</v>
      </c>
      <c r="AO16" s="123">
        <v>25000</v>
      </c>
      <c r="AP16" s="38">
        <v>45840</v>
      </c>
      <c r="AQ16" s="123">
        <v>25000</v>
      </c>
      <c r="AR16" s="38">
        <v>45871</v>
      </c>
      <c r="AS16" s="442">
        <v>25000</v>
      </c>
      <c r="AT16" s="443">
        <v>45901</v>
      </c>
      <c r="AU16" s="459">
        <v>25000</v>
      </c>
      <c r="AV16" s="460">
        <v>45932</v>
      </c>
      <c r="AW16" s="123">
        <v>28000</v>
      </c>
      <c r="AX16" s="38">
        <v>45963</v>
      </c>
      <c r="AY16" s="123">
        <v>28000</v>
      </c>
      <c r="AZ16" s="38">
        <v>45992</v>
      </c>
      <c r="BA16" s="77"/>
      <c r="BB16" s="77"/>
      <c r="BC16" s="77"/>
      <c r="BE16" s="24">
        <v>3</v>
      </c>
      <c r="BF16" s="18" t="s">
        <v>826</v>
      </c>
      <c r="BG16" s="48">
        <v>45344</v>
      </c>
      <c r="BH16" s="81">
        <v>800</v>
      </c>
      <c r="BJ16" s="24">
        <v>2</v>
      </c>
      <c r="BK16" s="18" t="s">
        <v>89</v>
      </c>
      <c r="BL16" s="48">
        <v>45706</v>
      </c>
      <c r="BM16" s="81">
        <v>6960</v>
      </c>
    </row>
    <row r="17" spans="2:65" x14ac:dyDescent="0.3">
      <c r="B17" s="3"/>
      <c r="C17" s="119" t="s">
        <v>1761</v>
      </c>
      <c r="D17" s="168">
        <v>7500</v>
      </c>
      <c r="E17" s="38">
        <v>45292</v>
      </c>
      <c r="F17" s="123">
        <v>17000</v>
      </c>
      <c r="G17" s="38">
        <v>45326</v>
      </c>
      <c r="H17" s="123">
        <v>18000</v>
      </c>
      <c r="I17" s="38">
        <v>45358</v>
      </c>
      <c r="J17" s="123">
        <v>18000</v>
      </c>
      <c r="K17" s="38">
        <v>45383</v>
      </c>
      <c r="L17" s="123">
        <v>18000</v>
      </c>
      <c r="M17" s="38">
        <v>45414</v>
      </c>
      <c r="N17" s="123">
        <v>22000</v>
      </c>
      <c r="O17" s="38">
        <v>45446</v>
      </c>
      <c r="P17" s="123">
        <v>22000</v>
      </c>
      <c r="Q17" s="38">
        <v>45476</v>
      </c>
      <c r="R17" s="123"/>
      <c r="S17" s="38"/>
      <c r="T17" s="123"/>
      <c r="U17" s="38"/>
      <c r="V17" s="123"/>
      <c r="W17" s="38"/>
      <c r="X17" s="123"/>
      <c r="Y17" s="38"/>
      <c r="Z17" s="123"/>
      <c r="AA17" s="352"/>
      <c r="AB17" s="402"/>
      <c r="AC17" s="123"/>
      <c r="AD17" s="38"/>
      <c r="AE17" s="123"/>
      <c r="AF17" s="38"/>
      <c r="AG17" s="123"/>
      <c r="AH17" s="38"/>
      <c r="AI17" s="123"/>
      <c r="AJ17" s="38"/>
      <c r="AK17" s="123"/>
      <c r="AL17" s="38"/>
      <c r="AM17" s="123">
        <f>2100+15000</f>
        <v>17100</v>
      </c>
      <c r="AN17" s="38">
        <v>45811</v>
      </c>
      <c r="AO17" s="123">
        <v>15000</v>
      </c>
      <c r="AP17" s="38">
        <v>45841</v>
      </c>
      <c r="AQ17" s="123">
        <v>15000</v>
      </c>
      <c r="AR17" s="38">
        <v>45871</v>
      </c>
      <c r="AS17" s="442">
        <v>15000</v>
      </c>
      <c r="AT17" s="443">
        <v>45901</v>
      </c>
      <c r="AU17" s="123"/>
      <c r="AV17" s="38"/>
      <c r="AW17" s="123"/>
      <c r="AX17" s="38"/>
      <c r="AY17" s="123">
        <v>4400</v>
      </c>
      <c r="AZ17" s="38">
        <v>45992</v>
      </c>
      <c r="BA17" s="77"/>
      <c r="BB17" s="77"/>
      <c r="BC17" s="77"/>
      <c r="BE17" s="24">
        <v>4</v>
      </c>
      <c r="BF17" s="18" t="s">
        <v>115</v>
      </c>
      <c r="BG17" s="48">
        <v>45347</v>
      </c>
      <c r="BH17" s="203">
        <v>2500</v>
      </c>
      <c r="BJ17" s="24">
        <v>3</v>
      </c>
      <c r="BK17" s="18" t="s">
        <v>115</v>
      </c>
      <c r="BL17" s="48">
        <v>45693</v>
      </c>
      <c r="BM17" s="81">
        <v>2500</v>
      </c>
    </row>
    <row r="18" spans="2:65" x14ac:dyDescent="0.3">
      <c r="B18" s="3"/>
      <c r="C18" s="119" t="s">
        <v>1243</v>
      </c>
      <c r="D18" s="168">
        <v>18000</v>
      </c>
      <c r="E18" s="38">
        <v>45292</v>
      </c>
      <c r="F18" s="123">
        <v>11000</v>
      </c>
      <c r="G18" s="38">
        <v>45326</v>
      </c>
      <c r="H18" s="123">
        <v>19000</v>
      </c>
      <c r="I18" s="38">
        <v>45358</v>
      </c>
      <c r="J18" s="123">
        <v>20000</v>
      </c>
      <c r="K18" s="38">
        <v>45383</v>
      </c>
      <c r="L18" s="123">
        <v>19000</v>
      </c>
      <c r="M18" s="38">
        <v>45414</v>
      </c>
      <c r="N18" s="123">
        <v>22000</v>
      </c>
      <c r="O18" s="38">
        <v>45446</v>
      </c>
      <c r="P18" s="123">
        <v>11500</v>
      </c>
      <c r="Q18" s="38">
        <v>45476</v>
      </c>
      <c r="R18" s="123">
        <v>22000</v>
      </c>
      <c r="S18" s="38">
        <v>45510</v>
      </c>
      <c r="T18" s="123">
        <v>23000</v>
      </c>
      <c r="U18" s="38">
        <v>45538</v>
      </c>
      <c r="V18" s="123">
        <v>24000</v>
      </c>
      <c r="W18" s="38">
        <v>45570</v>
      </c>
      <c r="X18" s="123">
        <v>11354</v>
      </c>
      <c r="Y18" s="38">
        <v>45598</v>
      </c>
      <c r="Z18" s="123">
        <v>23000</v>
      </c>
      <c r="AA18" s="352">
        <v>45628</v>
      </c>
      <c r="AB18" s="402"/>
      <c r="AC18" s="123">
        <v>23000</v>
      </c>
      <c r="AD18" s="38">
        <v>45658</v>
      </c>
      <c r="AE18" s="123">
        <v>23000</v>
      </c>
      <c r="AF18" s="38">
        <v>45689</v>
      </c>
      <c r="AG18" s="123">
        <v>15700</v>
      </c>
      <c r="AH18" s="38">
        <v>45717</v>
      </c>
      <c r="AI18" s="123">
        <v>22000</v>
      </c>
      <c r="AJ18" s="38">
        <v>45748</v>
      </c>
      <c r="AK18" s="123">
        <v>22000</v>
      </c>
      <c r="AL18" s="38">
        <v>45778</v>
      </c>
      <c r="AM18" s="123">
        <v>22000</v>
      </c>
      <c r="AN18" s="38">
        <v>45811</v>
      </c>
      <c r="AO18" s="123">
        <v>12500</v>
      </c>
      <c r="AP18" s="38">
        <v>45840</v>
      </c>
      <c r="AQ18" s="123">
        <v>23000</v>
      </c>
      <c r="AR18" s="38">
        <v>45871</v>
      </c>
      <c r="AS18" s="442">
        <v>22000</v>
      </c>
      <c r="AT18" s="443">
        <v>45901</v>
      </c>
      <c r="AU18" s="459">
        <v>11000</v>
      </c>
      <c r="AV18" s="460">
        <v>45932</v>
      </c>
      <c r="AW18" s="123">
        <v>26000</v>
      </c>
      <c r="AX18" s="38">
        <v>45963</v>
      </c>
      <c r="AY18" s="123">
        <v>25000</v>
      </c>
      <c r="AZ18" s="38">
        <v>45992</v>
      </c>
      <c r="BA18" s="77"/>
      <c r="BB18" s="77"/>
      <c r="BC18" s="77"/>
      <c r="BE18" s="24">
        <v>5</v>
      </c>
      <c r="BF18" s="18" t="s">
        <v>827</v>
      </c>
      <c r="BG18" s="48">
        <v>45347</v>
      </c>
      <c r="BH18" s="81">
        <v>3500</v>
      </c>
      <c r="BJ18" s="24">
        <v>4</v>
      </c>
      <c r="BK18" s="440" t="s">
        <v>952</v>
      </c>
      <c r="BL18" s="376"/>
      <c r="BM18" s="438">
        <v>0</v>
      </c>
    </row>
    <row r="19" spans="2:65" x14ac:dyDescent="0.3">
      <c r="B19" s="3"/>
      <c r="C19" s="119" t="s">
        <v>1244</v>
      </c>
      <c r="D19" s="323">
        <v>18000</v>
      </c>
      <c r="E19" s="38">
        <v>45292</v>
      </c>
      <c r="F19" s="175">
        <v>17000</v>
      </c>
      <c r="G19" s="38">
        <v>45324</v>
      </c>
      <c r="H19" s="175">
        <v>17000</v>
      </c>
      <c r="I19" s="38">
        <v>45358</v>
      </c>
      <c r="J19" s="175">
        <v>18000</v>
      </c>
      <c r="K19" s="38">
        <v>45383</v>
      </c>
      <c r="L19" s="175">
        <v>18000</v>
      </c>
      <c r="M19" s="38">
        <v>45414</v>
      </c>
      <c r="N19" s="175">
        <v>22000</v>
      </c>
      <c r="O19" s="38">
        <v>45446</v>
      </c>
      <c r="P19" s="175">
        <v>22000</v>
      </c>
      <c r="Q19" s="38">
        <v>45476</v>
      </c>
      <c r="R19" s="175">
        <v>23000</v>
      </c>
      <c r="S19" s="38">
        <v>45510</v>
      </c>
      <c r="T19" s="175">
        <v>23000</v>
      </c>
      <c r="U19" s="38">
        <v>45538</v>
      </c>
      <c r="V19" s="175">
        <v>23000</v>
      </c>
      <c r="W19" s="38">
        <v>45570</v>
      </c>
      <c r="X19" s="175">
        <v>23000</v>
      </c>
      <c r="Y19" s="38">
        <v>45598</v>
      </c>
      <c r="Z19" s="175">
        <v>23000</v>
      </c>
      <c r="AA19" s="352">
        <v>45628</v>
      </c>
      <c r="AB19" s="402"/>
      <c r="AC19" s="175">
        <v>23000</v>
      </c>
      <c r="AD19" s="38">
        <v>45658</v>
      </c>
      <c r="AE19" s="175">
        <v>23000</v>
      </c>
      <c r="AF19" s="38">
        <v>45689</v>
      </c>
      <c r="AG19" s="175">
        <v>23000</v>
      </c>
      <c r="AH19" s="38">
        <v>45717</v>
      </c>
      <c r="AI19" s="175">
        <v>23000</v>
      </c>
      <c r="AJ19" s="38">
        <v>45748</v>
      </c>
      <c r="AK19" s="175">
        <v>22000</v>
      </c>
      <c r="AL19" s="38">
        <v>45778</v>
      </c>
      <c r="AM19" s="175">
        <v>11000</v>
      </c>
      <c r="AN19" s="38">
        <v>45811</v>
      </c>
      <c r="AO19" s="175">
        <v>23000</v>
      </c>
      <c r="AP19" s="38">
        <v>45840</v>
      </c>
      <c r="AQ19" s="175">
        <v>23000</v>
      </c>
      <c r="AR19" s="38">
        <v>45871</v>
      </c>
      <c r="AS19" s="444">
        <v>23000</v>
      </c>
      <c r="AT19" s="443">
        <v>45901</v>
      </c>
      <c r="AU19" s="461">
        <v>23000</v>
      </c>
      <c r="AV19" s="460">
        <v>45932</v>
      </c>
      <c r="AW19" s="175">
        <v>25000</v>
      </c>
      <c r="AX19" s="38">
        <v>45963</v>
      </c>
      <c r="AY19" s="175">
        <v>26000</v>
      </c>
      <c r="AZ19" s="38">
        <v>45992</v>
      </c>
      <c r="BA19" s="77"/>
      <c r="BB19" s="77"/>
      <c r="BC19" s="77"/>
      <c r="BE19" s="24"/>
      <c r="BF19" s="18"/>
      <c r="BG19" s="48"/>
      <c r="BH19" s="81"/>
      <c r="BJ19" s="24">
        <v>5</v>
      </c>
      <c r="BK19" s="18" t="s">
        <v>1248</v>
      </c>
      <c r="BL19" s="48">
        <v>45698</v>
      </c>
      <c r="BM19" s="81">
        <v>1500</v>
      </c>
    </row>
    <row r="20" spans="2:65" x14ac:dyDescent="0.3">
      <c r="B20" s="3" t="s">
        <v>20</v>
      </c>
      <c r="C20" s="119" t="s">
        <v>1245</v>
      </c>
      <c r="D20" s="168">
        <v>32000</v>
      </c>
      <c r="E20" s="38">
        <v>45292</v>
      </c>
      <c r="F20" s="123">
        <v>32000</v>
      </c>
      <c r="G20" s="38">
        <v>45326</v>
      </c>
      <c r="H20" s="123">
        <v>32000</v>
      </c>
      <c r="I20" s="38">
        <v>45358</v>
      </c>
      <c r="J20" s="123">
        <v>32000</v>
      </c>
      <c r="K20" s="38">
        <v>45383</v>
      </c>
      <c r="L20" s="123">
        <v>32000</v>
      </c>
      <c r="M20" s="38">
        <v>45414</v>
      </c>
      <c r="N20" s="123">
        <v>32000</v>
      </c>
      <c r="O20" s="38">
        <v>45446</v>
      </c>
      <c r="P20" s="123">
        <v>37000</v>
      </c>
      <c r="Q20" s="38">
        <v>45476</v>
      </c>
      <c r="R20" s="123">
        <v>37000</v>
      </c>
      <c r="S20" s="38">
        <v>45510</v>
      </c>
      <c r="T20" s="123">
        <v>38000</v>
      </c>
      <c r="U20" s="38">
        <v>45538</v>
      </c>
      <c r="V20" s="123">
        <v>37000</v>
      </c>
      <c r="W20" s="38">
        <v>45570</v>
      </c>
      <c r="X20" s="123">
        <v>37000</v>
      </c>
      <c r="Y20" s="38">
        <v>45598</v>
      </c>
      <c r="Z20" s="123">
        <v>37000</v>
      </c>
      <c r="AA20" s="352">
        <v>45628</v>
      </c>
      <c r="AB20" s="402"/>
      <c r="AC20" s="123">
        <v>37000</v>
      </c>
      <c r="AD20" s="38">
        <v>45658</v>
      </c>
      <c r="AE20" s="123">
        <v>37000</v>
      </c>
      <c r="AF20" s="38">
        <v>45689</v>
      </c>
      <c r="AG20" s="123">
        <v>37000</v>
      </c>
      <c r="AH20" s="38">
        <v>45717</v>
      </c>
      <c r="AI20" s="123">
        <v>37000</v>
      </c>
      <c r="AJ20" s="38">
        <v>45748</v>
      </c>
      <c r="AK20" s="123">
        <v>37000</v>
      </c>
      <c r="AL20" s="38">
        <v>45778</v>
      </c>
      <c r="AM20" s="123">
        <v>37000</v>
      </c>
      <c r="AN20" s="38">
        <v>45811</v>
      </c>
      <c r="AO20" s="123">
        <v>37000</v>
      </c>
      <c r="AP20" s="38">
        <v>45840</v>
      </c>
      <c r="AQ20" s="123">
        <v>37000</v>
      </c>
      <c r="AR20" s="38">
        <v>45871</v>
      </c>
      <c r="AS20" s="442">
        <v>37000</v>
      </c>
      <c r="AT20" s="443">
        <v>45901</v>
      </c>
      <c r="AU20" s="459">
        <v>37000</v>
      </c>
      <c r="AV20" s="460">
        <v>45932</v>
      </c>
      <c r="AW20" s="123">
        <v>37000</v>
      </c>
      <c r="AX20" s="38">
        <v>45963</v>
      </c>
      <c r="AY20" s="123">
        <v>37000</v>
      </c>
      <c r="AZ20" s="38">
        <v>45992</v>
      </c>
      <c r="BA20" s="77"/>
      <c r="BB20" s="77"/>
      <c r="BC20" s="77"/>
      <c r="BE20" s="100">
        <v>45323</v>
      </c>
      <c r="BF20" s="70"/>
      <c r="BG20" s="70"/>
      <c r="BH20" s="71">
        <f>SUM(BH14:BH18)</f>
        <v>15100</v>
      </c>
      <c r="BJ20" s="24">
        <v>6</v>
      </c>
      <c r="BK20" s="18" t="s">
        <v>1250</v>
      </c>
      <c r="BL20" s="48">
        <v>45698</v>
      </c>
      <c r="BM20" s="81">
        <v>8000</v>
      </c>
    </row>
    <row r="21" spans="2:65" x14ac:dyDescent="0.3">
      <c r="B21" s="3"/>
      <c r="C21" s="119" t="s">
        <v>1760</v>
      </c>
      <c r="D21" s="168">
        <v>23000</v>
      </c>
      <c r="E21" s="38">
        <v>45292</v>
      </c>
      <c r="F21" s="123">
        <v>23000</v>
      </c>
      <c r="G21" s="38">
        <v>45326</v>
      </c>
      <c r="H21" s="123">
        <v>23000</v>
      </c>
      <c r="I21" s="38">
        <v>45358</v>
      </c>
      <c r="J21" s="123">
        <v>23000</v>
      </c>
      <c r="K21" s="38">
        <v>45383</v>
      </c>
      <c r="L21" s="123">
        <v>23000</v>
      </c>
      <c r="M21" s="38">
        <v>45414</v>
      </c>
      <c r="N21" s="123">
        <v>23000</v>
      </c>
      <c r="O21" s="38">
        <v>45446</v>
      </c>
      <c r="P21" s="123">
        <v>8500</v>
      </c>
      <c r="Q21" s="38">
        <v>45476</v>
      </c>
      <c r="R21" s="123">
        <v>23000</v>
      </c>
      <c r="S21" s="38">
        <v>45510</v>
      </c>
      <c r="T21" s="123">
        <v>24000</v>
      </c>
      <c r="U21" s="38">
        <v>45538</v>
      </c>
      <c r="V21" s="123">
        <v>24000</v>
      </c>
      <c r="W21" s="38">
        <v>45570</v>
      </c>
      <c r="X21" s="123">
        <v>21500</v>
      </c>
      <c r="Y21" s="38">
        <v>45598</v>
      </c>
      <c r="Z21" s="123">
        <f>6599+2933</f>
        <v>9532</v>
      </c>
      <c r="AA21" s="352">
        <v>45634</v>
      </c>
      <c r="AB21" s="402"/>
      <c r="AC21" s="123">
        <v>23000</v>
      </c>
      <c r="AD21" s="38">
        <v>45658</v>
      </c>
      <c r="AE21" s="123">
        <v>23000</v>
      </c>
      <c r="AF21" s="38">
        <v>45689</v>
      </c>
      <c r="AG21" s="123">
        <v>22000</v>
      </c>
      <c r="AH21" s="38">
        <v>45717</v>
      </c>
      <c r="AI21" s="123">
        <v>23000</v>
      </c>
      <c r="AJ21" s="38">
        <v>45748</v>
      </c>
      <c r="AK21" s="123">
        <v>23000</v>
      </c>
      <c r="AL21" s="38">
        <v>45778</v>
      </c>
      <c r="AM21" s="123">
        <v>23000</v>
      </c>
      <c r="AN21" s="38">
        <v>45811</v>
      </c>
      <c r="AO21" s="123">
        <v>12500</v>
      </c>
      <c r="AP21" s="38">
        <v>45840</v>
      </c>
      <c r="AQ21" s="123">
        <v>22000</v>
      </c>
      <c r="AR21" s="38">
        <v>45871</v>
      </c>
      <c r="AS21" s="442">
        <v>14500</v>
      </c>
      <c r="AT21" s="443">
        <v>45901</v>
      </c>
      <c r="AU21" s="459">
        <v>23000</v>
      </c>
      <c r="AV21" s="460">
        <v>45932</v>
      </c>
      <c r="AW21" s="123">
        <v>13200</v>
      </c>
      <c r="AX21" s="38">
        <v>45963</v>
      </c>
      <c r="AY21" s="123">
        <v>29200</v>
      </c>
      <c r="AZ21" s="38">
        <v>45992</v>
      </c>
      <c r="BA21" s="77"/>
      <c r="BB21" s="77"/>
      <c r="BC21" s="77"/>
      <c r="BJ21" s="24">
        <v>7</v>
      </c>
      <c r="BK21" s="18" t="s">
        <v>1251</v>
      </c>
      <c r="BL21" s="48">
        <v>45698</v>
      </c>
      <c r="BM21" s="81">
        <v>4000</v>
      </c>
    </row>
    <row r="22" spans="2:65" x14ac:dyDescent="0.3">
      <c r="B22" s="78"/>
      <c r="C22" s="122" t="s">
        <v>296</v>
      </c>
      <c r="D22" s="411"/>
      <c r="E22" s="94"/>
      <c r="F22" s="412"/>
      <c r="G22" s="94"/>
      <c r="H22" s="412"/>
      <c r="I22" s="94"/>
      <c r="J22" s="412"/>
      <c r="K22" s="94"/>
      <c r="L22" s="412"/>
      <c r="M22" s="94"/>
      <c r="N22" s="412"/>
      <c r="O22" s="94"/>
      <c r="P22" s="412"/>
      <c r="Q22" s="94"/>
      <c r="R22" s="412"/>
      <c r="S22" s="94"/>
      <c r="T22" s="412"/>
      <c r="U22" s="94"/>
      <c r="V22" s="412"/>
      <c r="W22" s="94"/>
      <c r="X22" s="412"/>
      <c r="Y22" s="94"/>
      <c r="Z22" s="412"/>
      <c r="AA22" s="392"/>
      <c r="AB22" s="402"/>
      <c r="AC22" s="412"/>
      <c r="AD22" s="94"/>
      <c r="AE22" s="412"/>
      <c r="AF22" s="94"/>
      <c r="AG22" s="42">
        <f>12300+1600</f>
        <v>13900</v>
      </c>
      <c r="AH22" s="38">
        <v>45731</v>
      </c>
      <c r="AI22" s="412"/>
      <c r="AJ22" s="94"/>
      <c r="AK22" s="412"/>
      <c r="AL22" s="94"/>
      <c r="AM22" s="123"/>
      <c r="AN22" s="38"/>
      <c r="AO22" s="123"/>
      <c r="AP22" s="38"/>
      <c r="AQ22" s="123"/>
      <c r="AR22" s="38"/>
      <c r="AS22" s="123"/>
      <c r="AT22" s="38"/>
      <c r="AU22" s="123"/>
      <c r="AV22" s="38"/>
      <c r="AW22" s="123"/>
      <c r="AX22" s="38"/>
      <c r="AY22" s="123"/>
      <c r="AZ22" s="38"/>
      <c r="BA22" s="77"/>
      <c r="BB22" s="77"/>
      <c r="BC22" s="77"/>
      <c r="BJ22" s="24">
        <v>8</v>
      </c>
      <c r="BK22" s="18" t="s">
        <v>1252</v>
      </c>
      <c r="BL22" s="48">
        <v>45698</v>
      </c>
      <c r="BM22" s="81">
        <v>5000</v>
      </c>
    </row>
    <row r="23" spans="2:65" ht="15" thickBot="1" x14ac:dyDescent="0.35">
      <c r="B23" s="44"/>
      <c r="C23" s="118"/>
      <c r="D23" s="236">
        <f>SUM(D15:D21)</f>
        <v>148500</v>
      </c>
      <c r="E23" s="45"/>
      <c r="F23" s="235">
        <f>SUM(F15:F21)</f>
        <v>150000</v>
      </c>
      <c r="G23" s="45"/>
      <c r="H23" s="235">
        <f>SUM(H15:H21)</f>
        <v>159000</v>
      </c>
      <c r="I23" s="45"/>
      <c r="J23" s="235">
        <f>SUM(J15:J21)</f>
        <v>161000</v>
      </c>
      <c r="K23" s="45"/>
      <c r="L23" s="235">
        <f>SUM(L15:L21)</f>
        <v>160000</v>
      </c>
      <c r="M23" s="45"/>
      <c r="N23" s="235">
        <f>SUM(N15:N21)</f>
        <v>181000</v>
      </c>
      <c r="O23" s="45"/>
      <c r="P23" s="235">
        <f>SUM(P15:P21)</f>
        <v>161000</v>
      </c>
      <c r="Q23" s="45"/>
      <c r="R23" s="235">
        <f>SUM(R15:R21)</f>
        <v>165000</v>
      </c>
      <c r="S23" s="45"/>
      <c r="T23" s="235">
        <f>SUM(T15:T21)</f>
        <v>168000</v>
      </c>
      <c r="U23" s="45"/>
      <c r="V23" s="235">
        <f>SUM(V15:V21)</f>
        <v>168000</v>
      </c>
      <c r="W23" s="45"/>
      <c r="X23" s="235">
        <f>SUM(X15:X21)</f>
        <v>152854</v>
      </c>
      <c r="Y23" s="45"/>
      <c r="Z23" s="235">
        <f>SUM(Z15:Z21)</f>
        <v>152532</v>
      </c>
      <c r="AA23" s="385"/>
      <c r="AB23" s="403"/>
      <c r="AC23" s="235">
        <f>SUM(AC15:AC21)</f>
        <v>166000</v>
      </c>
      <c r="AD23" s="45"/>
      <c r="AE23" s="235">
        <f>SUM(AE15:AE21)</f>
        <v>166000</v>
      </c>
      <c r="AF23" s="45"/>
      <c r="AG23" s="235">
        <f>SUM(AG15:AG22)</f>
        <v>171600</v>
      </c>
      <c r="AH23" s="45"/>
      <c r="AI23" s="235">
        <f>SUM(AI15:AI22)</f>
        <v>165000</v>
      </c>
      <c r="AJ23" s="45"/>
      <c r="AK23" s="235">
        <f>SUM(AK15:AK22)</f>
        <v>164000</v>
      </c>
      <c r="AL23" s="45"/>
      <c r="AM23" s="235">
        <f>SUM(AM15:AM22)</f>
        <v>170100</v>
      </c>
      <c r="AN23" s="45"/>
      <c r="AO23" s="235">
        <f>SUM(AO15:AO22)</f>
        <v>160000</v>
      </c>
      <c r="AP23" s="45"/>
      <c r="AQ23" s="235">
        <f>SUM(AQ15:AQ22)</f>
        <v>180000</v>
      </c>
      <c r="AR23" s="45"/>
      <c r="AS23" s="235">
        <f>SUM(AS15:AS22)</f>
        <v>171500</v>
      </c>
      <c r="AT23" s="45"/>
      <c r="AU23" s="235">
        <f>SUM(AU15:AU22)</f>
        <v>154000</v>
      </c>
      <c r="AV23" s="45"/>
      <c r="AW23" s="235">
        <f>SUM(AW15:AW22)</f>
        <v>169200</v>
      </c>
      <c r="AX23" s="45"/>
      <c r="AY23" s="235">
        <f>SUM(AY15:AY22)</f>
        <v>189600</v>
      </c>
      <c r="AZ23" s="45"/>
      <c r="BA23" s="474"/>
      <c r="BB23" s="474"/>
      <c r="BC23" s="474"/>
      <c r="BE23" s="24">
        <v>1</v>
      </c>
      <c r="BF23" s="18" t="s">
        <v>44</v>
      </c>
      <c r="BG23" s="48">
        <v>45356</v>
      </c>
      <c r="BH23" s="81">
        <v>3000</v>
      </c>
      <c r="BJ23" s="24">
        <v>9</v>
      </c>
      <c r="BK23" s="18" t="s">
        <v>1253</v>
      </c>
      <c r="BL23" s="48">
        <v>45712</v>
      </c>
      <c r="BM23" s="81">
        <v>100</v>
      </c>
    </row>
    <row r="24" spans="2:65" ht="15" thickTop="1" x14ac:dyDescent="0.3">
      <c r="B24" s="3" t="s">
        <v>17</v>
      </c>
      <c r="C24" s="119" t="s">
        <v>18</v>
      </c>
      <c r="D24" s="39">
        <v>25000</v>
      </c>
      <c r="E24" s="38">
        <v>45299</v>
      </c>
      <c r="F24" s="39">
        <v>25000</v>
      </c>
      <c r="G24" s="38">
        <v>45332</v>
      </c>
      <c r="H24" s="282">
        <v>25000</v>
      </c>
      <c r="I24" s="273">
        <v>45356</v>
      </c>
      <c r="J24" s="39">
        <v>25000</v>
      </c>
      <c r="K24" s="38">
        <v>45384</v>
      </c>
      <c r="L24" s="39">
        <v>25000</v>
      </c>
      <c r="M24" s="38">
        <v>45430</v>
      </c>
      <c r="N24" s="39">
        <v>25000</v>
      </c>
      <c r="O24" s="38">
        <v>45453</v>
      </c>
      <c r="P24" s="39">
        <v>25000</v>
      </c>
      <c r="Q24" s="38">
        <v>45478</v>
      </c>
      <c r="R24" s="39">
        <v>25000</v>
      </c>
      <c r="S24" s="38">
        <v>45514</v>
      </c>
      <c r="T24" s="39">
        <v>25000</v>
      </c>
      <c r="U24" s="38">
        <v>45541</v>
      </c>
      <c r="V24" s="39">
        <v>25000</v>
      </c>
      <c r="W24" s="38">
        <v>45570</v>
      </c>
      <c r="X24" s="39">
        <v>25000</v>
      </c>
      <c r="Y24" s="38">
        <v>45599</v>
      </c>
      <c r="Z24" s="39">
        <v>25000</v>
      </c>
      <c r="AA24" s="352">
        <v>45645</v>
      </c>
      <c r="AB24" s="402"/>
      <c r="AC24" s="42">
        <v>25000</v>
      </c>
      <c r="AD24" s="38">
        <v>45667</v>
      </c>
      <c r="AE24" s="39">
        <v>25000</v>
      </c>
      <c r="AF24" s="38">
        <v>45689</v>
      </c>
      <c r="AG24" s="39">
        <v>25000</v>
      </c>
      <c r="AH24" s="38">
        <v>45717</v>
      </c>
      <c r="AI24" s="39">
        <v>25000</v>
      </c>
      <c r="AJ24" s="38">
        <v>45748</v>
      </c>
      <c r="AK24" s="39">
        <v>25000</v>
      </c>
      <c r="AL24" s="38">
        <v>45778</v>
      </c>
      <c r="AM24" s="39">
        <v>32500</v>
      </c>
      <c r="AN24" s="38">
        <v>45809</v>
      </c>
      <c r="AO24" s="39">
        <v>32500</v>
      </c>
      <c r="AP24" s="38">
        <v>45843</v>
      </c>
      <c r="AQ24" s="39">
        <v>32500</v>
      </c>
      <c r="AR24" s="38">
        <v>45871</v>
      </c>
      <c r="AS24" s="39">
        <v>32500</v>
      </c>
      <c r="AT24" s="38">
        <v>45913</v>
      </c>
      <c r="AU24" s="39">
        <v>32500</v>
      </c>
      <c r="AV24" s="38">
        <v>45935</v>
      </c>
      <c r="AW24" s="39">
        <v>32500</v>
      </c>
      <c r="AX24" s="38">
        <v>45965</v>
      </c>
      <c r="AY24" s="39">
        <v>32500</v>
      </c>
      <c r="AZ24" s="38">
        <v>45992</v>
      </c>
      <c r="BA24" s="77"/>
      <c r="BB24" s="77"/>
      <c r="BC24" s="77"/>
      <c r="BE24" s="24">
        <v>2</v>
      </c>
      <c r="BF24" s="18" t="s">
        <v>89</v>
      </c>
      <c r="BG24" s="48">
        <v>45362</v>
      </c>
      <c r="BH24" s="81">
        <v>7000</v>
      </c>
      <c r="BJ24" s="24">
        <v>10</v>
      </c>
      <c r="BK24" s="18" t="s">
        <v>1255</v>
      </c>
      <c r="BL24" s="48">
        <v>45716</v>
      </c>
      <c r="BM24" s="81">
        <v>3000</v>
      </c>
    </row>
    <row r="25" spans="2:65" x14ac:dyDescent="0.3">
      <c r="B25" s="3"/>
      <c r="C25" s="119" t="s">
        <v>19</v>
      </c>
      <c r="D25" s="39">
        <v>25000</v>
      </c>
      <c r="E25" s="38">
        <v>45299</v>
      </c>
      <c r="F25" s="39">
        <v>25000</v>
      </c>
      <c r="G25" s="38">
        <v>45332</v>
      </c>
      <c r="H25" s="282">
        <v>25000</v>
      </c>
      <c r="I25" s="273">
        <v>45356</v>
      </c>
      <c r="J25" s="39">
        <v>25000</v>
      </c>
      <c r="K25" s="38">
        <v>45384</v>
      </c>
      <c r="L25" s="39">
        <v>25000</v>
      </c>
      <c r="M25" s="38">
        <v>45430</v>
      </c>
      <c r="N25" s="39">
        <v>25000</v>
      </c>
      <c r="O25" s="38">
        <v>45453</v>
      </c>
      <c r="P25" s="39">
        <v>25000</v>
      </c>
      <c r="Q25" s="38">
        <v>45478</v>
      </c>
      <c r="R25" s="39">
        <v>25000</v>
      </c>
      <c r="S25" s="38">
        <v>45514</v>
      </c>
      <c r="T25" s="39">
        <v>25000</v>
      </c>
      <c r="U25" s="38">
        <v>45541</v>
      </c>
      <c r="V25" s="39">
        <v>25000</v>
      </c>
      <c r="W25" s="38">
        <v>45570</v>
      </c>
      <c r="X25" s="39">
        <v>25000</v>
      </c>
      <c r="Y25" s="38">
        <v>45599</v>
      </c>
      <c r="Z25" s="39">
        <v>25000</v>
      </c>
      <c r="AA25" s="352">
        <v>45645</v>
      </c>
      <c r="AB25" s="402"/>
      <c r="AC25" s="42">
        <v>25000</v>
      </c>
      <c r="AD25" s="38">
        <v>45667</v>
      </c>
      <c r="AE25" s="39">
        <v>25000</v>
      </c>
      <c r="AF25" s="38">
        <v>45689</v>
      </c>
      <c r="AG25" s="39">
        <v>25000</v>
      </c>
      <c r="AH25" s="38">
        <v>45717</v>
      </c>
      <c r="AI25" s="39">
        <v>25000</v>
      </c>
      <c r="AJ25" s="38">
        <v>45748</v>
      </c>
      <c r="AK25" s="39">
        <v>25000</v>
      </c>
      <c r="AL25" s="38">
        <v>45778</v>
      </c>
      <c r="AM25" s="39">
        <v>32500</v>
      </c>
      <c r="AN25" s="38">
        <v>45809</v>
      </c>
      <c r="AO25" s="39">
        <v>32500</v>
      </c>
      <c r="AP25" s="38">
        <v>45843</v>
      </c>
      <c r="AQ25" s="39">
        <v>32500</v>
      </c>
      <c r="AR25" s="38">
        <v>45871</v>
      </c>
      <c r="AS25" s="39">
        <v>32500</v>
      </c>
      <c r="AT25" s="38">
        <v>45913</v>
      </c>
      <c r="AU25" s="39">
        <v>32500</v>
      </c>
      <c r="AV25" s="38">
        <v>45935</v>
      </c>
      <c r="AW25" s="39">
        <v>32500</v>
      </c>
      <c r="AX25" s="38">
        <v>45965</v>
      </c>
      <c r="AY25" s="39">
        <v>32500</v>
      </c>
      <c r="AZ25" s="38">
        <v>45992</v>
      </c>
      <c r="BA25" s="77"/>
      <c r="BB25" s="77"/>
      <c r="BC25" s="77"/>
      <c r="BE25" s="24">
        <v>3</v>
      </c>
      <c r="BF25" s="18" t="s">
        <v>115</v>
      </c>
      <c r="BG25" s="48">
        <v>45371</v>
      </c>
      <c r="BH25" s="203">
        <v>5000</v>
      </c>
      <c r="BJ25" s="24">
        <v>11</v>
      </c>
      <c r="BK25" s="18" t="s">
        <v>1260</v>
      </c>
      <c r="BL25" s="48">
        <v>45716</v>
      </c>
      <c r="BM25" s="81">
        <v>1240</v>
      </c>
    </row>
    <row r="26" spans="2:65" ht="15" thickBot="1" x14ac:dyDescent="0.35">
      <c r="B26" s="44"/>
      <c r="C26" s="118"/>
      <c r="D26" s="236">
        <f>SUM(D24:D25)</f>
        <v>50000</v>
      </c>
      <c r="E26" s="269"/>
      <c r="F26" s="235">
        <f>SUM(F24:F25)</f>
        <v>50000</v>
      </c>
      <c r="G26" s="269"/>
      <c r="H26" s="235">
        <f>SUM(H24:H25)</f>
        <v>50000</v>
      </c>
      <c r="I26" s="269"/>
      <c r="J26" s="235">
        <f>SUM(J24:J25)</f>
        <v>50000</v>
      </c>
      <c r="K26" s="269"/>
      <c r="L26" s="235">
        <f>SUM(L24:L25)</f>
        <v>50000</v>
      </c>
      <c r="M26" s="269"/>
      <c r="N26" s="235">
        <f>SUM(N24:N25)</f>
        <v>50000</v>
      </c>
      <c r="O26" s="269"/>
      <c r="P26" s="235">
        <f>SUM(P24:P25)</f>
        <v>50000</v>
      </c>
      <c r="Q26" s="269"/>
      <c r="R26" s="235">
        <f>SUM(R24:R25)</f>
        <v>50000</v>
      </c>
      <c r="S26" s="269"/>
      <c r="T26" s="235">
        <f>SUM(T24:T25)</f>
        <v>50000</v>
      </c>
      <c r="U26" s="269"/>
      <c r="V26" s="235">
        <f>SUM(V24:V25)</f>
        <v>50000</v>
      </c>
      <c r="W26" s="269"/>
      <c r="X26" s="235">
        <f>SUM(X24:X25)</f>
        <v>50000</v>
      </c>
      <c r="Y26" s="269"/>
      <c r="Z26" s="235">
        <f>SUM(Z24:Z25)</f>
        <v>50000</v>
      </c>
      <c r="AA26" s="386"/>
      <c r="AB26" s="404"/>
      <c r="AC26" s="235">
        <f>SUM(AC24:AC25)</f>
        <v>50000</v>
      </c>
      <c r="AD26" s="269"/>
      <c r="AE26" s="235">
        <f>SUM(AE24:AE25)</f>
        <v>50000</v>
      </c>
      <c r="AF26" s="269"/>
      <c r="AG26" s="235">
        <f>SUM(AG24:AG25)</f>
        <v>50000</v>
      </c>
      <c r="AH26" s="269"/>
      <c r="AI26" s="235">
        <f>SUM(AI24:AI25)</f>
        <v>50000</v>
      </c>
      <c r="AJ26" s="269"/>
      <c r="AK26" s="235">
        <f>SUM(AK24:AK25)</f>
        <v>50000</v>
      </c>
      <c r="AL26" s="269"/>
      <c r="AM26" s="235">
        <f>SUM(AM24:AM25)</f>
        <v>65000</v>
      </c>
      <c r="AN26" s="269"/>
      <c r="AO26" s="235">
        <f>SUM(AO24:AO25)</f>
        <v>65000</v>
      </c>
      <c r="AP26" s="269"/>
      <c r="AQ26" s="235">
        <f>SUM(AQ24:AQ25)</f>
        <v>65000</v>
      </c>
      <c r="AR26" s="269"/>
      <c r="AS26" s="235">
        <f>SUM(AS24:AS25)</f>
        <v>65000</v>
      </c>
      <c r="AT26" s="269"/>
      <c r="AU26" s="235">
        <f>SUM(AU24:AU25)</f>
        <v>65000</v>
      </c>
      <c r="AV26" s="269"/>
      <c r="AW26" s="235">
        <f>SUM(AW24:AW25)</f>
        <v>65000</v>
      </c>
      <c r="AX26" s="269"/>
      <c r="AY26" s="235">
        <f>SUM(AY24:AY25)</f>
        <v>65000</v>
      </c>
      <c r="AZ26" s="269"/>
      <c r="BA26" s="475"/>
      <c r="BB26" s="475"/>
      <c r="BC26" s="475"/>
      <c r="BE26" s="24">
        <v>4</v>
      </c>
      <c r="BF26" s="213" t="s">
        <v>833</v>
      </c>
      <c r="BG26" s="48">
        <v>45371</v>
      </c>
      <c r="BH26" s="81">
        <v>1000</v>
      </c>
      <c r="BJ26" s="100">
        <v>45689</v>
      </c>
      <c r="BK26" s="70"/>
      <c r="BL26" s="70"/>
      <c r="BM26" s="71">
        <f>SUM(BM15:BM25)</f>
        <v>35300</v>
      </c>
    </row>
    <row r="27" spans="2:65" ht="15" thickTop="1" x14ac:dyDescent="0.3">
      <c r="B27" s="3" t="s">
        <v>62</v>
      </c>
      <c r="C27" s="120" t="s">
        <v>61</v>
      </c>
      <c r="D27" s="39">
        <v>9600</v>
      </c>
      <c r="E27" s="38">
        <v>45292</v>
      </c>
      <c r="F27" s="42">
        <v>9500</v>
      </c>
      <c r="G27" s="38">
        <v>45330</v>
      </c>
      <c r="H27" s="42">
        <v>9500</v>
      </c>
      <c r="I27" s="38">
        <v>45376</v>
      </c>
      <c r="J27" s="42">
        <v>9500</v>
      </c>
      <c r="K27" s="38">
        <v>45412</v>
      </c>
      <c r="L27" s="42">
        <v>9500</v>
      </c>
      <c r="M27" s="38">
        <v>45443</v>
      </c>
      <c r="N27" s="42"/>
      <c r="O27" s="38"/>
      <c r="P27" s="42">
        <v>9500</v>
      </c>
      <c r="Q27" s="38">
        <v>45478</v>
      </c>
      <c r="R27" s="42">
        <v>10900</v>
      </c>
      <c r="S27" s="38">
        <v>45509</v>
      </c>
      <c r="T27" s="42">
        <v>9500</v>
      </c>
      <c r="U27" s="38">
        <v>45541</v>
      </c>
      <c r="V27" s="42">
        <v>9500</v>
      </c>
      <c r="W27" s="38">
        <v>45585</v>
      </c>
      <c r="X27" s="42">
        <v>9500</v>
      </c>
      <c r="Y27" s="38">
        <v>45599</v>
      </c>
      <c r="Z27" s="42">
        <f>9500+1200</f>
        <v>10700</v>
      </c>
      <c r="AA27" s="352"/>
      <c r="AB27" s="402"/>
      <c r="AC27" s="42">
        <v>9500</v>
      </c>
      <c r="AD27" s="38">
        <v>45660</v>
      </c>
      <c r="AE27" s="42">
        <v>11000</v>
      </c>
      <c r="AF27" s="38">
        <v>45693</v>
      </c>
      <c r="AG27" s="42">
        <v>9500</v>
      </c>
      <c r="AH27" s="38">
        <v>45728</v>
      </c>
      <c r="AI27" s="42">
        <v>9500</v>
      </c>
      <c r="AJ27" s="38">
        <v>45748</v>
      </c>
      <c r="AK27" s="42">
        <v>9500</v>
      </c>
      <c r="AL27" s="38">
        <v>45778</v>
      </c>
      <c r="AM27" s="42">
        <v>9500</v>
      </c>
      <c r="AN27" s="38">
        <v>45811</v>
      </c>
      <c r="AO27" s="42">
        <v>9500</v>
      </c>
      <c r="AP27" s="38">
        <v>45843</v>
      </c>
      <c r="AQ27" s="42">
        <v>9500</v>
      </c>
      <c r="AR27" s="38">
        <v>45871</v>
      </c>
      <c r="AS27" s="445">
        <v>9500</v>
      </c>
      <c r="AT27" s="443">
        <v>45901</v>
      </c>
      <c r="AU27" s="42">
        <v>9500</v>
      </c>
      <c r="AV27" s="38">
        <v>45939</v>
      </c>
      <c r="AW27" s="42">
        <v>9500</v>
      </c>
      <c r="AX27" s="38">
        <v>45973</v>
      </c>
      <c r="AY27" s="42">
        <v>9500</v>
      </c>
      <c r="AZ27" s="38">
        <v>45998</v>
      </c>
      <c r="BA27" s="77"/>
      <c r="BB27" s="77"/>
      <c r="BC27" s="77"/>
      <c r="BE27" s="24">
        <v>5</v>
      </c>
      <c r="BF27" s="18" t="s">
        <v>834</v>
      </c>
      <c r="BG27" s="48">
        <v>45376</v>
      </c>
      <c r="BH27" s="81">
        <v>1500</v>
      </c>
      <c r="BI27" t="s">
        <v>836</v>
      </c>
    </row>
    <row r="28" spans="2:65" x14ac:dyDescent="0.3">
      <c r="B28" s="3"/>
      <c r="C28" s="120" t="s">
        <v>1587</v>
      </c>
      <c r="D28" s="39">
        <v>14900</v>
      </c>
      <c r="E28" s="38">
        <v>45301</v>
      </c>
      <c r="F28" s="42"/>
      <c r="G28" s="38"/>
      <c r="H28" s="42"/>
      <c r="I28" s="38"/>
      <c r="J28" s="42"/>
      <c r="K28" s="38"/>
      <c r="L28" s="42">
        <f>1100+1100</f>
        <v>2200</v>
      </c>
      <c r="M28" s="38">
        <v>45414</v>
      </c>
      <c r="N28" s="42"/>
      <c r="O28" s="38"/>
      <c r="P28" s="42">
        <v>4800</v>
      </c>
      <c r="Q28" s="38">
        <v>45489</v>
      </c>
      <c r="R28" s="42">
        <v>1100</v>
      </c>
      <c r="S28" s="38">
        <v>45514</v>
      </c>
      <c r="T28" s="42">
        <v>7600</v>
      </c>
      <c r="U28" s="38">
        <v>45541</v>
      </c>
      <c r="V28" s="42">
        <v>2500</v>
      </c>
      <c r="W28" s="38">
        <v>45590</v>
      </c>
      <c r="X28" s="42"/>
      <c r="Y28" s="38"/>
      <c r="Z28" s="42">
        <v>8200</v>
      </c>
      <c r="AA28" s="352">
        <v>45627</v>
      </c>
      <c r="AB28" s="402"/>
      <c r="AC28" s="42"/>
      <c r="AD28" s="38"/>
      <c r="AE28" s="42"/>
      <c r="AF28" s="38"/>
      <c r="AG28" s="42">
        <v>1400</v>
      </c>
      <c r="AH28" s="38">
        <v>45728</v>
      </c>
      <c r="AI28" s="42">
        <v>1400</v>
      </c>
      <c r="AJ28" s="38">
        <v>45767</v>
      </c>
      <c r="AK28" s="42">
        <v>1600</v>
      </c>
      <c r="AL28" s="38">
        <v>45807</v>
      </c>
      <c r="AM28" s="42">
        <v>3000</v>
      </c>
      <c r="AN28" s="38">
        <v>45811</v>
      </c>
      <c r="AO28" s="42">
        <v>700</v>
      </c>
      <c r="AP28" s="38">
        <v>45843</v>
      </c>
      <c r="AQ28" s="42">
        <v>9600</v>
      </c>
      <c r="AR28" s="38">
        <v>45879</v>
      </c>
      <c r="AS28" s="42">
        <v>6000</v>
      </c>
      <c r="AT28" s="38">
        <v>45904</v>
      </c>
      <c r="AU28" s="42"/>
      <c r="AV28" s="38"/>
      <c r="AW28" s="42">
        <v>1000</v>
      </c>
      <c r="AX28" s="38">
        <v>45977</v>
      </c>
      <c r="AY28" s="42"/>
      <c r="AZ28" s="38"/>
      <c r="BA28" s="77"/>
      <c r="BB28" s="77"/>
      <c r="BC28" s="77"/>
      <c r="BE28" s="24"/>
      <c r="BF28" s="18"/>
      <c r="BG28" s="48"/>
      <c r="BH28" s="81"/>
    </row>
    <row r="29" spans="2:65" x14ac:dyDescent="0.3">
      <c r="B29" s="3"/>
      <c r="C29" s="120" t="s">
        <v>954</v>
      </c>
      <c r="D29" s="39"/>
      <c r="E29" s="38"/>
      <c r="F29" s="42"/>
      <c r="G29" s="38"/>
      <c r="H29" s="42"/>
      <c r="I29" s="38"/>
      <c r="J29" s="42">
        <v>6500</v>
      </c>
      <c r="K29" s="38">
        <v>45392</v>
      </c>
      <c r="L29" s="42"/>
      <c r="M29" s="38"/>
      <c r="N29" s="42"/>
      <c r="O29" s="38"/>
      <c r="P29" s="42"/>
      <c r="Q29" s="38"/>
      <c r="R29" s="42"/>
      <c r="S29" s="38"/>
      <c r="T29" s="42"/>
      <c r="U29" s="38"/>
      <c r="V29" s="42">
        <v>5200</v>
      </c>
      <c r="W29" s="38">
        <v>45585</v>
      </c>
      <c r="X29" s="42"/>
      <c r="Y29" s="38"/>
      <c r="Z29" s="42"/>
      <c r="AA29" s="352"/>
      <c r="AB29" s="402"/>
      <c r="AC29" s="42"/>
      <c r="AD29" s="38"/>
      <c r="AE29" s="42"/>
      <c r="AF29" s="38"/>
      <c r="AG29" s="42"/>
      <c r="AH29" s="38"/>
      <c r="AI29" s="42"/>
      <c r="AJ29" s="38"/>
      <c r="AK29" s="42"/>
      <c r="AL29" s="38"/>
      <c r="AM29" s="42"/>
      <c r="AN29" s="38"/>
      <c r="AO29" s="42">
        <v>2200</v>
      </c>
      <c r="AP29" s="38">
        <v>45851</v>
      </c>
      <c r="AQ29" s="42"/>
      <c r="AR29" s="38"/>
      <c r="AS29" s="42"/>
      <c r="AT29" s="38"/>
      <c r="AU29" s="42">
        <v>6800</v>
      </c>
      <c r="AV29" s="38">
        <v>45958</v>
      </c>
      <c r="AW29" s="42"/>
      <c r="AX29" s="38"/>
      <c r="AY29" s="42"/>
      <c r="AZ29" s="38"/>
      <c r="BA29" s="77"/>
      <c r="BB29" s="77"/>
      <c r="BC29" s="77"/>
      <c r="BE29" s="100">
        <v>45352</v>
      </c>
      <c r="BF29" s="70"/>
      <c r="BG29" s="70"/>
      <c r="BH29" s="71">
        <f>SUM(BH23:BH28)</f>
        <v>17500</v>
      </c>
      <c r="BJ29" s="24">
        <v>1</v>
      </c>
      <c r="BK29" s="18" t="s">
        <v>44</v>
      </c>
      <c r="BL29" s="48"/>
      <c r="BM29" s="81">
        <v>3000</v>
      </c>
    </row>
    <row r="30" spans="2:65" x14ac:dyDescent="0.3">
      <c r="B30" s="3"/>
      <c r="C30" s="120" t="s">
        <v>1377</v>
      </c>
      <c r="D30" s="39"/>
      <c r="E30" s="38"/>
      <c r="F30" s="42"/>
      <c r="G30" s="38"/>
      <c r="H30" s="42"/>
      <c r="I30" s="38"/>
      <c r="J30" s="42"/>
      <c r="K30" s="38"/>
      <c r="L30" s="42">
        <v>1500</v>
      </c>
      <c r="M30" s="38">
        <v>45414</v>
      </c>
      <c r="N30" s="42"/>
      <c r="O30" s="38"/>
      <c r="P30" s="42"/>
      <c r="Q30" s="38"/>
      <c r="R30" s="42"/>
      <c r="S30" s="38"/>
      <c r="T30" s="42">
        <v>950</v>
      </c>
      <c r="U30" s="38">
        <v>45549</v>
      </c>
      <c r="V30" s="42"/>
      <c r="W30" s="38"/>
      <c r="X30" s="42"/>
      <c r="Y30" s="38"/>
      <c r="Z30" s="42"/>
      <c r="AA30" s="352"/>
      <c r="AB30" s="402"/>
      <c r="AC30" s="42">
        <f>1400+1400</f>
        <v>2800</v>
      </c>
      <c r="AD30" s="38">
        <v>45660</v>
      </c>
      <c r="AE30" s="42"/>
      <c r="AF30" s="38"/>
      <c r="AG30" s="42"/>
      <c r="AH30" s="38"/>
      <c r="AI30" s="42">
        <v>87500</v>
      </c>
      <c r="AJ30" s="38">
        <v>45762</v>
      </c>
      <c r="AK30" s="42"/>
      <c r="AL30" s="38"/>
      <c r="AM30" s="42"/>
      <c r="AN30" s="38"/>
      <c r="AO30" s="42">
        <v>1500</v>
      </c>
      <c r="AP30" s="38">
        <v>45843</v>
      </c>
      <c r="AQ30" s="42"/>
      <c r="AR30" s="38"/>
      <c r="AS30" s="42">
        <f>1500+1200</f>
        <v>2700</v>
      </c>
      <c r="AT30" s="38">
        <v>45904</v>
      </c>
      <c r="AU30" s="42"/>
      <c r="AV30" s="38"/>
      <c r="AW30" s="42"/>
      <c r="AX30" s="38"/>
      <c r="AY30" s="42"/>
      <c r="AZ30" s="38"/>
      <c r="BA30" s="77"/>
      <c r="BB30" s="77"/>
      <c r="BC30" s="77"/>
      <c r="BJ30" s="24">
        <v>2</v>
      </c>
      <c r="BK30" s="18" t="s">
        <v>89</v>
      </c>
      <c r="BL30" s="48"/>
      <c r="BM30" s="81">
        <v>7000</v>
      </c>
    </row>
    <row r="31" spans="2:65" x14ac:dyDescent="0.3">
      <c r="B31" s="3"/>
      <c r="C31" s="120" t="s">
        <v>961</v>
      </c>
      <c r="D31" s="39"/>
      <c r="E31" s="38"/>
      <c r="F31" s="42"/>
      <c r="G31" s="38"/>
      <c r="H31" s="42"/>
      <c r="I31" s="38"/>
      <c r="J31" s="42"/>
      <c r="K31" s="38"/>
      <c r="L31" s="42">
        <v>9700</v>
      </c>
      <c r="M31" s="38">
        <v>45430</v>
      </c>
      <c r="N31" s="42"/>
      <c r="O31" s="38"/>
      <c r="P31" s="42"/>
      <c r="Q31" s="38"/>
      <c r="R31" s="42"/>
      <c r="S31" s="38"/>
      <c r="T31" s="42">
        <v>2000</v>
      </c>
      <c r="U31" s="38">
        <v>45549</v>
      </c>
      <c r="V31" s="42"/>
      <c r="W31" s="38"/>
      <c r="X31" s="42"/>
      <c r="Y31" s="38"/>
      <c r="Z31" s="42">
        <v>8400</v>
      </c>
      <c r="AA31" s="352">
        <v>45633</v>
      </c>
      <c r="AB31" s="402"/>
      <c r="AC31" s="42"/>
      <c r="AD31" s="38"/>
      <c r="AE31" s="42">
        <f>800+1400</f>
        <v>2200</v>
      </c>
      <c r="AF31" s="38" t="s">
        <v>1249</v>
      </c>
      <c r="AG31" s="42"/>
      <c r="AH31" s="38"/>
      <c r="AI31" s="42"/>
      <c r="AJ31" s="38"/>
      <c r="AK31" s="42"/>
      <c r="AL31" s="38"/>
      <c r="AM31" s="42"/>
      <c r="AN31" s="38"/>
      <c r="AO31" s="42"/>
      <c r="AP31" s="38"/>
      <c r="AQ31" s="42"/>
      <c r="AR31" s="38"/>
      <c r="AS31" s="42"/>
      <c r="AT31" s="38"/>
      <c r="AU31" s="42"/>
      <c r="AV31" s="38"/>
      <c r="AW31" s="42"/>
      <c r="AX31" s="38"/>
      <c r="AY31" s="42"/>
      <c r="AZ31" s="38"/>
      <c r="BA31" s="77"/>
      <c r="BB31" s="77"/>
      <c r="BC31" s="77"/>
      <c r="BE31" s="24">
        <v>1</v>
      </c>
      <c r="BF31" s="18" t="s">
        <v>952</v>
      </c>
      <c r="BG31" s="48">
        <v>45384</v>
      </c>
      <c r="BH31" s="81">
        <v>8800</v>
      </c>
      <c r="BJ31" s="24">
        <v>3</v>
      </c>
      <c r="BK31" s="18" t="s">
        <v>115</v>
      </c>
      <c r="BL31" s="48"/>
      <c r="BM31" s="81">
        <v>2500</v>
      </c>
    </row>
    <row r="32" spans="2:65" x14ac:dyDescent="0.3">
      <c r="B32" s="3"/>
      <c r="C32" s="120" t="s">
        <v>1156</v>
      </c>
      <c r="D32" s="159"/>
      <c r="E32" s="38"/>
      <c r="F32" s="106"/>
      <c r="G32" s="38"/>
      <c r="H32" s="106"/>
      <c r="I32" s="38"/>
      <c r="J32" s="106"/>
      <c r="K32" s="38"/>
      <c r="L32" s="106">
        <v>2200</v>
      </c>
      <c r="M32" s="38">
        <v>45443</v>
      </c>
      <c r="N32" s="106">
        <v>5300</v>
      </c>
      <c r="O32" s="38">
        <v>45452</v>
      </c>
      <c r="P32" s="106"/>
      <c r="Q32" s="38"/>
      <c r="R32" s="106"/>
      <c r="S32" s="38"/>
      <c r="T32" s="106"/>
      <c r="U32" s="38"/>
      <c r="V32" s="106"/>
      <c r="W32" s="38"/>
      <c r="X32" s="106"/>
      <c r="Y32" s="38"/>
      <c r="Z32" s="106">
        <v>85000</v>
      </c>
      <c r="AA32" s="352">
        <v>45636</v>
      </c>
      <c r="AB32" s="402"/>
      <c r="AC32" s="106">
        <v>9700</v>
      </c>
      <c r="AD32" s="38">
        <v>45660</v>
      </c>
      <c r="AE32" s="106"/>
      <c r="AF32" s="38"/>
      <c r="AG32" s="106"/>
      <c r="AH32" s="38"/>
      <c r="AI32" s="106"/>
      <c r="AJ32" s="38"/>
      <c r="AK32" s="106"/>
      <c r="AL32" s="38"/>
      <c r="AM32" s="106"/>
      <c r="AN32" s="38"/>
      <c r="AO32" s="106"/>
      <c r="AP32" s="38"/>
      <c r="AQ32" s="106"/>
      <c r="AR32" s="38"/>
      <c r="AS32" s="106"/>
      <c r="AT32" s="38"/>
      <c r="AU32" s="106"/>
      <c r="AV32" s="38"/>
      <c r="AW32" s="106"/>
      <c r="AX32" s="38"/>
      <c r="AY32" s="106"/>
      <c r="AZ32" s="38"/>
      <c r="BA32" s="77"/>
      <c r="BB32" s="77"/>
      <c r="BC32" s="77"/>
      <c r="BE32" s="24">
        <v>2</v>
      </c>
      <c r="BF32" s="18" t="s">
        <v>44</v>
      </c>
      <c r="BG32" s="48">
        <v>45387</v>
      </c>
      <c r="BH32" s="81">
        <v>3000</v>
      </c>
      <c r="BJ32" s="24">
        <v>4</v>
      </c>
      <c r="BK32" s="440" t="s">
        <v>952</v>
      </c>
      <c r="BL32" s="376"/>
      <c r="BM32" s="438">
        <v>2500</v>
      </c>
    </row>
    <row r="33" spans="2:71" x14ac:dyDescent="0.3">
      <c r="B33" s="3"/>
      <c r="C33" s="120" t="s">
        <v>1131</v>
      </c>
      <c r="D33" s="39"/>
      <c r="E33" s="38"/>
      <c r="F33" s="42"/>
      <c r="G33" s="38"/>
      <c r="H33" s="42"/>
      <c r="I33" s="38"/>
      <c r="J33" s="42"/>
      <c r="K33" s="38"/>
      <c r="L33" s="42"/>
      <c r="M33" s="38"/>
      <c r="N33" s="42"/>
      <c r="O33" s="38"/>
      <c r="P33" s="42"/>
      <c r="Q33" s="38"/>
      <c r="R33" s="42"/>
      <c r="S33" s="38"/>
      <c r="T33" s="42">
        <v>7500</v>
      </c>
      <c r="U33" s="38">
        <v>45549</v>
      </c>
      <c r="V33" s="42"/>
      <c r="W33" s="38"/>
      <c r="X33" s="42"/>
      <c r="Y33" s="38"/>
      <c r="Z33" s="42"/>
      <c r="AA33" s="352"/>
      <c r="AB33" s="402"/>
      <c r="AC33" s="42"/>
      <c r="AD33" s="38"/>
      <c r="AE33" s="42"/>
      <c r="AF33" s="38"/>
      <c r="AG33" s="42"/>
      <c r="AH33" s="38"/>
      <c r="AI33" s="42"/>
      <c r="AJ33" s="38"/>
      <c r="AK33" s="42"/>
      <c r="AL33" s="38"/>
      <c r="AM33" s="42"/>
      <c r="AN33" s="38"/>
      <c r="AO33" s="42"/>
      <c r="AP33" s="38"/>
      <c r="AQ33" s="42"/>
      <c r="AR33" s="38"/>
      <c r="AS33" s="42"/>
      <c r="AT33" s="38"/>
      <c r="AU33" s="42"/>
      <c r="AV33" s="38"/>
      <c r="AW33" s="42"/>
      <c r="AX33" s="38"/>
      <c r="AY33" s="42"/>
      <c r="AZ33" s="38"/>
      <c r="BA33" s="77"/>
      <c r="BB33" s="77"/>
      <c r="BC33" s="77"/>
      <c r="BE33" s="24">
        <v>3</v>
      </c>
      <c r="BF33" s="18" t="s">
        <v>89</v>
      </c>
      <c r="BG33" s="48">
        <v>45387</v>
      </c>
      <c r="BH33" s="291">
        <v>5000</v>
      </c>
      <c r="BJ33" s="24">
        <v>5</v>
      </c>
      <c r="BK33" s="213" t="s">
        <v>1256</v>
      </c>
      <c r="BL33" s="376"/>
      <c r="BM33" s="203">
        <v>4500</v>
      </c>
    </row>
    <row r="34" spans="2:71" ht="15" thickBot="1" x14ac:dyDescent="0.35">
      <c r="B34" s="44"/>
      <c r="C34" s="118"/>
      <c r="D34" s="236">
        <f>SUM(D27:D33)</f>
        <v>24500</v>
      </c>
      <c r="E34" s="269"/>
      <c r="F34" s="235">
        <f>SUM(F27:F33)</f>
        <v>9500</v>
      </c>
      <c r="G34" s="269"/>
      <c r="H34" s="235">
        <f>SUM(H27:H33)</f>
        <v>9500</v>
      </c>
      <c r="I34" s="269"/>
      <c r="J34" s="235">
        <f>SUM(J27:J33)</f>
        <v>16000</v>
      </c>
      <c r="K34" s="269"/>
      <c r="L34" s="235">
        <f>SUM(L27:L33)</f>
        <v>25100</v>
      </c>
      <c r="M34" s="269"/>
      <c r="N34" s="235">
        <f>SUM(N27:N33)</f>
        <v>5300</v>
      </c>
      <c r="O34" s="269"/>
      <c r="P34" s="235">
        <f>SUM(P27:P33)</f>
        <v>14300</v>
      </c>
      <c r="Q34" s="269"/>
      <c r="R34" s="235">
        <f>SUM(R27:R33)</f>
        <v>12000</v>
      </c>
      <c r="S34" s="269"/>
      <c r="T34" s="235">
        <f>SUM(T27:T33)</f>
        <v>27550</v>
      </c>
      <c r="U34" s="269"/>
      <c r="V34" s="235">
        <f>SUM(V27:V33)</f>
        <v>17200</v>
      </c>
      <c r="W34" s="269"/>
      <c r="X34" s="235">
        <f>SUM(X27:X33)</f>
        <v>9500</v>
      </c>
      <c r="Y34" s="269"/>
      <c r="Z34" s="235">
        <f>SUM(Z27:Z33)</f>
        <v>112300</v>
      </c>
      <c r="AA34" s="386"/>
      <c r="AB34" s="404"/>
      <c r="AC34" s="235">
        <f>SUM(AC27:AC33)</f>
        <v>22000</v>
      </c>
      <c r="AD34" s="269"/>
      <c r="AE34" s="235">
        <f>SUM(AE27:AE33)</f>
        <v>13200</v>
      </c>
      <c r="AF34" s="269"/>
      <c r="AG34" s="235">
        <f>SUM(AG27:AG33)</f>
        <v>10900</v>
      </c>
      <c r="AH34" s="269"/>
      <c r="AI34" s="235">
        <f>SUM(AI27:AI33)</f>
        <v>98400</v>
      </c>
      <c r="AJ34" s="269"/>
      <c r="AK34" s="235">
        <f>SUM(AK27:AK33)</f>
        <v>11100</v>
      </c>
      <c r="AL34" s="269"/>
      <c r="AM34" s="235">
        <f>SUM(AM27:AM33)</f>
        <v>12500</v>
      </c>
      <c r="AN34" s="269"/>
      <c r="AO34" s="235">
        <f>SUM(AO27:AO33)</f>
        <v>13900</v>
      </c>
      <c r="AP34" s="269"/>
      <c r="AQ34" s="235">
        <f>SUM(AQ27:AQ33)</f>
        <v>19100</v>
      </c>
      <c r="AR34" s="269"/>
      <c r="AS34" s="235">
        <f>SUM(AS27:AS33)</f>
        <v>18200</v>
      </c>
      <c r="AT34" s="269"/>
      <c r="AU34" s="235">
        <f>SUM(AU27:AU33)</f>
        <v>16300</v>
      </c>
      <c r="AV34" s="269"/>
      <c r="AW34" s="235">
        <f>SUM(AW27:AW33)</f>
        <v>10500</v>
      </c>
      <c r="AX34" s="269"/>
      <c r="AY34" s="235">
        <f>SUM(AY27:AY33)</f>
        <v>9500</v>
      </c>
      <c r="AZ34" s="269"/>
      <c r="BA34" s="475"/>
      <c r="BB34" s="475"/>
      <c r="BC34" s="475"/>
      <c r="BE34" s="24">
        <v>4</v>
      </c>
      <c r="BF34" s="18" t="s">
        <v>955</v>
      </c>
      <c r="BG34" s="48">
        <v>45406</v>
      </c>
      <c r="BH34" s="81">
        <v>2500</v>
      </c>
      <c r="BJ34" s="24">
        <v>6</v>
      </c>
      <c r="BK34" s="18" t="s">
        <v>1254</v>
      </c>
      <c r="BL34" s="48"/>
      <c r="BM34" s="81">
        <f>280+190+70</f>
        <v>540</v>
      </c>
    </row>
    <row r="35" spans="2:71" ht="15" thickTop="1" x14ac:dyDescent="0.3">
      <c r="B35" s="6" t="s">
        <v>21</v>
      </c>
      <c r="C35" s="80"/>
      <c r="D35" s="170">
        <f>+BH12</f>
        <v>14850</v>
      </c>
      <c r="E35" s="292" t="s">
        <v>754</v>
      </c>
      <c r="F35" s="91">
        <f>+BH20</f>
        <v>15100</v>
      </c>
      <c r="G35" s="292" t="s">
        <v>754</v>
      </c>
      <c r="H35" s="91">
        <f>+BH29</f>
        <v>17500</v>
      </c>
      <c r="I35" s="292" t="s">
        <v>754</v>
      </c>
      <c r="J35" s="91">
        <f>+BH36</f>
        <v>19300</v>
      </c>
      <c r="K35" s="292" t="s">
        <v>754</v>
      </c>
      <c r="L35" s="91">
        <f>+BH42</f>
        <v>10200</v>
      </c>
      <c r="M35" s="292" t="s">
        <v>754</v>
      </c>
      <c r="N35" s="91">
        <f>+BH49</f>
        <v>19257</v>
      </c>
      <c r="O35" s="292" t="s">
        <v>754</v>
      </c>
      <c r="P35" s="91">
        <f>+BH56</f>
        <v>24890</v>
      </c>
      <c r="Q35" s="292" t="s">
        <v>754</v>
      </c>
      <c r="R35" s="91">
        <f>+BH66</f>
        <v>41230</v>
      </c>
      <c r="S35" s="292" t="s">
        <v>754</v>
      </c>
      <c r="T35" s="91">
        <f>+BH74</f>
        <v>24530</v>
      </c>
      <c r="U35" s="292" t="s">
        <v>754</v>
      </c>
      <c r="V35" s="91">
        <f>+BH82</f>
        <v>21500</v>
      </c>
      <c r="W35" s="292" t="s">
        <v>754</v>
      </c>
      <c r="X35" s="91">
        <f>+BH90</f>
        <v>15600</v>
      </c>
      <c r="Y35" s="292" t="s">
        <v>754</v>
      </c>
      <c r="Z35" s="91">
        <f>+BH98</f>
        <v>20610</v>
      </c>
      <c r="AA35" s="387" t="s">
        <v>754</v>
      </c>
      <c r="AB35" s="405"/>
      <c r="AC35" s="91">
        <f>+BM13</f>
        <v>29300</v>
      </c>
      <c r="AD35" s="292" t="s">
        <v>754</v>
      </c>
      <c r="AE35" s="91">
        <f>+BM26</f>
        <v>35300</v>
      </c>
      <c r="AF35" s="292" t="s">
        <v>754</v>
      </c>
      <c r="AG35" s="91">
        <f>+BM37</f>
        <v>24690</v>
      </c>
      <c r="AH35" s="292" t="s">
        <v>754</v>
      </c>
      <c r="AI35" s="91">
        <f>+BM46</f>
        <v>24000</v>
      </c>
      <c r="AJ35" s="292" t="s">
        <v>754</v>
      </c>
      <c r="AK35" s="91">
        <f>+BM54</f>
        <v>12750</v>
      </c>
      <c r="AL35" s="292" t="s">
        <v>754</v>
      </c>
      <c r="AM35" s="91">
        <f>+BM62</f>
        <v>25100</v>
      </c>
      <c r="AN35" s="292" t="s">
        <v>754</v>
      </c>
      <c r="AO35" s="91">
        <f>+BM70</f>
        <v>30000</v>
      </c>
      <c r="AP35" s="292" t="s">
        <v>754</v>
      </c>
      <c r="AQ35" s="91">
        <f>+BM78</f>
        <v>31500</v>
      </c>
      <c r="AR35" s="292" t="s">
        <v>754</v>
      </c>
      <c r="AS35" s="91">
        <f>+BM90</f>
        <v>50840</v>
      </c>
      <c r="AT35" s="292" t="s">
        <v>754</v>
      </c>
      <c r="AU35" s="91">
        <f>+BM98</f>
        <v>29800</v>
      </c>
      <c r="AV35" s="292" t="s">
        <v>754</v>
      </c>
      <c r="AW35" s="91">
        <f>+BM106</f>
        <v>21150</v>
      </c>
      <c r="AX35" s="292" t="s">
        <v>754</v>
      </c>
      <c r="AY35" s="91">
        <f>+BM115</f>
        <v>29910</v>
      </c>
      <c r="AZ35" s="292" t="s">
        <v>754</v>
      </c>
      <c r="BA35" s="74"/>
      <c r="BB35" s="74"/>
      <c r="BC35" s="74"/>
      <c r="BE35" s="18"/>
      <c r="BF35" s="18"/>
      <c r="BG35" s="18"/>
      <c r="BH35" s="18"/>
      <c r="BJ35" s="24">
        <v>7</v>
      </c>
      <c r="BK35" s="18" t="s">
        <v>1264</v>
      </c>
      <c r="BL35" s="18"/>
      <c r="BM35" s="81">
        <v>4650</v>
      </c>
    </row>
    <row r="36" spans="2:71" x14ac:dyDescent="0.3">
      <c r="B36" s="3"/>
      <c r="C36" s="80"/>
      <c r="D36" s="39"/>
      <c r="E36" s="2"/>
      <c r="F36" s="42"/>
      <c r="G36" s="2"/>
      <c r="H36" s="42"/>
      <c r="I36" s="2"/>
      <c r="J36" s="42"/>
      <c r="K36" s="2"/>
      <c r="L36" s="42"/>
      <c r="M36" s="2"/>
      <c r="N36" s="42"/>
      <c r="O36" s="2"/>
      <c r="P36" s="42"/>
      <c r="Q36" s="2"/>
      <c r="R36" s="42"/>
      <c r="S36" s="2"/>
      <c r="T36" s="42"/>
      <c r="U36" s="2"/>
      <c r="V36" s="42"/>
      <c r="W36" s="2"/>
      <c r="X36" s="42"/>
      <c r="Y36" s="2"/>
      <c r="Z36" s="42"/>
      <c r="AA36" s="388"/>
      <c r="AB36" s="403"/>
      <c r="AC36" s="42"/>
      <c r="AD36" s="2"/>
      <c r="AE36" s="42"/>
      <c r="AF36" s="2"/>
      <c r="AG36" s="42"/>
      <c r="AH36" s="2"/>
      <c r="AI36" s="42"/>
      <c r="AJ36" s="2"/>
      <c r="AK36" s="42"/>
      <c r="AL36" s="2"/>
      <c r="AM36" s="42"/>
      <c r="AN36" s="2"/>
      <c r="AO36" s="42"/>
      <c r="AP36" s="2"/>
      <c r="AQ36" s="42"/>
      <c r="AR36" s="2"/>
      <c r="AS36" s="42"/>
      <c r="AT36" s="2"/>
      <c r="AU36" s="42"/>
      <c r="AV36" s="2"/>
      <c r="AW36" s="42"/>
      <c r="AX36" s="2"/>
      <c r="AY36" s="42"/>
      <c r="AZ36" s="2"/>
      <c r="BE36" s="100">
        <v>45383</v>
      </c>
      <c r="BF36" s="70"/>
      <c r="BG36" s="70"/>
      <c r="BH36" s="71">
        <f>SUM(BH31:BH34)</f>
        <v>19300</v>
      </c>
      <c r="BJ36" s="18"/>
      <c r="BK36" s="18"/>
      <c r="BL36" s="18"/>
      <c r="BM36" s="81"/>
    </row>
    <row r="37" spans="2:71" ht="15" thickBot="1" x14ac:dyDescent="0.35">
      <c r="B37" s="44"/>
      <c r="C37" s="118"/>
      <c r="D37" s="236">
        <f>SUM(D35:D36)</f>
        <v>14850</v>
      </c>
      <c r="E37" s="269"/>
      <c r="F37" s="235">
        <f>+BH20</f>
        <v>15100</v>
      </c>
      <c r="G37" s="269"/>
      <c r="H37" s="235">
        <f>SUM(H35:H36)</f>
        <v>17500</v>
      </c>
      <c r="I37" s="269"/>
      <c r="J37" s="235">
        <f>SUM(J35:J36)</f>
        <v>19300</v>
      </c>
      <c r="K37" s="269"/>
      <c r="L37" s="235">
        <f>SUM(L35:L36)</f>
        <v>10200</v>
      </c>
      <c r="M37" s="269"/>
      <c r="N37" s="235">
        <f>SUM(N35:N36)</f>
        <v>19257</v>
      </c>
      <c r="O37" s="269"/>
      <c r="P37" s="235">
        <f>SUM(P35:P36)</f>
        <v>24890</v>
      </c>
      <c r="Q37" s="269"/>
      <c r="R37" s="235">
        <f>SUM(R35:R36)</f>
        <v>41230</v>
      </c>
      <c r="S37" s="269"/>
      <c r="T37" s="235">
        <f>SUM(T35:T36)</f>
        <v>24530</v>
      </c>
      <c r="U37" s="269"/>
      <c r="V37" s="235">
        <f>SUM(V35:V36)</f>
        <v>21500</v>
      </c>
      <c r="W37" s="269"/>
      <c r="X37" s="235">
        <f>SUM(X35:X36)</f>
        <v>15600</v>
      </c>
      <c r="Y37" s="269"/>
      <c r="Z37" s="235">
        <f>SUM(Z35:Z36)</f>
        <v>20610</v>
      </c>
      <c r="AA37" s="386"/>
      <c r="AB37" s="404"/>
      <c r="AC37" s="235">
        <f>SUM(AC35:AC36)</f>
        <v>29300</v>
      </c>
      <c r="AD37" s="269"/>
      <c r="AE37" s="235">
        <f>SUM(AE35:AE36)</f>
        <v>35300</v>
      </c>
      <c r="AF37" s="269"/>
      <c r="AG37" s="235">
        <f>SUM(AG35:AG36)</f>
        <v>24690</v>
      </c>
      <c r="AH37" s="269"/>
      <c r="AI37" s="235">
        <f>SUM(AI35:AI36)</f>
        <v>24000</v>
      </c>
      <c r="AJ37" s="269"/>
      <c r="AK37" s="235">
        <f>SUM(AK35:AK36)</f>
        <v>12750</v>
      </c>
      <c r="AL37" s="269"/>
      <c r="AM37" s="235">
        <f>SUM(AM35:AM36)</f>
        <v>25100</v>
      </c>
      <c r="AN37" s="269"/>
      <c r="AO37" s="235">
        <f>SUM(AO35:AO36)</f>
        <v>30000</v>
      </c>
      <c r="AP37" s="269"/>
      <c r="AQ37" s="235">
        <f>SUM(AQ35:AQ36)</f>
        <v>31500</v>
      </c>
      <c r="AR37" s="269"/>
      <c r="AS37" s="235">
        <f>SUM(AS35:AS36)</f>
        <v>50840</v>
      </c>
      <c r="AT37" s="269"/>
      <c r="AU37" s="235">
        <f>SUM(AU35:AU36)</f>
        <v>29800</v>
      </c>
      <c r="AV37" s="269"/>
      <c r="AW37" s="235">
        <f>SUM(AW35:AW36)</f>
        <v>21150</v>
      </c>
      <c r="AX37" s="269"/>
      <c r="AY37" s="235">
        <f>SUM(AY35:AY36)</f>
        <v>29910</v>
      </c>
      <c r="AZ37" s="269"/>
      <c r="BA37" s="475"/>
      <c r="BB37" s="475"/>
      <c r="BC37" s="475"/>
      <c r="BJ37" s="100">
        <v>45717</v>
      </c>
      <c r="BK37" s="70"/>
      <c r="BL37" s="70"/>
      <c r="BM37" s="71">
        <f>SUM(BM29:BM36)</f>
        <v>24690</v>
      </c>
    </row>
    <row r="38" spans="2:71" ht="15" thickTop="1" x14ac:dyDescent="0.3">
      <c r="B38" s="3" t="s">
        <v>33</v>
      </c>
      <c r="C38" s="117" t="s">
        <v>34</v>
      </c>
      <c r="D38" s="39">
        <v>199495</v>
      </c>
      <c r="E38" s="38">
        <v>45321</v>
      </c>
      <c r="F38" s="42">
        <v>182471</v>
      </c>
      <c r="G38" s="38">
        <v>45351</v>
      </c>
      <c r="H38" s="42">
        <v>182901</v>
      </c>
      <c r="I38" s="38">
        <v>45382</v>
      </c>
      <c r="J38" s="42">
        <v>253462</v>
      </c>
      <c r="K38" s="38">
        <v>45418</v>
      </c>
      <c r="L38" s="42">
        <v>271300</v>
      </c>
      <c r="M38" s="38">
        <v>45470</v>
      </c>
      <c r="N38" s="42">
        <v>245427</v>
      </c>
      <c r="O38" s="38">
        <v>45477</v>
      </c>
      <c r="P38" s="42">
        <v>283531</v>
      </c>
      <c r="Q38" s="38">
        <v>45504</v>
      </c>
      <c r="R38" s="42">
        <v>281334</v>
      </c>
      <c r="S38" s="38">
        <v>45546</v>
      </c>
      <c r="T38" s="42">
        <v>236550</v>
      </c>
      <c r="U38" s="38">
        <v>45566</v>
      </c>
      <c r="V38" s="42">
        <v>260098</v>
      </c>
      <c r="W38" s="38">
        <v>45597</v>
      </c>
      <c r="X38" s="42">
        <v>267330</v>
      </c>
      <c r="Y38" s="38">
        <v>45628</v>
      </c>
      <c r="Z38" s="42">
        <v>255800</v>
      </c>
      <c r="AA38" s="352">
        <v>45657</v>
      </c>
      <c r="AB38" s="402"/>
      <c r="AC38" s="42">
        <v>204057</v>
      </c>
      <c r="AD38" s="38">
        <v>45688</v>
      </c>
      <c r="AE38" s="42">
        <v>192348</v>
      </c>
      <c r="AF38" s="38">
        <v>45716</v>
      </c>
      <c r="AG38" s="42">
        <v>216757</v>
      </c>
      <c r="AH38" s="38">
        <v>45741</v>
      </c>
      <c r="AI38" s="42">
        <v>245053</v>
      </c>
      <c r="AJ38" s="38">
        <v>45779</v>
      </c>
      <c r="AK38" s="42">
        <v>245240</v>
      </c>
      <c r="AL38" s="288">
        <v>45808</v>
      </c>
      <c r="AM38" s="204">
        <v>249608</v>
      </c>
      <c r="AN38" s="288">
        <v>45842</v>
      </c>
      <c r="AO38" s="42">
        <v>235050</v>
      </c>
      <c r="AP38" s="288">
        <v>45869</v>
      </c>
      <c r="AQ38" s="449">
        <v>261172</v>
      </c>
      <c r="AR38" s="288">
        <v>45900</v>
      </c>
      <c r="AS38" s="449">
        <v>237312</v>
      </c>
      <c r="AT38" s="288">
        <v>45930</v>
      </c>
      <c r="AU38" s="449">
        <v>249928</v>
      </c>
      <c r="AV38" s="288">
        <v>45961</v>
      </c>
      <c r="AW38" s="310">
        <v>240498</v>
      </c>
      <c r="AX38" s="288">
        <v>45991</v>
      </c>
      <c r="AY38" s="73">
        <v>219111</v>
      </c>
      <c r="AZ38" s="38">
        <v>46022</v>
      </c>
      <c r="BA38" s="77"/>
      <c r="BB38" s="77"/>
      <c r="BC38" s="77"/>
      <c r="BE38" s="24">
        <v>1</v>
      </c>
      <c r="BF38" s="18" t="s">
        <v>44</v>
      </c>
      <c r="BG38" s="48">
        <v>45414</v>
      </c>
      <c r="BH38" s="81">
        <v>3000</v>
      </c>
    </row>
    <row r="39" spans="2:71" x14ac:dyDescent="0.3">
      <c r="B39" s="3"/>
      <c r="C39" s="117"/>
      <c r="D39" s="3"/>
      <c r="E39" s="2"/>
      <c r="F39" s="4"/>
      <c r="G39" s="2"/>
      <c r="H39" s="4"/>
      <c r="I39" s="2"/>
      <c r="J39" s="4"/>
      <c r="K39" s="2"/>
      <c r="L39" s="4"/>
      <c r="M39" s="2"/>
      <c r="N39" s="4"/>
      <c r="O39" s="2"/>
      <c r="P39" s="4"/>
      <c r="Q39" s="2"/>
      <c r="R39" s="4"/>
      <c r="S39" s="2"/>
      <c r="T39" s="4"/>
      <c r="U39" s="2"/>
      <c r="V39" s="4"/>
      <c r="W39" s="2"/>
      <c r="X39" s="4"/>
      <c r="Y39" s="2"/>
      <c r="Z39" s="4"/>
      <c r="AA39" s="388"/>
      <c r="AB39" s="403"/>
      <c r="AC39" s="4"/>
      <c r="AD39" s="2"/>
      <c r="AE39" s="4"/>
      <c r="AF39" s="2"/>
      <c r="AG39" s="4"/>
      <c r="AH39" s="2"/>
      <c r="AI39" s="4"/>
      <c r="AJ39" s="2"/>
      <c r="AK39" s="4"/>
      <c r="AL39" s="2"/>
      <c r="AM39" s="4"/>
      <c r="AN39" s="2"/>
      <c r="AO39" s="4"/>
      <c r="AP39" s="2"/>
      <c r="AQ39" s="4"/>
      <c r="AR39" s="2"/>
      <c r="AS39" s="4"/>
      <c r="AT39" s="2"/>
      <c r="AU39" s="4"/>
      <c r="AV39" s="2"/>
      <c r="AW39" s="4"/>
      <c r="AX39" s="2"/>
      <c r="AY39" s="4"/>
      <c r="AZ39" s="2"/>
      <c r="BE39" s="24">
        <v>2</v>
      </c>
      <c r="BF39" s="18" t="s">
        <v>89</v>
      </c>
      <c r="BG39" s="48">
        <v>45414</v>
      </c>
      <c r="BH39" s="291">
        <v>6500</v>
      </c>
      <c r="BJ39" s="24">
        <v>1</v>
      </c>
      <c r="BK39" s="18" t="s">
        <v>44</v>
      </c>
      <c r="BL39" s="48">
        <v>45748</v>
      </c>
      <c r="BM39" s="81">
        <v>3000</v>
      </c>
      <c r="BO39" t="s">
        <v>1380</v>
      </c>
      <c r="BP39">
        <v>20600</v>
      </c>
      <c r="BR39">
        <f>118000+60000</f>
        <v>178000</v>
      </c>
      <c r="BS39">
        <f>BP49+BP50+BP39</f>
        <v>20600</v>
      </c>
    </row>
    <row r="40" spans="2:71" ht="15" thickBot="1" x14ac:dyDescent="0.35">
      <c r="B40" s="44"/>
      <c r="C40" s="118"/>
      <c r="D40" s="236">
        <f>SUM(D38:D39)</f>
        <v>199495</v>
      </c>
      <c r="E40" s="269"/>
      <c r="F40" s="235">
        <f>SUM(F38:F39)</f>
        <v>182471</v>
      </c>
      <c r="G40" s="269"/>
      <c r="H40" s="235">
        <f>SUM(H38:H39)</f>
        <v>182901</v>
      </c>
      <c r="I40" s="269"/>
      <c r="J40" s="235">
        <f>SUM(J38:J39)</f>
        <v>253462</v>
      </c>
      <c r="K40" s="269"/>
      <c r="L40" s="235">
        <f>SUM(L38:L39)</f>
        <v>271300</v>
      </c>
      <c r="M40" s="269"/>
      <c r="N40" s="235">
        <f>SUM(N38:N39)</f>
        <v>245427</v>
      </c>
      <c r="O40" s="269"/>
      <c r="P40" s="235">
        <f>SUM(P38:P39)</f>
        <v>283531</v>
      </c>
      <c r="Q40" s="269"/>
      <c r="R40" s="235">
        <f>SUM(R38:R39)</f>
        <v>281334</v>
      </c>
      <c r="S40" s="269"/>
      <c r="T40" s="235">
        <f>SUM(T38:T39)</f>
        <v>236550</v>
      </c>
      <c r="U40" s="269"/>
      <c r="V40" s="235">
        <f>SUM(V38:V39)</f>
        <v>260098</v>
      </c>
      <c r="W40" s="269"/>
      <c r="X40" s="235">
        <f>SUM(X38:X39)</f>
        <v>267330</v>
      </c>
      <c r="Y40" s="269"/>
      <c r="Z40" s="235">
        <f>SUM(Z38:Z39)</f>
        <v>255800</v>
      </c>
      <c r="AA40" s="386"/>
      <c r="AB40" s="404"/>
      <c r="AC40" s="235">
        <f>SUM(AC38:AC39)</f>
        <v>204057</v>
      </c>
      <c r="AD40" s="269"/>
      <c r="AE40" s="235">
        <f>SUM(AE38:AE39)</f>
        <v>192348</v>
      </c>
      <c r="AF40" s="269"/>
      <c r="AG40" s="235">
        <f>SUM(AG38:AG39)</f>
        <v>216757</v>
      </c>
      <c r="AH40" s="269"/>
      <c r="AI40" s="235">
        <f>SUM(AI38:AI39)</f>
        <v>245053</v>
      </c>
      <c r="AJ40" s="269"/>
      <c r="AK40" s="235">
        <f>SUM(AK38:AK39)</f>
        <v>245240</v>
      </c>
      <c r="AL40" s="269"/>
      <c r="AM40" s="235">
        <f>SUM(AM38:AM39)</f>
        <v>249608</v>
      </c>
      <c r="AN40" s="269"/>
      <c r="AO40" s="235">
        <f>SUM(AO38:AO39)</f>
        <v>235050</v>
      </c>
      <c r="AP40" s="269"/>
      <c r="AQ40" s="235">
        <f>SUM(AQ38:AQ39)</f>
        <v>261172</v>
      </c>
      <c r="AR40" s="269"/>
      <c r="AS40" s="235">
        <f>SUM(AS38:AS39)</f>
        <v>237312</v>
      </c>
      <c r="AT40" s="269"/>
      <c r="AU40" s="235">
        <f>SUM(AU38:AU39)</f>
        <v>249928</v>
      </c>
      <c r="AV40" s="269"/>
      <c r="AW40" s="235">
        <f>SUM(AW38:AW39)</f>
        <v>240498</v>
      </c>
      <c r="AX40" s="269"/>
      <c r="AY40" s="235">
        <f>SUM(AY38:AY39)</f>
        <v>219111</v>
      </c>
      <c r="AZ40" s="269"/>
      <c r="BA40" s="475"/>
      <c r="BB40" s="475"/>
      <c r="BC40" s="475"/>
      <c r="BE40" s="24">
        <v>3</v>
      </c>
      <c r="BF40" s="18" t="s">
        <v>958</v>
      </c>
      <c r="BG40" s="48">
        <v>45414</v>
      </c>
      <c r="BH40" s="81">
        <v>700</v>
      </c>
      <c r="BJ40" s="24">
        <v>2</v>
      </c>
      <c r="BK40" s="18" t="s">
        <v>89</v>
      </c>
      <c r="BL40" s="48">
        <v>45767</v>
      </c>
      <c r="BM40" s="81">
        <v>7000</v>
      </c>
      <c r="BO40" t="s">
        <v>1381</v>
      </c>
      <c r="BP40">
        <v>250000</v>
      </c>
    </row>
    <row r="41" spans="2:71" ht="15" thickTop="1" x14ac:dyDescent="0.3">
      <c r="B41" s="3" t="s">
        <v>143</v>
      </c>
      <c r="C41" s="117" t="s">
        <v>1755</v>
      </c>
      <c r="D41" s="39"/>
      <c r="E41" s="38"/>
      <c r="F41" s="39"/>
      <c r="G41" s="38"/>
      <c r="H41" s="39">
        <v>700</v>
      </c>
      <c r="I41" s="38">
        <v>45371</v>
      </c>
      <c r="J41" s="39">
        <v>1000</v>
      </c>
      <c r="K41" s="38">
        <v>45406</v>
      </c>
      <c r="L41" s="39"/>
      <c r="M41" s="38"/>
      <c r="N41" s="39">
        <v>1600</v>
      </c>
      <c r="O41" s="38">
        <v>45463</v>
      </c>
      <c r="P41" s="39"/>
      <c r="Q41" s="38"/>
      <c r="R41" s="39"/>
      <c r="S41" s="38"/>
      <c r="T41" s="39"/>
      <c r="U41" s="38"/>
      <c r="V41" s="39"/>
      <c r="W41" s="38"/>
      <c r="X41" s="39"/>
      <c r="Y41" s="38"/>
      <c r="Z41" s="39"/>
      <c r="AA41" s="352"/>
      <c r="AB41" s="402"/>
      <c r="AC41" s="42"/>
      <c r="AD41" s="38"/>
      <c r="AE41" s="39"/>
      <c r="AF41" s="38"/>
      <c r="AG41" s="39"/>
      <c r="AH41" s="38"/>
      <c r="AI41" s="39">
        <f>6480+500</f>
        <v>6980</v>
      </c>
      <c r="AJ41" s="38">
        <v>45752</v>
      </c>
      <c r="AK41" s="39"/>
      <c r="AL41" s="38"/>
      <c r="AM41" s="39">
        <v>5250</v>
      </c>
      <c r="AN41" s="38">
        <v>45812</v>
      </c>
      <c r="AO41" s="39"/>
      <c r="AP41" s="38"/>
      <c r="AQ41" s="39">
        <v>8650</v>
      </c>
      <c r="AR41" s="38">
        <v>45873</v>
      </c>
      <c r="AS41" s="39"/>
      <c r="AT41" s="38"/>
      <c r="AU41" s="39">
        <f>39700</f>
        <v>39700</v>
      </c>
      <c r="AV41" s="38">
        <v>45941</v>
      </c>
      <c r="AW41" s="39">
        <v>7000</v>
      </c>
      <c r="AX41" s="38">
        <v>45968</v>
      </c>
      <c r="AY41" s="39">
        <v>6180</v>
      </c>
      <c r="AZ41" s="38">
        <v>46006</v>
      </c>
      <c r="BA41" s="77"/>
      <c r="BB41" s="77"/>
      <c r="BC41" s="77"/>
      <c r="BE41" s="24"/>
      <c r="BF41" s="18"/>
      <c r="BG41" s="48"/>
      <c r="BH41" s="81"/>
      <c r="BJ41" s="24">
        <v>3</v>
      </c>
      <c r="BK41" s="18" t="s">
        <v>115</v>
      </c>
      <c r="BL41" s="48">
        <v>45748</v>
      </c>
      <c r="BM41" s="81">
        <v>2500</v>
      </c>
    </row>
    <row r="42" spans="2:71" x14ac:dyDescent="0.3">
      <c r="B42" s="3"/>
      <c r="C42" s="117" t="s">
        <v>1763</v>
      </c>
      <c r="D42" s="39"/>
      <c r="E42" s="38"/>
      <c r="F42" s="39"/>
      <c r="G42" s="38"/>
      <c r="H42" s="39">
        <v>19200</v>
      </c>
      <c r="I42" s="38">
        <v>45381</v>
      </c>
      <c r="J42" s="39"/>
      <c r="K42" s="38"/>
      <c r="L42" s="39"/>
      <c r="M42" s="38"/>
      <c r="N42" s="39"/>
      <c r="O42" s="38"/>
      <c r="P42" s="39"/>
      <c r="Q42" s="38"/>
      <c r="R42" s="39">
        <v>6600</v>
      </c>
      <c r="S42" s="38">
        <v>45535</v>
      </c>
      <c r="T42" s="39"/>
      <c r="U42" s="38"/>
      <c r="V42" s="39"/>
      <c r="W42" s="38"/>
      <c r="X42" s="39">
        <f>23800+900</f>
        <v>24700</v>
      </c>
      <c r="Y42" s="38">
        <v>45612</v>
      </c>
      <c r="Z42" s="39">
        <f>-Naveed!AT125</f>
        <v>20000</v>
      </c>
      <c r="AA42" s="352"/>
      <c r="AB42" s="402"/>
      <c r="AC42" s="42"/>
      <c r="AD42" s="38"/>
      <c r="AE42" s="39"/>
      <c r="AF42" s="38"/>
      <c r="AG42" s="39">
        <v>10750</v>
      </c>
      <c r="AH42" s="38">
        <v>45729</v>
      </c>
      <c r="AI42" s="39"/>
      <c r="AJ42" s="38"/>
      <c r="AK42" s="39"/>
      <c r="AL42" s="38"/>
      <c r="AM42" s="39"/>
      <c r="AN42" s="38"/>
      <c r="AO42" s="39"/>
      <c r="AP42" s="38"/>
      <c r="AQ42" s="39">
        <f>650+200</f>
        <v>850</v>
      </c>
      <c r="AR42" s="38">
        <v>45884</v>
      </c>
      <c r="AS42" s="39">
        <v>2700</v>
      </c>
      <c r="AT42" s="38">
        <v>45903</v>
      </c>
      <c r="AU42" s="39"/>
      <c r="AV42" s="38"/>
      <c r="AW42" s="39">
        <v>17000</v>
      </c>
      <c r="AX42" s="38">
        <v>45976</v>
      </c>
      <c r="AY42" s="39">
        <f>3800+20000</f>
        <v>23800</v>
      </c>
      <c r="AZ42" s="38">
        <v>46021</v>
      </c>
      <c r="BA42" s="77"/>
      <c r="BB42" s="77"/>
      <c r="BC42" s="77"/>
      <c r="BE42" s="324">
        <v>45413</v>
      </c>
      <c r="BF42" s="325"/>
      <c r="BG42" s="325"/>
      <c r="BH42" s="326">
        <f>SUM(BH38:BH41)</f>
        <v>10200</v>
      </c>
      <c r="BJ42" s="24">
        <v>4</v>
      </c>
      <c r="BK42" s="440" t="s">
        <v>952</v>
      </c>
      <c r="BL42" s="48">
        <v>45767</v>
      </c>
      <c r="BM42" s="438">
        <v>0</v>
      </c>
    </row>
    <row r="43" spans="2:71" x14ac:dyDescent="0.3">
      <c r="B43" s="3"/>
      <c r="C43" s="117" t="s">
        <v>1651</v>
      </c>
      <c r="D43" s="39"/>
      <c r="E43" s="38"/>
      <c r="F43" s="39"/>
      <c r="G43" s="38"/>
      <c r="H43" s="39">
        <v>2000</v>
      </c>
      <c r="I43" s="38">
        <v>45382</v>
      </c>
      <c r="J43" s="39"/>
      <c r="K43" s="38"/>
      <c r="L43" s="39"/>
      <c r="M43" s="38"/>
      <c r="N43" s="39">
        <v>8000</v>
      </c>
      <c r="O43" s="38">
        <v>45458</v>
      </c>
      <c r="P43" s="39"/>
      <c r="Q43" s="38"/>
      <c r="R43" s="39">
        <v>2600</v>
      </c>
      <c r="S43" s="77">
        <v>45535</v>
      </c>
      <c r="T43" s="39"/>
      <c r="U43" s="38"/>
      <c r="V43" s="39"/>
      <c r="W43" s="38"/>
      <c r="X43" s="39">
        <v>6000</v>
      </c>
      <c r="Y43" s="38">
        <v>45612</v>
      </c>
      <c r="Z43" s="39"/>
      <c r="AA43" s="352"/>
      <c r="AB43" s="402"/>
      <c r="AC43" s="42"/>
      <c r="AD43" s="38"/>
      <c r="AE43" s="39"/>
      <c r="AF43" s="38"/>
      <c r="AG43" s="39"/>
      <c r="AH43" s="38"/>
      <c r="AI43" s="39"/>
      <c r="AJ43" s="38"/>
      <c r="AK43" s="39"/>
      <c r="AL43" s="38"/>
      <c r="AM43" s="39"/>
      <c r="AN43" s="38"/>
      <c r="AO43" s="39"/>
      <c r="AP43" s="38"/>
      <c r="AQ43" s="39"/>
      <c r="AR43" s="38"/>
      <c r="AS43" s="39"/>
      <c r="AT43" s="38"/>
      <c r="AU43" s="39">
        <v>2000</v>
      </c>
      <c r="AV43" s="38">
        <v>45950</v>
      </c>
      <c r="AW43" s="39"/>
      <c r="AX43" s="38"/>
      <c r="AY43" s="39"/>
      <c r="AZ43" s="38"/>
      <c r="BA43" s="77"/>
      <c r="BB43" s="77"/>
      <c r="BC43" s="77"/>
      <c r="BJ43" s="24">
        <v>5</v>
      </c>
      <c r="BK43" s="18" t="s">
        <v>1137</v>
      </c>
      <c r="BL43" s="48">
        <v>45767</v>
      </c>
      <c r="BM43" s="81">
        <v>500</v>
      </c>
    </row>
    <row r="44" spans="2:71" x14ac:dyDescent="0.3">
      <c r="B44" s="3"/>
      <c r="C44" s="293" t="s">
        <v>1261</v>
      </c>
      <c r="D44" s="282"/>
      <c r="E44" s="38"/>
      <c r="F44" s="204"/>
      <c r="G44" s="38"/>
      <c r="H44" s="204"/>
      <c r="I44" s="38"/>
      <c r="J44" s="204"/>
      <c r="K44" s="38"/>
      <c r="L44" s="204">
        <v>2500</v>
      </c>
      <c r="M44" s="38">
        <v>45430</v>
      </c>
      <c r="N44" s="204"/>
      <c r="O44" s="38"/>
      <c r="P44" s="204"/>
      <c r="Q44" s="38"/>
      <c r="R44" s="204"/>
      <c r="S44" s="38"/>
      <c r="T44" s="204"/>
      <c r="U44" s="38"/>
      <c r="V44" s="204"/>
      <c r="W44" s="38"/>
      <c r="X44" s="204"/>
      <c r="Y44" s="38"/>
      <c r="Z44" s="204"/>
      <c r="AA44" s="352"/>
      <c r="AB44" s="402"/>
      <c r="AC44" s="204"/>
      <c r="AD44" s="38"/>
      <c r="AE44" s="204"/>
      <c r="AF44" s="38"/>
      <c r="AG44" s="125">
        <v>16400</v>
      </c>
      <c r="AH44" s="38">
        <v>45718</v>
      </c>
      <c r="AI44" s="125"/>
      <c r="AJ44" s="38"/>
      <c r="AK44" s="125">
        <v>20000</v>
      </c>
      <c r="AL44" s="38">
        <v>45781</v>
      </c>
      <c r="AM44" s="125"/>
      <c r="AN44" s="38"/>
      <c r="AO44" s="125"/>
      <c r="AP44" s="38"/>
      <c r="AQ44" s="125"/>
      <c r="AR44" s="38"/>
      <c r="AS44" s="125">
        <v>45600</v>
      </c>
      <c r="AT44" s="38">
        <v>45920</v>
      </c>
      <c r="AU44" s="125"/>
      <c r="AV44" s="38"/>
      <c r="AW44" s="125"/>
      <c r="AX44" s="38"/>
      <c r="AY44" s="125">
        <v>3000</v>
      </c>
      <c r="AZ44" s="38">
        <v>46022</v>
      </c>
      <c r="BA44" s="77"/>
      <c r="BB44" s="77"/>
      <c r="BC44" s="77"/>
      <c r="BE44" s="24">
        <v>1</v>
      </c>
      <c r="BF44" s="18" t="s">
        <v>236</v>
      </c>
      <c r="BG44" s="48">
        <v>45452</v>
      </c>
      <c r="BH44" s="81">
        <v>3500</v>
      </c>
      <c r="BJ44" s="24">
        <v>6</v>
      </c>
      <c r="BK44" s="18" t="s">
        <v>1378</v>
      </c>
      <c r="BL44" s="48">
        <v>45772</v>
      </c>
      <c r="BM44" s="81">
        <v>11000</v>
      </c>
    </row>
    <row r="45" spans="2:71" x14ac:dyDescent="0.3">
      <c r="B45" s="3"/>
      <c r="C45" s="117" t="s">
        <v>960</v>
      </c>
      <c r="D45" s="39"/>
      <c r="E45" s="38"/>
      <c r="F45" s="42"/>
      <c r="G45" s="38"/>
      <c r="H45" s="42"/>
      <c r="I45" s="38"/>
      <c r="J45" s="42"/>
      <c r="K45" s="38"/>
      <c r="L45" s="42">
        <v>5000</v>
      </c>
      <c r="M45" s="38">
        <v>45437</v>
      </c>
      <c r="N45" s="42"/>
      <c r="O45" s="38"/>
      <c r="P45" s="42"/>
      <c r="Q45" s="38"/>
      <c r="R45" s="42"/>
      <c r="S45" s="38"/>
      <c r="T45" s="42"/>
      <c r="U45" s="38"/>
      <c r="V45" s="42"/>
      <c r="W45" s="38"/>
      <c r="X45" s="42"/>
      <c r="Y45" s="38"/>
      <c r="Z45" s="42"/>
      <c r="AA45" s="352"/>
      <c r="AB45" s="402"/>
      <c r="AC45" s="42"/>
      <c r="AD45" s="38"/>
      <c r="AE45" s="42"/>
      <c r="AF45" s="38"/>
      <c r="AG45" s="42"/>
      <c r="AH45" s="38"/>
      <c r="AI45" s="42"/>
      <c r="AJ45" s="38"/>
      <c r="AK45" s="42"/>
      <c r="AL45" s="38"/>
      <c r="AM45" s="42"/>
      <c r="AN45" s="38"/>
      <c r="AO45" s="42"/>
      <c r="AP45" s="38"/>
      <c r="AQ45" s="42"/>
      <c r="AR45" s="38"/>
      <c r="AS45" s="42"/>
      <c r="AT45" s="38"/>
      <c r="AU45" s="42">
        <v>34500</v>
      </c>
      <c r="AV45" s="38">
        <v>45941</v>
      </c>
      <c r="AW45" s="42"/>
      <c r="AX45" s="38"/>
      <c r="AY45" s="42">
        <v>6000</v>
      </c>
      <c r="AZ45" s="38">
        <v>46000</v>
      </c>
      <c r="BA45" s="77"/>
      <c r="BB45" s="77"/>
      <c r="BC45" s="77"/>
      <c r="BE45" s="24">
        <v>2</v>
      </c>
      <c r="BF45" s="18" t="s">
        <v>44</v>
      </c>
      <c r="BG45" s="48">
        <v>45453</v>
      </c>
      <c r="BH45" s="81">
        <v>4000</v>
      </c>
      <c r="BJ45" s="24"/>
    </row>
    <row r="46" spans="2:71" x14ac:dyDescent="0.3">
      <c r="B46" s="78"/>
      <c r="C46" s="117" t="s">
        <v>1653</v>
      </c>
      <c r="D46" s="169"/>
      <c r="E46" s="138"/>
      <c r="F46" s="79"/>
      <c r="G46" s="138"/>
      <c r="H46" s="79"/>
      <c r="I46" s="138"/>
      <c r="J46" s="79"/>
      <c r="K46" s="138"/>
      <c r="L46" s="79"/>
      <c r="M46" s="138"/>
      <c r="N46" s="79"/>
      <c r="O46" s="138"/>
      <c r="P46" s="79"/>
      <c r="Q46" s="138"/>
      <c r="R46" s="79"/>
      <c r="S46" s="138"/>
      <c r="T46" s="79"/>
      <c r="U46" s="138"/>
      <c r="V46" s="79"/>
      <c r="W46" s="138"/>
      <c r="X46" s="79">
        <v>31000</v>
      </c>
      <c r="Y46" s="38">
        <v>45612</v>
      </c>
      <c r="Z46" s="79"/>
      <c r="AA46" s="389"/>
      <c r="AB46" s="406"/>
      <c r="AC46" s="79"/>
      <c r="AD46" s="138"/>
      <c r="AE46" s="79"/>
      <c r="AF46" s="138"/>
      <c r="AG46" s="79"/>
      <c r="AH46" s="138"/>
      <c r="AI46" s="79"/>
      <c r="AJ46" s="138"/>
      <c r="AK46" s="79"/>
      <c r="AL46" s="138"/>
      <c r="AM46" s="79"/>
      <c r="AN46" s="138"/>
      <c r="AO46" s="79"/>
      <c r="AP46" s="138"/>
      <c r="AQ46" s="79"/>
      <c r="AR46" s="138"/>
      <c r="AS46" s="79"/>
      <c r="AT46" s="138"/>
      <c r="AU46" s="79">
        <v>25000</v>
      </c>
      <c r="AV46" s="38">
        <v>45960</v>
      </c>
      <c r="AW46" s="79"/>
      <c r="AX46" s="38"/>
      <c r="AY46" s="79"/>
      <c r="AZ46" s="38"/>
      <c r="BA46" s="77"/>
      <c r="BB46" s="77"/>
      <c r="BC46" s="77"/>
      <c r="BE46" s="24">
        <v>3</v>
      </c>
      <c r="BF46" s="18" t="s">
        <v>89</v>
      </c>
      <c r="BG46" s="48">
        <v>45453</v>
      </c>
      <c r="BH46" s="81">
        <v>7000</v>
      </c>
      <c r="BJ46" s="100">
        <v>45748</v>
      </c>
      <c r="BK46" s="70"/>
      <c r="BL46" s="70"/>
      <c r="BM46" s="71">
        <f>SUM(BM39:BM45)</f>
        <v>24000</v>
      </c>
    </row>
    <row r="47" spans="2:71" ht="15" thickBot="1" x14ac:dyDescent="0.35">
      <c r="B47" s="44"/>
      <c r="C47" s="118"/>
      <c r="D47" s="236">
        <f>SUM(D41:D46)</f>
        <v>0</v>
      </c>
      <c r="E47" s="269"/>
      <c r="F47" s="235">
        <f>SUM(F41:F46)</f>
        <v>0</v>
      </c>
      <c r="G47" s="269"/>
      <c r="H47" s="235">
        <f>SUM(H41:H46)</f>
        <v>21900</v>
      </c>
      <c r="I47" s="269"/>
      <c r="J47" s="235">
        <f>SUM(J41:J46)</f>
        <v>1000</v>
      </c>
      <c r="K47" s="269"/>
      <c r="L47" s="235">
        <f>SUM(L41:L46)</f>
        <v>7500</v>
      </c>
      <c r="M47" s="269"/>
      <c r="N47" s="235">
        <f>SUM(N41:N46)</f>
        <v>9600</v>
      </c>
      <c r="O47" s="269"/>
      <c r="P47" s="235">
        <f>SUM(P41:P46)</f>
        <v>0</v>
      </c>
      <c r="Q47" s="269"/>
      <c r="R47" s="235">
        <f>SUM(R41:R46)</f>
        <v>9200</v>
      </c>
      <c r="S47" s="269"/>
      <c r="T47" s="235">
        <f>SUM(T41:T46)</f>
        <v>0</v>
      </c>
      <c r="U47" s="269"/>
      <c r="V47" s="235">
        <f>SUM(V41:V46)</f>
        <v>0</v>
      </c>
      <c r="W47" s="269"/>
      <c r="X47" s="235">
        <f>SUM(X41:X46)</f>
        <v>61700</v>
      </c>
      <c r="Y47" s="269"/>
      <c r="Z47" s="235">
        <f>SUM(Z41:Z46)</f>
        <v>20000</v>
      </c>
      <c r="AA47" s="386"/>
      <c r="AB47" s="404"/>
      <c r="AC47" s="235">
        <f>SUM(AC41:AC46)</f>
        <v>0</v>
      </c>
      <c r="AD47" s="269"/>
      <c r="AE47" s="235">
        <f>SUM(AE41:AE46)</f>
        <v>0</v>
      </c>
      <c r="AF47" s="269"/>
      <c r="AG47" s="235">
        <f>SUM(AG41:AG46)</f>
        <v>27150</v>
      </c>
      <c r="AH47" s="269"/>
      <c r="AI47" s="235">
        <f>SUM(AI41:AI46)</f>
        <v>6980</v>
      </c>
      <c r="AJ47" s="269"/>
      <c r="AK47" s="235">
        <f>SUM(AK41:AK46)</f>
        <v>20000</v>
      </c>
      <c r="AL47" s="269"/>
      <c r="AM47" s="235">
        <f>SUM(AM41:AM46)</f>
        <v>5250</v>
      </c>
      <c r="AN47" s="269"/>
      <c r="AO47" s="235">
        <f>SUM(AO41:AO46)</f>
        <v>0</v>
      </c>
      <c r="AP47" s="269"/>
      <c r="AQ47" s="235">
        <f>SUM(AQ41:AQ46)</f>
        <v>9500</v>
      </c>
      <c r="AR47" s="269"/>
      <c r="AS47" s="235">
        <f>SUM(AS41:AS46)</f>
        <v>48300</v>
      </c>
      <c r="AT47" s="269"/>
      <c r="AU47" s="235">
        <f>SUM(AU41:AU46)</f>
        <v>101200</v>
      </c>
      <c r="AV47" s="269"/>
      <c r="AW47" s="235">
        <f>SUM(AW41:AW46)</f>
        <v>24000</v>
      </c>
      <c r="AX47" s="269"/>
      <c r="AY47" s="235">
        <f>SUM(AY41:AY46)</f>
        <v>38980</v>
      </c>
      <c r="AZ47" s="269"/>
      <c r="BA47" s="475"/>
      <c r="BB47" s="475"/>
      <c r="BC47" s="475"/>
      <c r="BE47" s="24">
        <v>4</v>
      </c>
      <c r="BF47" s="18" t="s">
        <v>962</v>
      </c>
      <c r="BG47" s="48">
        <v>45453</v>
      </c>
      <c r="BH47" s="81">
        <v>3000</v>
      </c>
    </row>
    <row r="48" spans="2:71" ht="15" thickTop="1" x14ac:dyDescent="0.3">
      <c r="B48" s="3" t="s">
        <v>83</v>
      </c>
      <c r="C48" s="117" t="s">
        <v>75</v>
      </c>
      <c r="D48" s="136"/>
      <c r="E48" s="38"/>
      <c r="F48" s="136"/>
      <c r="G48" s="38"/>
      <c r="H48" s="136"/>
      <c r="I48" s="38"/>
      <c r="J48" s="136"/>
      <c r="K48" s="38"/>
      <c r="L48" s="136"/>
      <c r="M48" s="38"/>
      <c r="N48" s="136"/>
      <c r="O48" s="38"/>
      <c r="P48" s="136"/>
      <c r="Q48" s="38"/>
      <c r="R48" s="136"/>
      <c r="S48" s="38"/>
      <c r="T48" s="136"/>
      <c r="U48" s="38"/>
      <c r="V48" s="136"/>
      <c r="W48" s="38"/>
      <c r="X48" s="136"/>
      <c r="Y48" s="38"/>
      <c r="Z48" s="136"/>
      <c r="AA48" s="352"/>
      <c r="AB48" s="402"/>
      <c r="AC48" s="125">
        <v>5000</v>
      </c>
      <c r="AD48" s="38">
        <v>45659</v>
      </c>
      <c r="AE48" s="136"/>
      <c r="AF48" s="38"/>
      <c r="AG48" s="136"/>
      <c r="AH48" s="38"/>
      <c r="AI48" s="136"/>
      <c r="AJ48" s="38"/>
      <c r="AK48" s="136"/>
      <c r="AL48" s="38"/>
      <c r="AM48" s="136"/>
      <c r="AN48" s="38"/>
      <c r="AO48" s="136"/>
      <c r="AP48" s="38"/>
      <c r="AQ48" s="136"/>
      <c r="AR48" s="38"/>
      <c r="AS48" s="136"/>
      <c r="AT48" s="38"/>
      <c r="AU48" s="136"/>
      <c r="AV48" s="38"/>
      <c r="AW48" s="136"/>
      <c r="AX48" s="38"/>
      <c r="AY48" s="136"/>
      <c r="AZ48" s="38"/>
      <c r="BA48" s="77"/>
      <c r="BB48" s="77"/>
      <c r="BC48" s="77"/>
      <c r="BE48" s="24">
        <v>5</v>
      </c>
      <c r="BF48" s="18" t="s">
        <v>886</v>
      </c>
      <c r="BG48" s="77">
        <v>45410</v>
      </c>
      <c r="BH48" s="81">
        <v>1757</v>
      </c>
      <c r="BJ48" s="24">
        <v>1</v>
      </c>
      <c r="BK48" s="18" t="s">
        <v>44</v>
      </c>
      <c r="BL48" s="48">
        <v>45778</v>
      </c>
      <c r="BM48" s="81">
        <v>3000</v>
      </c>
    </row>
    <row r="49" spans="2:73" x14ac:dyDescent="0.3">
      <c r="B49" s="3"/>
      <c r="C49" s="117" t="s">
        <v>76</v>
      </c>
      <c r="D49" s="136">
        <v>5000</v>
      </c>
      <c r="E49" s="38">
        <v>45304</v>
      </c>
      <c r="F49" s="136">
        <v>5000</v>
      </c>
      <c r="G49" s="38">
        <v>45330</v>
      </c>
      <c r="H49" s="136">
        <v>5000</v>
      </c>
      <c r="I49" s="38">
        <v>45362</v>
      </c>
      <c r="J49" s="136"/>
      <c r="K49" s="38"/>
      <c r="L49" s="136">
        <v>5000</v>
      </c>
      <c r="M49" s="38">
        <v>45437</v>
      </c>
      <c r="N49" s="136">
        <f>5000+5000+5000</f>
        <v>15000</v>
      </c>
      <c r="O49" s="38">
        <v>45448</v>
      </c>
      <c r="P49" s="136">
        <v>5000</v>
      </c>
      <c r="Q49" s="38">
        <v>45476</v>
      </c>
      <c r="R49" s="136">
        <v>15000</v>
      </c>
      <c r="S49" s="38">
        <v>45505</v>
      </c>
      <c r="T49" s="136">
        <f>5000+5000</f>
        <v>10000</v>
      </c>
      <c r="U49" s="38">
        <v>45541</v>
      </c>
      <c r="V49" s="136">
        <v>10000</v>
      </c>
      <c r="W49" s="38">
        <v>45566</v>
      </c>
      <c r="X49" s="136">
        <v>5000</v>
      </c>
      <c r="Y49" s="38">
        <v>45621</v>
      </c>
      <c r="Z49" s="136"/>
      <c r="AA49" s="352"/>
      <c r="AB49" s="402"/>
      <c r="AC49" s="125">
        <f>5000+5000+5000</f>
        <v>15000</v>
      </c>
      <c r="AD49" s="38">
        <v>45658</v>
      </c>
      <c r="AE49" s="136">
        <v>5000</v>
      </c>
      <c r="AF49" s="38">
        <v>45712</v>
      </c>
      <c r="AG49" s="136"/>
      <c r="AH49" s="38"/>
      <c r="AI49" s="136">
        <v>5000</v>
      </c>
      <c r="AJ49" s="38">
        <v>45762</v>
      </c>
      <c r="AK49" s="136">
        <v>5000</v>
      </c>
      <c r="AL49" s="38">
        <v>45778</v>
      </c>
      <c r="AM49" s="136">
        <v>10000</v>
      </c>
      <c r="AN49" s="38">
        <v>45812</v>
      </c>
      <c r="AO49" s="136">
        <v>5000</v>
      </c>
      <c r="AP49" s="38">
        <v>45843</v>
      </c>
      <c r="AQ49" s="136">
        <v>30000</v>
      </c>
      <c r="AR49" s="38">
        <v>45879</v>
      </c>
      <c r="AS49" s="136">
        <v>15000</v>
      </c>
      <c r="AT49" s="446">
        <v>45897</v>
      </c>
      <c r="AU49" s="136">
        <v>10000</v>
      </c>
      <c r="AV49" s="38">
        <v>45957</v>
      </c>
      <c r="AW49" s="136">
        <v>10624</v>
      </c>
      <c r="AX49" s="38">
        <v>45969</v>
      </c>
      <c r="AY49" s="136">
        <v>5000</v>
      </c>
      <c r="AZ49" s="38">
        <v>46013</v>
      </c>
      <c r="BA49" s="77"/>
      <c r="BB49" s="77"/>
      <c r="BC49" s="77"/>
      <c r="BE49" s="100">
        <v>45444</v>
      </c>
      <c r="BF49" s="70"/>
      <c r="BG49" s="70"/>
      <c r="BH49" s="71">
        <f>SUM(BH44:BH48)</f>
        <v>19257</v>
      </c>
      <c r="BJ49" s="24">
        <v>2</v>
      </c>
      <c r="BK49" s="18" t="s">
        <v>89</v>
      </c>
      <c r="BL49" s="48">
        <v>45802</v>
      </c>
      <c r="BM49" s="81">
        <v>7000</v>
      </c>
    </row>
    <row r="50" spans="2:73" x14ac:dyDescent="0.3">
      <c r="B50" s="3"/>
      <c r="C50" s="117" t="s">
        <v>76</v>
      </c>
      <c r="D50" s="136">
        <f>5000+5000</f>
        <v>10000</v>
      </c>
      <c r="E50" s="38">
        <v>45306</v>
      </c>
      <c r="F50" s="136"/>
      <c r="G50" s="38"/>
      <c r="H50" s="136">
        <v>5000</v>
      </c>
      <c r="I50" s="38">
        <v>45376</v>
      </c>
      <c r="J50" s="136"/>
      <c r="K50" s="38"/>
      <c r="L50" s="136">
        <v>5000</v>
      </c>
      <c r="M50" s="38">
        <v>45437</v>
      </c>
      <c r="N50" s="136">
        <v>5000</v>
      </c>
      <c r="O50" s="38">
        <v>45452</v>
      </c>
      <c r="P50" s="136">
        <v>5000</v>
      </c>
      <c r="Q50" s="38">
        <v>45480</v>
      </c>
      <c r="R50" s="136">
        <v>5000</v>
      </c>
      <c r="S50" s="38">
        <v>45505</v>
      </c>
      <c r="T50" s="136">
        <v>4500</v>
      </c>
      <c r="U50" s="38">
        <v>45541</v>
      </c>
      <c r="V50" s="136">
        <v>15000</v>
      </c>
      <c r="W50" s="38">
        <v>45590</v>
      </c>
      <c r="X50" s="136"/>
      <c r="Y50" s="38"/>
      <c r="Z50" s="136"/>
      <c r="AA50" s="352"/>
      <c r="AB50" s="402"/>
      <c r="AC50" s="125">
        <v>5000</v>
      </c>
      <c r="AD50" s="38">
        <v>45660</v>
      </c>
      <c r="AE50" s="136"/>
      <c r="AF50" s="38"/>
      <c r="AG50" s="136"/>
      <c r="AH50" s="38"/>
      <c r="AI50" s="136"/>
      <c r="AJ50" s="38"/>
      <c r="AK50" s="136">
        <v>5000</v>
      </c>
      <c r="AL50" s="38">
        <v>45785</v>
      </c>
      <c r="AM50" s="136"/>
      <c r="AN50" s="38"/>
      <c r="AO50" s="136">
        <v>30000</v>
      </c>
      <c r="AP50" s="38">
        <v>45861</v>
      </c>
      <c r="AQ50" s="136">
        <v>5000</v>
      </c>
      <c r="AR50" s="38">
        <v>45879</v>
      </c>
      <c r="AS50" s="136">
        <v>15000</v>
      </c>
      <c r="AT50" s="446">
        <v>45899</v>
      </c>
      <c r="AU50" s="136">
        <v>15000</v>
      </c>
      <c r="AV50" s="38">
        <v>45957</v>
      </c>
      <c r="AW50" s="136">
        <v>10000</v>
      </c>
      <c r="AX50" s="38">
        <v>45989</v>
      </c>
      <c r="AY50" s="136"/>
      <c r="AZ50" s="38"/>
      <c r="BA50" s="77"/>
      <c r="BB50" s="77"/>
      <c r="BC50" s="77"/>
      <c r="BJ50" s="24">
        <v>3</v>
      </c>
      <c r="BK50" s="18" t="s">
        <v>115</v>
      </c>
      <c r="BL50" s="48">
        <v>45808</v>
      </c>
      <c r="BM50" s="205">
        <v>2500</v>
      </c>
    </row>
    <row r="51" spans="2:73" x14ac:dyDescent="0.3">
      <c r="B51" s="3"/>
      <c r="C51" s="117" t="s">
        <v>76</v>
      </c>
      <c r="D51" s="136">
        <v>5000</v>
      </c>
      <c r="E51" s="38">
        <v>45318</v>
      </c>
      <c r="F51" s="136"/>
      <c r="G51" s="38"/>
      <c r="H51" s="136"/>
      <c r="I51" s="38"/>
      <c r="J51" s="136"/>
      <c r="K51" s="38"/>
      <c r="L51" s="136"/>
      <c r="M51" s="38"/>
      <c r="N51" s="136">
        <v>5000</v>
      </c>
      <c r="O51" s="38">
        <v>45453</v>
      </c>
      <c r="P51" s="136">
        <v>5000</v>
      </c>
      <c r="Q51" s="38">
        <v>45483</v>
      </c>
      <c r="R51" s="136">
        <v>5000</v>
      </c>
      <c r="S51" s="38">
        <v>45514</v>
      </c>
      <c r="T51" s="136">
        <v>5000</v>
      </c>
      <c r="U51" s="38">
        <v>45550</v>
      </c>
      <c r="V51" s="136"/>
      <c r="W51" s="38"/>
      <c r="X51" s="136"/>
      <c r="Y51" s="38"/>
      <c r="Z51" s="136"/>
      <c r="AA51" s="352"/>
      <c r="AB51" s="402"/>
      <c r="AC51" s="125">
        <v>5000</v>
      </c>
      <c r="AD51" s="38">
        <v>45667</v>
      </c>
      <c r="AE51" s="136"/>
      <c r="AF51" s="38"/>
      <c r="AG51" s="136"/>
      <c r="AH51" s="38"/>
      <c r="AI51" s="136"/>
      <c r="AJ51" s="38"/>
      <c r="AK51" s="136">
        <v>5000</v>
      </c>
      <c r="AL51" s="38">
        <v>45785</v>
      </c>
      <c r="AM51" s="136"/>
      <c r="AN51" s="38"/>
      <c r="AO51" s="136"/>
      <c r="AP51" s="38"/>
      <c r="AQ51" s="136">
        <v>20000</v>
      </c>
      <c r="AR51" s="38">
        <v>45893</v>
      </c>
      <c r="AS51" s="136"/>
      <c r="AT51" s="38"/>
      <c r="AU51" s="136"/>
      <c r="AV51" s="38"/>
      <c r="AW51" s="136"/>
      <c r="AX51" s="38"/>
      <c r="AY51" s="136"/>
      <c r="AZ51" s="38"/>
      <c r="BA51" s="77"/>
      <c r="BB51" s="77"/>
      <c r="BC51" s="77"/>
      <c r="BE51" s="24">
        <v>1</v>
      </c>
      <c r="BF51" s="18" t="s">
        <v>965</v>
      </c>
      <c r="BG51" s="48">
        <v>45476</v>
      </c>
      <c r="BH51" s="81">
        <v>3500</v>
      </c>
      <c r="BJ51" s="24">
        <v>4</v>
      </c>
      <c r="BK51" s="440" t="s">
        <v>952</v>
      </c>
      <c r="BL51" s="48">
        <v>45802</v>
      </c>
      <c r="BM51" s="438">
        <v>0</v>
      </c>
    </row>
    <row r="52" spans="2:73" x14ac:dyDescent="0.3">
      <c r="B52" s="3"/>
      <c r="C52" s="117" t="s">
        <v>76</v>
      </c>
      <c r="D52" s="136">
        <v>5000</v>
      </c>
      <c r="E52" s="38">
        <v>45322</v>
      </c>
      <c r="F52" s="136"/>
      <c r="G52" s="38"/>
      <c r="H52" s="136"/>
      <c r="I52" s="38"/>
      <c r="J52" s="136"/>
      <c r="K52" s="38"/>
      <c r="L52" s="136"/>
      <c r="M52" s="38"/>
      <c r="N52" s="136">
        <v>5000</v>
      </c>
      <c r="O52" s="38">
        <v>45453</v>
      </c>
      <c r="P52" s="136">
        <v>5000</v>
      </c>
      <c r="Q52" s="38">
        <v>45483</v>
      </c>
      <c r="R52" s="136">
        <v>5000</v>
      </c>
      <c r="S52" s="38">
        <v>45530</v>
      </c>
      <c r="T52" s="136"/>
      <c r="U52" s="38"/>
      <c r="V52" s="136"/>
      <c r="W52" s="38"/>
      <c r="X52" s="136"/>
      <c r="Y52" s="38"/>
      <c r="Z52" s="136"/>
      <c r="AA52" s="352"/>
      <c r="AB52" s="402"/>
      <c r="AC52" s="125">
        <v>5000</v>
      </c>
      <c r="AD52" s="38">
        <v>45676</v>
      </c>
      <c r="AE52" s="136"/>
      <c r="AF52" s="38"/>
      <c r="AG52" s="136"/>
      <c r="AH52" s="38"/>
      <c r="AI52" s="136"/>
      <c r="AJ52" s="38"/>
      <c r="AK52" s="136"/>
      <c r="AL52" s="38"/>
      <c r="AM52" s="136"/>
      <c r="AN52" s="38"/>
      <c r="AO52" s="136"/>
      <c r="AP52" s="38"/>
      <c r="AQ52" s="136">
        <v>5000</v>
      </c>
      <c r="AR52" s="38">
        <v>45896</v>
      </c>
      <c r="AS52" s="136"/>
      <c r="AT52" s="38"/>
      <c r="AU52" s="136"/>
      <c r="AV52" s="38"/>
      <c r="AW52" s="136"/>
      <c r="AX52" s="38"/>
      <c r="AY52" s="136"/>
      <c r="AZ52" s="38"/>
      <c r="BA52" s="77"/>
      <c r="BB52" s="77"/>
      <c r="BC52" s="77"/>
      <c r="BE52" s="24">
        <v>2</v>
      </c>
      <c r="BF52" s="18" t="s">
        <v>44</v>
      </c>
      <c r="BG52" s="48">
        <v>45480</v>
      </c>
      <c r="BH52" s="81">
        <v>3000</v>
      </c>
      <c r="BJ52" s="24">
        <v>5</v>
      </c>
      <c r="BK52" s="18" t="s">
        <v>1382</v>
      </c>
      <c r="BL52" s="48">
        <v>45802</v>
      </c>
      <c r="BM52" s="81">
        <v>250</v>
      </c>
    </row>
    <row r="53" spans="2:73" x14ac:dyDescent="0.3">
      <c r="B53" s="3"/>
      <c r="C53" s="117" t="s">
        <v>76</v>
      </c>
      <c r="D53" s="136"/>
      <c r="E53" s="38"/>
      <c r="F53" s="136"/>
      <c r="G53" s="38"/>
      <c r="H53" s="136"/>
      <c r="I53" s="38"/>
      <c r="J53" s="136"/>
      <c r="K53" s="38"/>
      <c r="L53" s="136"/>
      <c r="M53" s="38"/>
      <c r="N53" s="136">
        <v>15000</v>
      </c>
      <c r="O53" s="38">
        <v>45468</v>
      </c>
      <c r="P53" s="136"/>
      <c r="Q53" s="38"/>
      <c r="R53" s="136"/>
      <c r="S53" s="38"/>
      <c r="T53" s="136"/>
      <c r="U53" s="38"/>
      <c r="V53" s="136"/>
      <c r="W53" s="38"/>
      <c r="X53" s="136"/>
      <c r="Y53" s="38"/>
      <c r="Z53" s="136"/>
      <c r="AA53" s="352"/>
      <c r="AB53" s="402"/>
      <c r="AC53" s="125">
        <v>5000</v>
      </c>
      <c r="AD53" s="38">
        <v>45686</v>
      </c>
      <c r="AE53" s="136"/>
      <c r="AF53" s="38"/>
      <c r="AG53" s="136"/>
      <c r="AH53" s="38"/>
      <c r="AI53" s="136"/>
      <c r="AJ53" s="38"/>
      <c r="AK53" s="136"/>
      <c r="AL53" s="38"/>
      <c r="AM53" s="136"/>
      <c r="AN53" s="38"/>
      <c r="AO53" s="136"/>
      <c r="AP53" s="38"/>
      <c r="AQ53" s="136"/>
      <c r="AR53" s="38"/>
      <c r="AS53" s="136"/>
      <c r="AT53" s="38"/>
      <c r="AU53" s="136"/>
      <c r="AV53" s="38"/>
      <c r="AW53" s="136"/>
      <c r="AX53" s="38"/>
      <c r="AY53" s="136"/>
      <c r="AZ53" s="38"/>
      <c r="BA53" s="77"/>
      <c r="BB53" s="77"/>
      <c r="BC53" s="77"/>
      <c r="BE53" s="24">
        <v>3</v>
      </c>
      <c r="BF53" s="18" t="s">
        <v>89</v>
      </c>
      <c r="BG53" s="48">
        <v>45483</v>
      </c>
      <c r="BH53" s="81">
        <v>6100</v>
      </c>
      <c r="BJ53" s="24">
        <v>6</v>
      </c>
      <c r="BK53" s="18"/>
      <c r="BL53" s="48"/>
      <c r="BM53" s="18"/>
    </row>
    <row r="54" spans="2:73" x14ac:dyDescent="0.3">
      <c r="B54" s="3"/>
      <c r="C54" s="117" t="s">
        <v>75</v>
      </c>
      <c r="D54" s="136"/>
      <c r="E54" s="38"/>
      <c r="F54" s="136"/>
      <c r="G54" s="38"/>
      <c r="H54" s="136"/>
      <c r="I54" s="38"/>
      <c r="J54" s="136"/>
      <c r="K54" s="38"/>
      <c r="L54" s="136"/>
      <c r="M54" s="38"/>
      <c r="N54" s="136"/>
      <c r="O54" s="38"/>
      <c r="P54" s="136"/>
      <c r="Q54" s="38"/>
      <c r="R54" s="136"/>
      <c r="S54" s="38"/>
      <c r="T54" s="136"/>
      <c r="U54" s="38"/>
      <c r="V54" s="136"/>
      <c r="W54" s="38"/>
      <c r="X54" s="136"/>
      <c r="Y54" s="38"/>
      <c r="Z54" s="136"/>
      <c r="AA54" s="352"/>
      <c r="AB54" s="402"/>
      <c r="AC54" s="125">
        <v>18900</v>
      </c>
      <c r="AD54" s="38">
        <v>45659</v>
      </c>
      <c r="AE54" s="136"/>
      <c r="AF54" s="38"/>
      <c r="AG54" s="136"/>
      <c r="AH54" s="38"/>
      <c r="AI54" s="136"/>
      <c r="AJ54" s="38"/>
      <c r="AK54" s="136"/>
      <c r="AL54" s="38"/>
      <c r="AM54" s="136"/>
      <c r="AN54" s="38"/>
      <c r="AO54" s="136"/>
      <c r="AP54" s="38"/>
      <c r="AQ54" s="136"/>
      <c r="AR54" s="38"/>
      <c r="AS54" s="136"/>
      <c r="AT54" s="38"/>
      <c r="AU54" s="136"/>
      <c r="AV54" s="38"/>
      <c r="AW54" s="136"/>
      <c r="AX54" s="38"/>
      <c r="AY54" s="136"/>
      <c r="AZ54" s="38"/>
      <c r="BA54" s="77"/>
      <c r="BB54" s="77"/>
      <c r="BC54" s="77"/>
      <c r="BE54" s="24">
        <v>4</v>
      </c>
      <c r="BF54" s="18" t="s">
        <v>115</v>
      </c>
      <c r="BG54" s="48">
        <v>45480</v>
      </c>
      <c r="BH54" s="81">
        <v>2500</v>
      </c>
      <c r="BJ54" s="100">
        <v>45778</v>
      </c>
      <c r="BK54" s="70"/>
      <c r="BL54" s="70"/>
      <c r="BM54" s="71">
        <f>SUM(BM48:BM53)</f>
        <v>12750</v>
      </c>
    </row>
    <row r="55" spans="2:73" x14ac:dyDescent="0.3">
      <c r="B55" s="3"/>
      <c r="C55" s="117" t="s">
        <v>76</v>
      </c>
      <c r="D55" s="136"/>
      <c r="E55" s="38"/>
      <c r="F55" s="136"/>
      <c r="G55" s="38"/>
      <c r="H55" s="136"/>
      <c r="I55" s="38"/>
      <c r="J55" s="136"/>
      <c r="K55" s="38"/>
      <c r="L55" s="136"/>
      <c r="M55" s="38"/>
      <c r="N55" s="136"/>
      <c r="O55" s="38"/>
      <c r="P55" s="136"/>
      <c r="Q55" s="38"/>
      <c r="R55" s="136"/>
      <c r="S55" s="38"/>
      <c r="T55" s="136"/>
      <c r="U55" s="38"/>
      <c r="V55" s="136"/>
      <c r="W55" s="38"/>
      <c r="X55" s="136"/>
      <c r="Y55" s="38"/>
      <c r="Z55" s="136"/>
      <c r="AA55" s="352"/>
      <c r="AB55" s="402"/>
      <c r="AC55" s="125"/>
      <c r="AD55" s="38"/>
      <c r="AE55" s="136"/>
      <c r="AF55" s="38"/>
      <c r="AG55" s="136"/>
      <c r="AH55" s="38"/>
      <c r="AI55" s="136"/>
      <c r="AJ55" s="38"/>
      <c r="AK55" s="136"/>
      <c r="AL55" s="38"/>
      <c r="AM55" s="136"/>
      <c r="AN55" s="38"/>
      <c r="AO55" s="136"/>
      <c r="AP55" s="38"/>
      <c r="AQ55" s="136"/>
      <c r="AR55" s="38"/>
      <c r="AS55" s="136"/>
      <c r="AT55" s="38"/>
      <c r="AU55" s="136"/>
      <c r="AV55" s="38"/>
      <c r="AW55" s="136"/>
      <c r="AX55" s="38"/>
      <c r="AY55" s="136"/>
      <c r="AZ55" s="38"/>
      <c r="BA55" s="77"/>
      <c r="BB55" s="77"/>
      <c r="BC55" s="77"/>
      <c r="BE55" s="24">
        <v>5</v>
      </c>
      <c r="BF55" s="18" t="s">
        <v>952</v>
      </c>
      <c r="BG55" s="48">
        <v>45480</v>
      </c>
      <c r="BH55" s="81">
        <v>9790</v>
      </c>
    </row>
    <row r="56" spans="2:73" x14ac:dyDescent="0.3">
      <c r="B56" s="78"/>
      <c r="C56" s="117" t="s">
        <v>76</v>
      </c>
      <c r="D56" s="136"/>
      <c r="E56" s="38"/>
      <c r="F56" s="136"/>
      <c r="G56" s="38"/>
      <c r="H56" s="136"/>
      <c r="I56" s="38"/>
      <c r="J56" s="136"/>
      <c r="K56" s="38"/>
      <c r="L56" s="136"/>
      <c r="M56" s="38"/>
      <c r="N56" s="136"/>
      <c r="O56" s="38"/>
      <c r="P56" s="136"/>
      <c r="Q56" s="38"/>
      <c r="R56" s="136"/>
      <c r="S56" s="38"/>
      <c r="T56" s="136"/>
      <c r="U56" s="38"/>
      <c r="V56" s="136"/>
      <c r="W56" s="38"/>
      <c r="X56" s="136"/>
      <c r="Y56" s="38"/>
      <c r="Z56" s="136"/>
      <c r="AA56" s="352"/>
      <c r="AB56" s="402"/>
      <c r="AC56" s="125"/>
      <c r="AD56" s="38"/>
      <c r="AE56" s="136"/>
      <c r="AF56" s="38"/>
      <c r="AG56" s="136"/>
      <c r="AH56" s="38"/>
      <c r="AI56" s="136"/>
      <c r="AJ56" s="38"/>
      <c r="AK56" s="136"/>
      <c r="AL56" s="38"/>
      <c r="AM56" s="136"/>
      <c r="AN56" s="38"/>
      <c r="AO56" s="136"/>
      <c r="AP56" s="38"/>
      <c r="AQ56" s="136"/>
      <c r="AR56" s="38"/>
      <c r="AS56" s="136"/>
      <c r="AT56" s="38"/>
      <c r="AU56" s="136"/>
      <c r="AV56" s="38"/>
      <c r="AW56" s="136"/>
      <c r="AX56" s="38"/>
      <c r="AY56" s="136"/>
      <c r="AZ56" s="38"/>
      <c r="BA56" s="77"/>
      <c r="BB56" s="77"/>
      <c r="BC56" s="77"/>
      <c r="BE56" s="100">
        <v>45474</v>
      </c>
      <c r="BF56" s="70"/>
      <c r="BG56" s="70"/>
      <c r="BH56" s="71">
        <f>SUM(BH51:BH55)</f>
        <v>24890</v>
      </c>
      <c r="BJ56" s="24">
        <v>1</v>
      </c>
      <c r="BK56" s="18" t="s">
        <v>44</v>
      </c>
      <c r="BL56" s="48">
        <v>45818</v>
      </c>
      <c r="BM56" s="81">
        <v>3000</v>
      </c>
    </row>
    <row r="57" spans="2:73" ht="15" thickBot="1" x14ac:dyDescent="0.35">
      <c r="B57" s="44"/>
      <c r="C57" s="118"/>
      <c r="D57" s="126">
        <f>SUM(D48:D56)</f>
        <v>25000</v>
      </c>
      <c r="E57" s="45"/>
      <c r="F57" s="126">
        <f>SUM(F48:F56)</f>
        <v>5000</v>
      </c>
      <c r="G57" s="45"/>
      <c r="H57" s="126">
        <f>SUM(H48:H56)</f>
        <v>10000</v>
      </c>
      <c r="I57" s="45"/>
      <c r="J57" s="126">
        <f>SUM(J48:J56)</f>
        <v>0</v>
      </c>
      <c r="K57" s="45"/>
      <c r="L57" s="126">
        <f>SUM(L48:L56)</f>
        <v>10000</v>
      </c>
      <c r="M57" s="45"/>
      <c r="N57" s="126">
        <f>SUM(N48:N56)</f>
        <v>45000</v>
      </c>
      <c r="O57" s="45"/>
      <c r="P57" s="126">
        <f>SUM(P48:P56)</f>
        <v>20000</v>
      </c>
      <c r="Q57" s="45"/>
      <c r="R57" s="126">
        <f>SUM(R48:R56)</f>
        <v>30000</v>
      </c>
      <c r="S57" s="45"/>
      <c r="T57" s="126">
        <f>SUM(T48:T56)</f>
        <v>19500</v>
      </c>
      <c r="U57" s="45"/>
      <c r="V57" s="126">
        <f>SUM(V48:V56)</f>
        <v>25000</v>
      </c>
      <c r="W57" s="45"/>
      <c r="X57" s="126">
        <f>SUM(X48:X56)</f>
        <v>5000</v>
      </c>
      <c r="Y57" s="45"/>
      <c r="Z57" s="126">
        <f>SUM(Z48:Z56)</f>
        <v>0</v>
      </c>
      <c r="AA57" s="385"/>
      <c r="AB57" s="403"/>
      <c r="AC57" s="396">
        <f>SUM(AC48:AC56)</f>
        <v>58900</v>
      </c>
      <c r="AD57" s="45"/>
      <c r="AE57" s="126">
        <f>SUM(AE48:AE56)</f>
        <v>5000</v>
      </c>
      <c r="AF57" s="45"/>
      <c r="AG57" s="126">
        <f>SUM(AG48:AG56)</f>
        <v>0</v>
      </c>
      <c r="AH57" s="45"/>
      <c r="AI57" s="126">
        <f>SUM(AI48:AI56)</f>
        <v>5000</v>
      </c>
      <c r="AJ57" s="45"/>
      <c r="AK57" s="126">
        <f>SUM(AK48:AK56)</f>
        <v>15000</v>
      </c>
      <c r="AL57" s="45"/>
      <c r="AM57" s="126">
        <f>SUM(AM48:AM56)</f>
        <v>10000</v>
      </c>
      <c r="AN57" s="45"/>
      <c r="AO57" s="126">
        <f>SUM(AO48:AO56)</f>
        <v>35000</v>
      </c>
      <c r="AP57" s="45"/>
      <c r="AQ57" s="126">
        <f>SUM(AQ48:AQ56)</f>
        <v>60000</v>
      </c>
      <c r="AR57" s="45"/>
      <c r="AS57" s="126">
        <f>SUM(AS48:AS56)</f>
        <v>30000</v>
      </c>
      <c r="AT57" s="45"/>
      <c r="AU57" s="126">
        <f>SUM(AU48:AU56)</f>
        <v>25000</v>
      </c>
      <c r="AV57" s="45"/>
      <c r="AW57" s="126">
        <f>SUM(AW48:AW56)</f>
        <v>20624</v>
      </c>
      <c r="AX57" s="45"/>
      <c r="AY57" s="126">
        <f>SUM(AY48:AY56)</f>
        <v>5000</v>
      </c>
      <c r="AZ57" s="45"/>
      <c r="BA57" s="474"/>
      <c r="BB57" s="474"/>
      <c r="BC57" s="474"/>
      <c r="BJ57" s="24">
        <v>2</v>
      </c>
      <c r="BK57" s="18" t="s">
        <v>89</v>
      </c>
      <c r="BL57" s="48"/>
      <c r="BM57" s="81"/>
      <c r="BO57" t="s">
        <v>1606</v>
      </c>
      <c r="BP57" s="208">
        <v>45910</v>
      </c>
      <c r="BQ57" s="49">
        <v>48960</v>
      </c>
      <c r="BS57" t="s">
        <v>1606</v>
      </c>
      <c r="BT57" s="208">
        <v>45727</v>
      </c>
      <c r="BU57" s="75">
        <v>51640</v>
      </c>
    </row>
    <row r="58" spans="2:73" ht="15" thickTop="1" x14ac:dyDescent="0.3">
      <c r="B58" s="78" t="s">
        <v>527</v>
      </c>
      <c r="C58" s="117" t="s">
        <v>1262</v>
      </c>
      <c r="D58" s="136"/>
      <c r="E58" s="214"/>
      <c r="F58" s="136"/>
      <c r="G58" s="214"/>
      <c r="H58" s="136"/>
      <c r="I58" s="214"/>
      <c r="J58" s="136"/>
      <c r="K58" s="214"/>
      <c r="L58" s="136"/>
      <c r="M58" s="214"/>
      <c r="N58" s="136"/>
      <c r="O58" s="214"/>
      <c r="P58" s="136"/>
      <c r="Q58" s="214"/>
      <c r="R58" s="136"/>
      <c r="S58" s="214"/>
      <c r="T58" s="136"/>
      <c r="U58" s="214"/>
      <c r="V58" s="136"/>
      <c r="W58" s="214"/>
      <c r="X58" s="136"/>
      <c r="Y58" s="214"/>
      <c r="Z58" s="136">
        <f>-Naveed!AT92-Naveed!AT93</f>
        <v>77540</v>
      </c>
      <c r="AA58" s="390"/>
      <c r="AB58" s="407"/>
      <c r="AC58" s="125"/>
      <c r="AD58" s="214"/>
      <c r="AE58" s="136"/>
      <c r="AF58" s="214"/>
      <c r="AG58" s="136"/>
      <c r="AH58" s="214"/>
      <c r="AI58" s="136">
        <v>27510</v>
      </c>
      <c r="AJ58" s="214">
        <v>45757</v>
      </c>
      <c r="AK58" s="136"/>
      <c r="AL58" s="214"/>
      <c r="AM58" s="136"/>
      <c r="AN58" s="214"/>
      <c r="AO58" s="136"/>
      <c r="AP58" s="214"/>
      <c r="AQ58" s="136"/>
      <c r="AR58" s="214"/>
      <c r="AS58" s="136"/>
      <c r="AT58" s="214"/>
      <c r="AU58" s="462">
        <f>+BQ62</f>
        <v>171190</v>
      </c>
      <c r="AV58" s="463" t="s">
        <v>754</v>
      </c>
      <c r="AW58" s="462">
        <f>+BU62</f>
        <v>132920</v>
      </c>
      <c r="AX58" s="463" t="s">
        <v>754</v>
      </c>
      <c r="AY58" s="159"/>
      <c r="AZ58" s="214"/>
      <c r="BA58" s="476"/>
      <c r="BB58" s="476"/>
      <c r="BC58" s="476"/>
      <c r="BE58" s="24">
        <v>1</v>
      </c>
      <c r="BF58" s="18" t="s">
        <v>1125</v>
      </c>
      <c r="BG58" s="48">
        <v>45505</v>
      </c>
      <c r="BH58" s="81">
        <v>470</v>
      </c>
      <c r="BJ58" s="24">
        <v>3</v>
      </c>
      <c r="BK58" s="439" t="s">
        <v>115</v>
      </c>
      <c r="BL58" s="48"/>
      <c r="BM58" s="205">
        <v>0</v>
      </c>
      <c r="BO58" t="s">
        <v>1606</v>
      </c>
      <c r="BP58" s="208">
        <v>45971</v>
      </c>
      <c r="BQ58" s="49">
        <v>17900</v>
      </c>
      <c r="BS58" t="s">
        <v>1606</v>
      </c>
      <c r="BT58" s="208">
        <v>45788</v>
      </c>
      <c r="BU58" s="75">
        <v>6000</v>
      </c>
    </row>
    <row r="59" spans="2:73" x14ac:dyDescent="0.3">
      <c r="B59" s="78"/>
      <c r="C59" s="117" t="s">
        <v>417</v>
      </c>
      <c r="D59" s="136"/>
      <c r="E59" s="214"/>
      <c r="F59" s="136"/>
      <c r="G59" s="214"/>
      <c r="H59" s="136"/>
      <c r="I59" s="214"/>
      <c r="J59" s="136"/>
      <c r="K59" s="214"/>
      <c r="L59" s="136"/>
      <c r="M59" s="214"/>
      <c r="N59" s="136"/>
      <c r="O59" s="214"/>
      <c r="P59" s="136"/>
      <c r="Q59" s="214"/>
      <c r="R59" s="136"/>
      <c r="S59" s="214"/>
      <c r="T59" s="136"/>
      <c r="U59" s="214"/>
      <c r="V59" s="136"/>
      <c r="W59" s="214"/>
      <c r="X59" s="136"/>
      <c r="Y59" s="214"/>
      <c r="Z59" s="136">
        <f>-Naveed!AT107-Naveed!AT108-Naveed!AT109</f>
        <v>51000</v>
      </c>
      <c r="AA59" s="390"/>
      <c r="AB59" s="407"/>
      <c r="AC59" s="125"/>
      <c r="AD59" s="214"/>
      <c r="AE59" s="136"/>
      <c r="AF59" s="214"/>
      <c r="AG59" s="136"/>
      <c r="AH59" s="214"/>
      <c r="AI59" s="136"/>
      <c r="AJ59" s="214"/>
      <c r="AK59" s="136"/>
      <c r="AL59" s="214"/>
      <c r="AM59" s="136"/>
      <c r="AN59" s="214"/>
      <c r="AO59" s="136"/>
      <c r="AP59" s="214"/>
      <c r="AQ59" s="136"/>
      <c r="AR59" s="214"/>
      <c r="AS59" s="136"/>
      <c r="AT59" s="214"/>
      <c r="AU59" s="462">
        <f>+BQ67</f>
        <v>90000</v>
      </c>
      <c r="AV59" s="463" t="s">
        <v>754</v>
      </c>
      <c r="AW59" s="462">
        <f>+BU67</f>
        <v>140000</v>
      </c>
      <c r="AX59" s="463" t="s">
        <v>754</v>
      </c>
      <c r="AY59" s="159"/>
      <c r="AZ59" s="214"/>
      <c r="BA59" s="476"/>
      <c r="BB59" s="476"/>
      <c r="BC59" s="476"/>
      <c r="BE59" s="24">
        <v>2</v>
      </c>
      <c r="BF59" s="18" t="s">
        <v>44</v>
      </c>
      <c r="BG59" s="48">
        <v>45514</v>
      </c>
      <c r="BH59" s="81">
        <v>3000</v>
      </c>
      <c r="BJ59" s="24">
        <v>4</v>
      </c>
      <c r="BK59" s="440" t="s">
        <v>952</v>
      </c>
      <c r="BL59" s="48">
        <v>45809</v>
      </c>
      <c r="BM59" s="205">
        <v>9400</v>
      </c>
      <c r="BO59" t="s">
        <v>1606</v>
      </c>
      <c r="BP59" s="208" t="s">
        <v>1602</v>
      </c>
      <c r="BQ59" s="49">
        <v>29850</v>
      </c>
      <c r="BS59" t="s">
        <v>1606</v>
      </c>
      <c r="BT59" s="208">
        <v>45788</v>
      </c>
      <c r="BU59" s="75">
        <v>6260</v>
      </c>
    </row>
    <row r="60" spans="2:73" x14ac:dyDescent="0.3">
      <c r="B60" s="78" t="s">
        <v>1128</v>
      </c>
      <c r="C60" s="117" t="s">
        <v>1129</v>
      </c>
      <c r="D60" s="136"/>
      <c r="E60" s="214"/>
      <c r="F60" s="136"/>
      <c r="G60" s="214"/>
      <c r="H60" s="136"/>
      <c r="I60" s="214"/>
      <c r="J60" s="136"/>
      <c r="K60" s="214"/>
      <c r="L60" s="136"/>
      <c r="M60" s="214"/>
      <c r="N60" s="136"/>
      <c r="O60" s="214"/>
      <c r="P60" s="136"/>
      <c r="Q60" s="214"/>
      <c r="R60" s="136">
        <v>100000</v>
      </c>
      <c r="S60" s="38">
        <v>45514</v>
      </c>
      <c r="T60" s="136"/>
      <c r="U60" s="38"/>
      <c r="V60" s="136">
        <v>80000</v>
      </c>
      <c r="W60" s="38">
        <v>45596</v>
      </c>
      <c r="X60" s="136"/>
      <c r="Y60" s="38"/>
      <c r="Z60" s="136">
        <v>12000</v>
      </c>
      <c r="AA60" s="352">
        <v>45645</v>
      </c>
      <c r="AB60" s="402"/>
      <c r="AC60" s="125"/>
      <c r="AD60" s="38"/>
      <c r="AE60" s="136"/>
      <c r="AF60" s="38"/>
      <c r="AG60" s="136"/>
      <c r="AH60" s="38"/>
      <c r="AI60" s="136"/>
      <c r="AJ60" s="38"/>
      <c r="AK60" s="136"/>
      <c r="AL60" s="38"/>
      <c r="AM60" s="136"/>
      <c r="AN60" s="38"/>
      <c r="AO60" s="136"/>
      <c r="AP60" s="38"/>
      <c r="AQ60" s="136"/>
      <c r="AR60" s="38"/>
      <c r="AS60" s="136"/>
      <c r="AT60" s="38"/>
      <c r="AU60" s="136"/>
      <c r="AV60" s="38"/>
      <c r="AW60" s="136"/>
      <c r="AX60" s="38"/>
      <c r="AY60" s="136"/>
      <c r="AZ60" s="38"/>
      <c r="BA60" s="77"/>
      <c r="BB60" s="77"/>
      <c r="BC60" s="77"/>
      <c r="BE60" s="24">
        <v>3</v>
      </c>
      <c r="BF60" s="18" t="s">
        <v>89</v>
      </c>
      <c r="BG60" s="48">
        <v>45529</v>
      </c>
      <c r="BH60" s="81">
        <f>7000+460</f>
        <v>7460</v>
      </c>
      <c r="BJ60" s="24">
        <v>5</v>
      </c>
      <c r="BK60" s="18" t="s">
        <v>1383</v>
      </c>
      <c r="BL60" s="48">
        <v>45812</v>
      </c>
      <c r="BM60" s="81">
        <v>2700</v>
      </c>
      <c r="BO60" t="s">
        <v>1606</v>
      </c>
      <c r="BP60" s="208" t="s">
        <v>1630</v>
      </c>
      <c r="BQ60" s="49">
        <v>74480</v>
      </c>
      <c r="BS60" t="s">
        <v>1606</v>
      </c>
      <c r="BT60" s="208">
        <v>45880</v>
      </c>
      <c r="BU60" s="75">
        <v>62570</v>
      </c>
    </row>
    <row r="61" spans="2:73" x14ac:dyDescent="0.3">
      <c r="B61" s="78" t="s">
        <v>1133</v>
      </c>
      <c r="C61" s="117" t="s">
        <v>1756</v>
      </c>
      <c r="D61" s="136"/>
      <c r="E61" s="214"/>
      <c r="F61" s="136"/>
      <c r="G61" s="214"/>
      <c r="H61" s="136"/>
      <c r="I61" s="214"/>
      <c r="J61" s="136"/>
      <c r="K61" s="214"/>
      <c r="L61" s="136"/>
      <c r="M61" s="214"/>
      <c r="N61" s="136"/>
      <c r="O61" s="214"/>
      <c r="P61" s="136"/>
      <c r="Q61" s="214"/>
      <c r="R61" s="136">
        <f>66500+4500</f>
        <v>71000</v>
      </c>
      <c r="S61" s="38">
        <v>45529</v>
      </c>
      <c r="T61" s="136">
        <f>5000+1500</f>
        <v>6500</v>
      </c>
      <c r="U61" s="38">
        <v>45555</v>
      </c>
      <c r="V61" s="136"/>
      <c r="W61" s="38"/>
      <c r="X61" s="136"/>
      <c r="Y61" s="38"/>
      <c r="Z61" s="136"/>
      <c r="AA61" s="352"/>
      <c r="AB61" s="402"/>
      <c r="AC61" s="125"/>
      <c r="AD61" s="38"/>
      <c r="AE61" s="136"/>
      <c r="AF61" s="38"/>
      <c r="AG61" s="136"/>
      <c r="AH61" s="38"/>
      <c r="AI61" s="136"/>
      <c r="AJ61" s="38"/>
      <c r="AK61" s="136"/>
      <c r="AL61" s="38"/>
      <c r="AM61" s="136"/>
      <c r="AN61" s="38"/>
      <c r="AO61" s="136"/>
      <c r="AP61" s="38"/>
      <c r="AQ61" s="136"/>
      <c r="AR61" s="38"/>
      <c r="AS61" s="136"/>
      <c r="AT61" s="38"/>
      <c r="AU61" s="136"/>
      <c r="AV61" s="38"/>
      <c r="AW61" s="136">
        <v>75240</v>
      </c>
      <c r="AX61" s="38">
        <v>45972</v>
      </c>
      <c r="AY61" s="136"/>
      <c r="AZ61" s="38"/>
      <c r="BA61" s="77"/>
      <c r="BB61" s="77"/>
      <c r="BC61" s="77"/>
      <c r="BE61" s="24">
        <v>4</v>
      </c>
      <c r="BF61" s="18" t="s">
        <v>115</v>
      </c>
      <c r="BG61" s="48">
        <v>45509</v>
      </c>
      <c r="BH61" s="81">
        <v>2500</v>
      </c>
      <c r="BJ61" s="24">
        <v>6</v>
      </c>
      <c r="BK61" s="439" t="s">
        <v>1584</v>
      </c>
      <c r="BL61" s="48">
        <v>45809</v>
      </c>
      <c r="BM61" s="205">
        <v>10000</v>
      </c>
      <c r="BP61" s="208"/>
      <c r="BQ61" s="452"/>
      <c r="BS61" t="s">
        <v>1606</v>
      </c>
      <c r="BT61" s="208" t="s">
        <v>1735</v>
      </c>
      <c r="BU61" s="452">
        <v>6450</v>
      </c>
    </row>
    <row r="62" spans="2:73" ht="15" thickBot="1" x14ac:dyDescent="0.35">
      <c r="B62" s="44"/>
      <c r="C62" s="118"/>
      <c r="D62" s="139">
        <f>SUM(D58:D61)</f>
        <v>0</v>
      </c>
      <c r="E62" s="45"/>
      <c r="F62" s="139">
        <f>SUM(F58:F61)</f>
        <v>0</v>
      </c>
      <c r="G62" s="45"/>
      <c r="H62" s="139">
        <f>SUM(H58:H61)</f>
        <v>0</v>
      </c>
      <c r="I62" s="45"/>
      <c r="J62" s="139">
        <f>SUM(J58:J61)</f>
        <v>0</v>
      </c>
      <c r="K62" s="45"/>
      <c r="L62" s="139">
        <f>SUM(L58:L61)</f>
        <v>0</v>
      </c>
      <c r="M62" s="45"/>
      <c r="N62" s="139">
        <f>SUM(N58:N61)</f>
        <v>0</v>
      </c>
      <c r="O62" s="45"/>
      <c r="P62" s="139">
        <f>SUM(P58:P61)</f>
        <v>0</v>
      </c>
      <c r="Q62" s="45"/>
      <c r="R62" s="139">
        <f>SUM(R58:R61)</f>
        <v>171000</v>
      </c>
      <c r="S62" s="45"/>
      <c r="T62" s="139">
        <f>SUM(T58:T61)</f>
        <v>6500</v>
      </c>
      <c r="U62" s="45"/>
      <c r="V62" s="139">
        <f>SUM(V58:V61)</f>
        <v>80000</v>
      </c>
      <c r="W62" s="45"/>
      <c r="X62" s="139">
        <f>SUM(X58:X61)</f>
        <v>0</v>
      </c>
      <c r="Y62" s="45"/>
      <c r="Z62" s="139">
        <f>SUM(Z58:Z61)</f>
        <v>140540</v>
      </c>
      <c r="AA62" s="385"/>
      <c r="AB62" s="403"/>
      <c r="AC62" s="397">
        <f>SUM(AC58:AC61)</f>
        <v>0</v>
      </c>
      <c r="AD62" s="45"/>
      <c r="AE62" s="139">
        <f>SUM(AE58:AE61)</f>
        <v>0</v>
      </c>
      <c r="AF62" s="45"/>
      <c r="AG62" s="139">
        <f>SUM(AG58:AG61)</f>
        <v>0</v>
      </c>
      <c r="AH62" s="45"/>
      <c r="AI62" s="139">
        <f>SUM(AI58:AI61)</f>
        <v>27510</v>
      </c>
      <c r="AJ62" s="45"/>
      <c r="AK62" s="139">
        <f>SUM(AK58:AK61)</f>
        <v>0</v>
      </c>
      <c r="AL62" s="45"/>
      <c r="AM62" s="139">
        <f>SUM(AM58:AM61)</f>
        <v>0</v>
      </c>
      <c r="AN62" s="45"/>
      <c r="AO62" s="139">
        <f>SUM(AO58:AO61)</f>
        <v>0</v>
      </c>
      <c r="AP62" s="45"/>
      <c r="AQ62" s="139">
        <f>SUM(AQ58:AQ61)</f>
        <v>0</v>
      </c>
      <c r="AR62" s="45"/>
      <c r="AS62" s="139">
        <f>SUM(AS58:AS61)</f>
        <v>0</v>
      </c>
      <c r="AT62" s="45"/>
      <c r="AU62" s="139">
        <f>SUM(AU58:AU61)</f>
        <v>261190</v>
      </c>
      <c r="AV62" s="45"/>
      <c r="AW62" s="139">
        <f>SUM(AW58:AW61)</f>
        <v>348160</v>
      </c>
      <c r="AX62" s="45"/>
      <c r="AY62" s="139">
        <f>SUM(AY58:AY61)</f>
        <v>0</v>
      </c>
      <c r="AZ62" s="45"/>
      <c r="BA62" s="474"/>
      <c r="BB62" s="474"/>
      <c r="BC62" s="474"/>
      <c r="BE62" s="24">
        <v>5</v>
      </c>
      <c r="BF62" s="18" t="s">
        <v>952</v>
      </c>
      <c r="BG62" s="48">
        <v>45514</v>
      </c>
      <c r="BH62" s="81">
        <v>13000</v>
      </c>
      <c r="BJ62" s="100">
        <v>45809</v>
      </c>
      <c r="BK62" s="70"/>
      <c r="BL62" s="70"/>
      <c r="BM62" s="71">
        <f>SUM(BM56:BM61)</f>
        <v>25100</v>
      </c>
      <c r="BQ62" s="74">
        <f>SUM(BQ57:BQ61)</f>
        <v>171190</v>
      </c>
      <c r="BU62" s="74">
        <f>SUM(BU57:BU61)</f>
        <v>132920</v>
      </c>
    </row>
    <row r="63" spans="2:73" ht="15" thickTop="1" x14ac:dyDescent="0.3">
      <c r="B63" s="78" t="s">
        <v>1153</v>
      </c>
      <c r="C63" s="117"/>
      <c r="D63" s="136"/>
      <c r="E63" s="214"/>
      <c r="F63" s="136">
        <v>44000</v>
      </c>
      <c r="G63" s="38">
        <v>45347</v>
      </c>
      <c r="H63" s="136">
        <v>0</v>
      </c>
      <c r="I63" s="214"/>
      <c r="J63" s="136"/>
      <c r="K63" s="214"/>
      <c r="L63" s="136"/>
      <c r="M63" s="214"/>
      <c r="N63" s="136"/>
      <c r="O63" s="214"/>
      <c r="P63" s="136"/>
      <c r="Q63" s="214"/>
      <c r="R63" s="136"/>
      <c r="S63" s="214"/>
      <c r="T63" s="136"/>
      <c r="U63" s="214"/>
      <c r="V63" s="136">
        <v>5300</v>
      </c>
      <c r="W63" s="38">
        <v>45566</v>
      </c>
      <c r="X63" s="136">
        <v>5600</v>
      </c>
      <c r="Y63" s="38">
        <v>45599</v>
      </c>
      <c r="Z63" s="136">
        <f>1000+45000</f>
        <v>46000</v>
      </c>
      <c r="AA63" s="352">
        <v>45634</v>
      </c>
      <c r="AB63" s="402"/>
      <c r="AC63" s="125"/>
      <c r="AD63" s="38"/>
      <c r="AE63" s="136"/>
      <c r="AF63" s="38"/>
      <c r="AG63" s="136"/>
      <c r="AH63" s="38"/>
      <c r="AI63" s="136"/>
      <c r="AJ63" s="38"/>
      <c r="AK63" s="136"/>
      <c r="AL63" s="38"/>
      <c r="AM63" s="136"/>
      <c r="AN63" s="38"/>
      <c r="AO63" s="136"/>
      <c r="AP63" s="38"/>
      <c r="AQ63" s="136"/>
      <c r="AR63" s="38"/>
      <c r="AS63" s="136">
        <v>60000</v>
      </c>
      <c r="AT63" s="38">
        <v>45922</v>
      </c>
      <c r="AU63" s="136"/>
      <c r="AV63" s="38"/>
      <c r="AW63" s="136"/>
      <c r="AX63" s="38"/>
      <c r="AY63" s="136"/>
      <c r="AZ63" s="38"/>
      <c r="BA63" s="77"/>
      <c r="BB63" s="77"/>
      <c r="BC63" s="77"/>
      <c r="BE63" s="24">
        <v>6</v>
      </c>
      <c r="BF63" s="18" t="s">
        <v>1137</v>
      </c>
      <c r="BG63" s="48">
        <v>45514</v>
      </c>
      <c r="BH63" s="81">
        <v>6500</v>
      </c>
      <c r="BO63" t="s">
        <v>1605</v>
      </c>
      <c r="BP63" s="208">
        <v>45971</v>
      </c>
      <c r="BQ63" s="111">
        <v>20000</v>
      </c>
      <c r="BS63" t="s">
        <v>1605</v>
      </c>
      <c r="BT63" s="208">
        <v>45727</v>
      </c>
      <c r="BU63" s="111">
        <v>30000</v>
      </c>
    </row>
    <row r="64" spans="2:73" x14ac:dyDescent="0.3">
      <c r="B64" s="78" t="s">
        <v>845</v>
      </c>
      <c r="C64" s="117"/>
      <c r="D64" s="136"/>
      <c r="E64" s="214"/>
      <c r="F64" s="136"/>
      <c r="G64" s="214"/>
      <c r="H64" s="136">
        <v>15900</v>
      </c>
      <c r="I64" s="38">
        <v>45368</v>
      </c>
      <c r="J64" s="136"/>
      <c r="K64" s="214"/>
      <c r="L64" s="136"/>
      <c r="M64" s="214"/>
      <c r="N64" s="136"/>
      <c r="O64" s="214"/>
      <c r="P64" s="136"/>
      <c r="Q64" s="214"/>
      <c r="R64" s="136"/>
      <c r="S64" s="214"/>
      <c r="T64" s="136"/>
      <c r="U64" s="214"/>
      <c r="V64" s="136"/>
      <c r="W64" s="214"/>
      <c r="X64" s="136"/>
      <c r="Y64" s="214"/>
      <c r="Z64" s="136"/>
      <c r="AA64" s="390"/>
      <c r="AB64" s="407"/>
      <c r="AC64" s="125"/>
      <c r="AD64" s="214"/>
      <c r="AE64" s="136"/>
      <c r="AF64" s="214"/>
      <c r="AG64" s="136"/>
      <c r="AH64" s="214"/>
      <c r="AI64" s="136"/>
      <c r="AJ64" s="214"/>
      <c r="AK64" s="136"/>
      <c r="AL64" s="214"/>
      <c r="AM64" s="136"/>
      <c r="AN64" s="214"/>
      <c r="AO64" s="136"/>
      <c r="AP64" s="214"/>
      <c r="AQ64" s="136"/>
      <c r="AR64" s="214"/>
      <c r="AS64" s="136"/>
      <c r="AT64" s="214"/>
      <c r="AU64" s="136"/>
      <c r="AV64" s="214"/>
      <c r="AW64" s="136"/>
      <c r="AX64" s="214"/>
      <c r="AY64" s="136"/>
      <c r="AZ64" s="214"/>
      <c r="BA64" s="476"/>
      <c r="BB64" s="476"/>
      <c r="BC64" s="476"/>
      <c r="BE64" s="24">
        <v>7</v>
      </c>
      <c r="BF64" s="18" t="s">
        <v>1134</v>
      </c>
      <c r="BG64" s="48">
        <v>45514</v>
      </c>
      <c r="BH64" s="81">
        <v>300</v>
      </c>
      <c r="BJ64" s="24">
        <v>1</v>
      </c>
      <c r="BK64" s="18" t="s">
        <v>44</v>
      </c>
      <c r="BL64" s="48">
        <v>45840</v>
      </c>
      <c r="BM64" s="81">
        <v>3000</v>
      </c>
      <c r="BO64" t="s">
        <v>1605</v>
      </c>
      <c r="BP64" s="208" t="s">
        <v>1601</v>
      </c>
      <c r="BQ64" s="111">
        <v>20000</v>
      </c>
      <c r="BS64" t="s">
        <v>1605</v>
      </c>
      <c r="BT64" s="208">
        <v>45880</v>
      </c>
      <c r="BU64" s="111">
        <v>60000</v>
      </c>
    </row>
    <row r="65" spans="2:73" x14ac:dyDescent="0.3">
      <c r="B65" s="78" t="s">
        <v>976</v>
      </c>
      <c r="C65" s="117"/>
      <c r="D65" s="136"/>
      <c r="E65" s="214"/>
      <c r="F65" s="136"/>
      <c r="G65" s="214"/>
      <c r="H65" s="136"/>
      <c r="I65" s="38"/>
      <c r="J65" s="136"/>
      <c r="K65" s="214"/>
      <c r="L65" s="136"/>
      <c r="M65" s="214"/>
      <c r="N65" s="136"/>
      <c r="O65" s="214"/>
      <c r="P65" s="136"/>
      <c r="Q65" s="214"/>
      <c r="R65" s="136">
        <v>32000</v>
      </c>
      <c r="S65" s="214">
        <v>45535</v>
      </c>
      <c r="T65" s="136"/>
      <c r="U65" s="214"/>
      <c r="V65" s="136"/>
      <c r="W65" s="214"/>
      <c r="X65" s="136"/>
      <c r="Y65" s="214"/>
      <c r="Z65" s="136"/>
      <c r="AA65" s="390"/>
      <c r="AB65" s="407"/>
      <c r="AC65" s="125"/>
      <c r="AD65" s="214"/>
      <c r="AE65" s="136"/>
      <c r="AF65" s="214"/>
      <c r="AG65" s="136"/>
      <c r="AH65" s="214"/>
      <c r="AI65" s="136"/>
      <c r="AJ65" s="214"/>
      <c r="AK65" s="136"/>
      <c r="AL65" s="214"/>
      <c r="AM65" s="136"/>
      <c r="AN65" s="214"/>
      <c r="AO65" s="136"/>
      <c r="AP65" s="214"/>
      <c r="AQ65" s="136"/>
      <c r="AR65" s="214"/>
      <c r="AS65" s="136"/>
      <c r="AT65" s="214"/>
      <c r="AU65" s="136"/>
      <c r="AV65" s="214"/>
      <c r="AW65" s="136"/>
      <c r="AX65" s="214"/>
      <c r="AY65" s="136"/>
      <c r="AZ65" s="214"/>
      <c r="BA65" s="476"/>
      <c r="BB65" s="476"/>
      <c r="BC65" s="476"/>
      <c r="BE65" s="24">
        <v>8</v>
      </c>
      <c r="BF65" s="18" t="s">
        <v>1135</v>
      </c>
      <c r="BG65" s="48">
        <v>45535</v>
      </c>
      <c r="BH65" s="81">
        <v>8000</v>
      </c>
      <c r="BJ65" s="24">
        <v>2</v>
      </c>
      <c r="BK65" s="18" t="s">
        <v>89</v>
      </c>
      <c r="BL65" s="48">
        <v>45852</v>
      </c>
      <c r="BM65" s="81">
        <v>7000</v>
      </c>
      <c r="BO65" t="s">
        <v>1605</v>
      </c>
      <c r="BP65" s="208" t="s">
        <v>1603</v>
      </c>
      <c r="BQ65" s="111">
        <v>20000</v>
      </c>
      <c r="BS65" t="s">
        <v>1605</v>
      </c>
      <c r="BT65" s="208">
        <v>45972</v>
      </c>
      <c r="BU65" s="111">
        <v>50000</v>
      </c>
    </row>
    <row r="66" spans="2:73" x14ac:dyDescent="0.3">
      <c r="B66" s="78" t="s">
        <v>990</v>
      </c>
      <c r="C66" s="122"/>
      <c r="D66" s="238"/>
      <c r="E66" s="334"/>
      <c r="F66" s="238"/>
      <c r="G66" s="334"/>
      <c r="H66" s="238"/>
      <c r="I66" s="94"/>
      <c r="J66" s="238"/>
      <c r="K66" s="334"/>
      <c r="L66" s="238"/>
      <c r="M66" s="334"/>
      <c r="N66" s="238">
        <v>34500</v>
      </c>
      <c r="O66" s="38">
        <v>45451</v>
      </c>
      <c r="P66" s="238"/>
      <c r="Q66" s="334"/>
      <c r="R66" s="238"/>
      <c r="S66" s="334"/>
      <c r="T66" s="238"/>
      <c r="U66" s="334"/>
      <c r="V66" s="238"/>
      <c r="W66" s="334"/>
      <c r="X66" s="238"/>
      <c r="Y66" s="334"/>
      <c r="Z66" s="238"/>
      <c r="AA66" s="391"/>
      <c r="AB66" s="407"/>
      <c r="AC66" s="398"/>
      <c r="AD66" s="334"/>
      <c r="AE66" s="238"/>
      <c r="AF66" s="334"/>
      <c r="AG66" s="238"/>
      <c r="AH66" s="334"/>
      <c r="AI66" s="238"/>
      <c r="AJ66" s="334"/>
      <c r="AK66" s="238"/>
      <c r="AL66" s="334"/>
      <c r="AM66" s="238"/>
      <c r="AN66" s="334"/>
      <c r="AO66" s="238"/>
      <c r="AP66" s="334"/>
      <c r="AQ66" s="238"/>
      <c r="AR66" s="334"/>
      <c r="AS66" s="238"/>
      <c r="AT66" s="334"/>
      <c r="AU66" s="238"/>
      <c r="AV66" s="334"/>
      <c r="AW66" s="238"/>
      <c r="AX66" s="334"/>
      <c r="AY66" s="238"/>
      <c r="AZ66" s="334"/>
      <c r="BA66" s="476"/>
      <c r="BB66" s="476"/>
      <c r="BC66" s="476"/>
      <c r="BE66" s="100">
        <v>45505</v>
      </c>
      <c r="BF66" s="70"/>
      <c r="BG66" s="70"/>
      <c r="BH66" s="71">
        <f>SUM(BH58:BH65)</f>
        <v>41230</v>
      </c>
      <c r="BJ66" s="24">
        <v>3</v>
      </c>
      <c r="BK66" s="439" t="s">
        <v>115</v>
      </c>
      <c r="BL66" s="441">
        <v>45843</v>
      </c>
      <c r="BM66" s="205">
        <f>2500+2500</f>
        <v>5000</v>
      </c>
      <c r="BO66" t="s">
        <v>1605</v>
      </c>
      <c r="BP66" s="208" t="s">
        <v>1604</v>
      </c>
      <c r="BQ66" s="275">
        <v>30000</v>
      </c>
      <c r="BU66" s="275"/>
    </row>
    <row r="67" spans="2:73" ht="15" thickBot="1" x14ac:dyDescent="0.35">
      <c r="B67" s="44"/>
      <c r="C67" s="118"/>
      <c r="D67" s="139">
        <f>SUM(D63:D64)</f>
        <v>0</v>
      </c>
      <c r="E67" s="45"/>
      <c r="F67" s="139">
        <f>SUM(F63:F64)</f>
        <v>44000</v>
      </c>
      <c r="G67" s="45"/>
      <c r="H67" s="139">
        <f>SUM(H63:H64)</f>
        <v>15900</v>
      </c>
      <c r="I67" s="45"/>
      <c r="J67" s="139">
        <f>SUM(J63:J64)</f>
        <v>0</v>
      </c>
      <c r="K67" s="45"/>
      <c r="L67" s="139">
        <f>SUM(L63:L64)</f>
        <v>0</v>
      </c>
      <c r="M67" s="45"/>
      <c r="N67" s="139">
        <f>SUM(N63:N66)</f>
        <v>34500</v>
      </c>
      <c r="O67" s="45"/>
      <c r="P67" s="139">
        <f>SUM(P63:P66)</f>
        <v>0</v>
      </c>
      <c r="Q67" s="45"/>
      <c r="R67" s="139">
        <f>SUM(R63:R66)</f>
        <v>32000</v>
      </c>
      <c r="S67" s="45"/>
      <c r="T67" s="139">
        <f>SUM(T63:T66)</f>
        <v>0</v>
      </c>
      <c r="U67" s="45"/>
      <c r="V67" s="139">
        <f>SUM(V63:V66)</f>
        <v>5300</v>
      </c>
      <c r="W67" s="45"/>
      <c r="X67" s="139">
        <f>SUM(X63:X66)</f>
        <v>5600</v>
      </c>
      <c r="Y67" s="45"/>
      <c r="Z67" s="139">
        <f>SUM(Z63:Z66)</f>
        <v>46000</v>
      </c>
      <c r="AA67" s="385"/>
      <c r="AB67" s="403"/>
      <c r="AC67" s="397">
        <f>SUM(AC63:AC66)</f>
        <v>0</v>
      </c>
      <c r="AD67" s="45"/>
      <c r="AE67" s="139">
        <f>SUM(AE63:AE66)</f>
        <v>0</v>
      </c>
      <c r="AF67" s="45"/>
      <c r="AG67" s="139">
        <f>SUM(AG63:AG66)</f>
        <v>0</v>
      </c>
      <c r="AH67" s="45"/>
      <c r="AI67" s="139">
        <f>SUM(AI63:AI66)</f>
        <v>0</v>
      </c>
      <c r="AJ67" s="45"/>
      <c r="AK67" s="139">
        <f>SUM(AK63:AK66)</f>
        <v>0</v>
      </c>
      <c r="AL67" s="45"/>
      <c r="AM67" s="139">
        <f>SUM(AM63:AM66)</f>
        <v>0</v>
      </c>
      <c r="AN67" s="45"/>
      <c r="AO67" s="139">
        <f>SUM(AO63:AO66)</f>
        <v>0</v>
      </c>
      <c r="AP67" s="45"/>
      <c r="AQ67" s="139">
        <f>SUM(AQ63:AQ66)</f>
        <v>0</v>
      </c>
      <c r="AR67" s="45"/>
      <c r="AS67" s="139">
        <f>SUM(AS63:AS66)</f>
        <v>60000</v>
      </c>
      <c r="AT67" s="45"/>
      <c r="AU67" s="139">
        <f>SUM(AU63:AU66)</f>
        <v>0</v>
      </c>
      <c r="AV67" s="45"/>
      <c r="AW67" s="139">
        <f>SUM(AW63:AW66)</f>
        <v>0</v>
      </c>
      <c r="AX67" s="45"/>
      <c r="AY67" s="139">
        <f>SUM(AY63:AY66)</f>
        <v>0</v>
      </c>
      <c r="AZ67" s="45"/>
      <c r="BA67" s="474"/>
      <c r="BB67" s="474"/>
      <c r="BC67" s="474"/>
      <c r="BJ67" s="24">
        <v>4</v>
      </c>
      <c r="BK67" s="440" t="s">
        <v>952</v>
      </c>
      <c r="BL67" s="48">
        <v>45840</v>
      </c>
      <c r="BM67" s="205">
        <v>2500</v>
      </c>
      <c r="BQ67" s="74">
        <f>SUM(BQ63:BQ66)</f>
        <v>90000</v>
      </c>
      <c r="BU67" s="74">
        <f>SUM(BU63:BU66)</f>
        <v>140000</v>
      </c>
    </row>
    <row r="68" spans="2:73" ht="15" thickTop="1" x14ac:dyDescent="0.3">
      <c r="B68" s="78" t="s">
        <v>843</v>
      </c>
      <c r="C68" t="s">
        <v>1379</v>
      </c>
      <c r="D68" s="136"/>
      <c r="E68" s="214"/>
      <c r="F68" s="136">
        <v>0</v>
      </c>
      <c r="G68" s="214"/>
      <c r="H68" s="136">
        <v>7000</v>
      </c>
      <c r="I68" s="214"/>
      <c r="J68" s="136"/>
      <c r="K68" s="214"/>
      <c r="L68" s="136"/>
      <c r="M68" s="214"/>
      <c r="N68" s="136"/>
      <c r="O68" s="214"/>
      <c r="P68" s="136"/>
      <c r="Q68" s="214"/>
      <c r="R68" s="136"/>
      <c r="S68" s="214"/>
      <c r="T68" s="136"/>
      <c r="U68" s="214"/>
      <c r="V68" s="136"/>
      <c r="W68" s="214"/>
      <c r="X68" s="136"/>
      <c r="Y68" s="214"/>
      <c r="Z68" s="136"/>
      <c r="AA68" s="390"/>
      <c r="AB68" s="407"/>
      <c r="AC68" s="125"/>
      <c r="AD68" s="214"/>
      <c r="AE68" s="136"/>
      <c r="AF68" s="214"/>
      <c r="AG68" s="136">
        <v>400</v>
      </c>
      <c r="AH68" s="38">
        <v>45722</v>
      </c>
      <c r="AI68" s="136">
        <v>19600</v>
      </c>
      <c r="AJ68" s="38"/>
      <c r="AK68" s="136"/>
      <c r="AL68" s="38"/>
      <c r="AM68" s="136"/>
      <c r="AN68" s="38"/>
      <c r="AO68" s="136"/>
      <c r="AP68" s="38"/>
      <c r="AQ68" s="136"/>
      <c r="AR68" s="38"/>
      <c r="AS68" s="136"/>
      <c r="AT68" s="38"/>
      <c r="AU68" s="136"/>
      <c r="AV68" s="38"/>
      <c r="AW68" s="136"/>
      <c r="AX68" s="38"/>
      <c r="AY68" s="136"/>
      <c r="AZ68" s="38"/>
      <c r="BA68" s="77"/>
      <c r="BB68" s="77"/>
      <c r="BC68" s="77"/>
      <c r="BE68" s="24">
        <v>1</v>
      </c>
      <c r="BF68" s="18" t="s">
        <v>44</v>
      </c>
      <c r="BG68" s="48">
        <v>45538</v>
      </c>
      <c r="BH68" s="81">
        <v>3000</v>
      </c>
      <c r="BJ68" s="24">
        <v>5</v>
      </c>
      <c r="BK68" s="213" t="s">
        <v>1445</v>
      </c>
      <c r="BL68" s="48"/>
      <c r="BM68" s="81">
        <v>2500</v>
      </c>
    </row>
    <row r="69" spans="2:73" x14ac:dyDescent="0.3">
      <c r="B69" s="78"/>
      <c r="C69" t="s">
        <v>758</v>
      </c>
      <c r="D69" s="136"/>
      <c r="E69" s="214"/>
      <c r="F69" s="136"/>
      <c r="G69" s="214"/>
      <c r="H69" s="136"/>
      <c r="I69" s="214"/>
      <c r="J69" s="136">
        <v>8500</v>
      </c>
      <c r="K69" s="38">
        <v>45388</v>
      </c>
      <c r="L69" s="136"/>
      <c r="M69" s="38"/>
      <c r="N69" s="136"/>
      <c r="O69" s="38"/>
      <c r="P69" s="136"/>
      <c r="Q69" s="38"/>
      <c r="R69" s="136"/>
      <c r="S69" s="38"/>
      <c r="T69" s="136"/>
      <c r="U69" s="38"/>
      <c r="V69" s="136"/>
      <c r="W69" s="38"/>
      <c r="X69" s="136"/>
      <c r="Y69" s="38"/>
      <c r="Z69" s="136"/>
      <c r="AA69" s="352"/>
      <c r="AB69" s="402"/>
      <c r="AC69" s="125"/>
      <c r="AD69" s="38"/>
      <c r="AE69" s="136"/>
      <c r="AF69" s="38"/>
      <c r="AG69" s="136"/>
      <c r="AH69" s="38"/>
      <c r="AI69" s="136"/>
      <c r="AJ69" s="38"/>
      <c r="AK69" s="136"/>
      <c r="AL69" s="38"/>
      <c r="AM69" s="136"/>
      <c r="AN69" s="38"/>
      <c r="AO69" s="136">
        <v>31000</v>
      </c>
      <c r="AP69" s="38">
        <v>45866</v>
      </c>
      <c r="AQ69" s="136"/>
      <c r="AR69" s="38"/>
      <c r="AS69" s="136"/>
      <c r="AT69" s="38"/>
      <c r="AU69" s="136"/>
      <c r="AV69" s="38"/>
      <c r="AW69" s="136"/>
      <c r="AX69" s="38"/>
      <c r="AY69" s="136"/>
      <c r="AZ69" s="38"/>
      <c r="BA69" s="77"/>
      <c r="BB69" s="77"/>
      <c r="BC69" s="77"/>
      <c r="BE69" s="24">
        <v>2</v>
      </c>
      <c r="BF69" s="18" t="s">
        <v>89</v>
      </c>
      <c r="BG69" s="48">
        <v>45549</v>
      </c>
      <c r="BH69" s="81">
        <v>7000</v>
      </c>
      <c r="BJ69" s="24">
        <v>6</v>
      </c>
      <c r="BK69" s="439" t="s">
        <v>1583</v>
      </c>
      <c r="BL69" s="48">
        <v>45843</v>
      </c>
      <c r="BM69" s="205">
        <v>10000</v>
      </c>
    </row>
    <row r="70" spans="2:73" ht="15" thickBot="1" x14ac:dyDescent="0.35">
      <c r="B70" s="44"/>
      <c r="C70" s="118"/>
      <c r="D70" s="139">
        <f>SUM(D68:D69)</f>
        <v>0</v>
      </c>
      <c r="E70" s="45"/>
      <c r="F70" s="139">
        <f>SUM(F68:F69)</f>
        <v>0</v>
      </c>
      <c r="G70" s="45"/>
      <c r="H70" s="139">
        <f>SUM(H68:H69)</f>
        <v>7000</v>
      </c>
      <c r="I70" s="45"/>
      <c r="J70" s="139">
        <f>SUM(J68:J69)</f>
        <v>8500</v>
      </c>
      <c r="K70" s="45"/>
      <c r="L70" s="139">
        <f>SUM(L68:L69)</f>
        <v>0</v>
      </c>
      <c r="M70" s="45"/>
      <c r="N70" s="139">
        <f>SUM(N68:N69)</f>
        <v>0</v>
      </c>
      <c r="O70" s="45"/>
      <c r="P70" s="139">
        <f>SUM(P68:P69)</f>
        <v>0</v>
      </c>
      <c r="Q70" s="45"/>
      <c r="R70" s="139">
        <f>SUM(R68:R69)</f>
        <v>0</v>
      </c>
      <c r="S70" s="45"/>
      <c r="T70" s="139">
        <f>SUM(T68:T69)</f>
        <v>0</v>
      </c>
      <c r="U70" s="45"/>
      <c r="V70" s="139">
        <f>SUM(V68:V69)</f>
        <v>0</v>
      </c>
      <c r="W70" s="45"/>
      <c r="X70" s="139">
        <f>SUM(X68:X69)</f>
        <v>0</v>
      </c>
      <c r="Y70" s="45"/>
      <c r="Z70" s="139">
        <f>SUM(Z68:Z69)</f>
        <v>0</v>
      </c>
      <c r="AA70" s="385"/>
      <c r="AB70" s="403"/>
      <c r="AC70" s="397">
        <f>SUM(AC68:AC69)</f>
        <v>0</v>
      </c>
      <c r="AD70" s="45"/>
      <c r="AE70" s="139">
        <f>SUM(AE68:AE69)</f>
        <v>0</v>
      </c>
      <c r="AF70" s="45"/>
      <c r="AG70" s="139">
        <f>SUM(AG68:AG69)</f>
        <v>400</v>
      </c>
      <c r="AH70" s="45"/>
      <c r="AI70" s="139">
        <f>SUM(AI68:AI69)</f>
        <v>19600</v>
      </c>
      <c r="AJ70" s="45"/>
      <c r="AK70" s="139">
        <f>SUM(AK68:AK69)</f>
        <v>0</v>
      </c>
      <c r="AL70" s="45"/>
      <c r="AM70" s="139">
        <f>SUM(AM68:AM69)</f>
        <v>0</v>
      </c>
      <c r="AN70" s="45"/>
      <c r="AO70" s="139">
        <f>SUM(AO68:AO69)</f>
        <v>31000</v>
      </c>
      <c r="AP70" s="45"/>
      <c r="AQ70" s="139">
        <f>SUM(AQ68:AQ69)</f>
        <v>0</v>
      </c>
      <c r="AR70" s="45"/>
      <c r="AS70" s="139">
        <f>SUM(AS68:AS69)</f>
        <v>0</v>
      </c>
      <c r="AT70" s="45"/>
      <c r="AU70" s="139">
        <f>SUM(AU68:AU69)</f>
        <v>0</v>
      </c>
      <c r="AV70" s="45"/>
      <c r="AW70" s="139">
        <f>SUM(AW68:AW69)</f>
        <v>0</v>
      </c>
      <c r="AX70" s="45"/>
      <c r="AY70" s="139">
        <f>SUM(AY68:AY69)</f>
        <v>0</v>
      </c>
      <c r="AZ70" s="45"/>
      <c r="BA70" s="474"/>
      <c r="BB70" s="474"/>
      <c r="BC70" s="474"/>
      <c r="BE70" s="24">
        <v>3</v>
      </c>
      <c r="BF70" s="18" t="s">
        <v>115</v>
      </c>
      <c r="BG70" s="48">
        <v>45550</v>
      </c>
      <c r="BH70" s="81">
        <v>2500</v>
      </c>
      <c r="BJ70" s="100">
        <v>45839</v>
      </c>
      <c r="BK70" s="70"/>
      <c r="BL70" s="70"/>
      <c r="BM70" s="71">
        <f>SUM(BM64:BM69)</f>
        <v>30000</v>
      </c>
    </row>
    <row r="71" spans="2:73" ht="15" thickTop="1" x14ac:dyDescent="0.3">
      <c r="B71" s="3" t="s">
        <v>77</v>
      </c>
      <c r="C71" s="117" t="s">
        <v>225</v>
      </c>
      <c r="D71" s="39"/>
      <c r="E71" s="38"/>
      <c r="F71" s="42"/>
      <c r="G71" s="38"/>
      <c r="H71" s="42"/>
      <c r="I71" s="38"/>
      <c r="J71" s="42"/>
      <c r="K71" s="38"/>
      <c r="L71" s="42"/>
      <c r="M71" s="38"/>
      <c r="N71" s="42"/>
      <c r="O71" s="38"/>
      <c r="P71" s="42"/>
      <c r="Q71" s="38"/>
      <c r="R71" s="42"/>
      <c r="S71" s="38"/>
      <c r="T71" s="42"/>
      <c r="U71" s="38"/>
      <c r="V71" s="42"/>
      <c r="W71" s="38"/>
      <c r="X71" s="42">
        <f>110000+13000</f>
        <v>123000</v>
      </c>
      <c r="Y71" s="38">
        <v>45621</v>
      </c>
      <c r="Z71" s="42"/>
      <c r="AA71" s="352"/>
      <c r="AB71" s="402"/>
      <c r="AC71" s="42"/>
      <c r="AD71" s="38"/>
      <c r="AE71" s="42"/>
      <c r="AF71" s="38"/>
      <c r="AG71" s="42"/>
      <c r="AH71" s="38"/>
      <c r="AI71" s="42"/>
      <c r="AJ71" s="38"/>
      <c r="AK71" s="42"/>
      <c r="AL71" s="38"/>
      <c r="AM71" s="42"/>
      <c r="AN71" s="38"/>
      <c r="AO71" s="42"/>
      <c r="AP71" s="38"/>
      <c r="AQ71" s="42">
        <v>1800</v>
      </c>
      <c r="AR71" s="38">
        <v>45887</v>
      </c>
      <c r="AS71" s="42"/>
      <c r="AT71" s="38"/>
      <c r="AU71" s="42"/>
      <c r="AV71" s="38"/>
      <c r="AW71" s="42"/>
      <c r="AX71" s="38"/>
      <c r="AY71" s="42"/>
      <c r="AZ71" s="38"/>
      <c r="BA71" s="77"/>
      <c r="BB71" s="77"/>
      <c r="BC71" s="77"/>
      <c r="BE71" s="24">
        <v>4</v>
      </c>
      <c r="BF71" s="18" t="s">
        <v>952</v>
      </c>
      <c r="BG71" s="48">
        <v>45550</v>
      </c>
      <c r="BH71" s="81">
        <v>4030</v>
      </c>
    </row>
    <row r="72" spans="2:73" x14ac:dyDescent="0.3">
      <c r="B72" s="3"/>
      <c r="C72" s="122" t="s">
        <v>151</v>
      </c>
      <c r="D72" s="39"/>
      <c r="E72" s="38"/>
      <c r="F72" s="42"/>
      <c r="G72" s="38"/>
      <c r="H72" s="42"/>
      <c r="I72" s="38"/>
      <c r="J72" s="42"/>
      <c r="K72" s="38"/>
      <c r="L72" s="42"/>
      <c r="M72" s="38"/>
      <c r="N72" s="42"/>
      <c r="O72" s="38"/>
      <c r="P72" s="42"/>
      <c r="Q72" s="38"/>
      <c r="R72" s="42"/>
      <c r="S72" s="38"/>
      <c r="T72" s="42"/>
      <c r="U72" s="38"/>
      <c r="V72" s="42"/>
      <c r="W72" s="38"/>
      <c r="X72" s="42"/>
      <c r="Y72" s="38"/>
      <c r="Z72" s="42"/>
      <c r="AA72" s="352"/>
      <c r="AB72" s="402"/>
      <c r="AC72" s="42"/>
      <c r="AD72" s="38"/>
      <c r="AE72" s="42"/>
      <c r="AF72" s="38"/>
      <c r="AG72" s="42"/>
      <c r="AH72" s="38"/>
      <c r="AI72" s="42"/>
      <c r="AJ72" s="38"/>
      <c r="AK72" s="42"/>
      <c r="AL72" s="38"/>
      <c r="AM72" s="42"/>
      <c r="AN72" s="38"/>
      <c r="AO72" s="42"/>
      <c r="AP72" s="38"/>
      <c r="AQ72" s="42"/>
      <c r="AR72" s="38"/>
      <c r="AS72" s="42"/>
      <c r="AT72" s="38"/>
      <c r="AU72" s="42"/>
      <c r="AV72" s="38"/>
      <c r="AW72" s="42"/>
      <c r="AX72" s="38"/>
      <c r="AY72" s="42"/>
      <c r="AZ72" s="38"/>
      <c r="BA72" s="77"/>
      <c r="BB72" s="77"/>
      <c r="BC72" s="77"/>
      <c r="BE72" s="24">
        <v>5</v>
      </c>
      <c r="BF72" s="18" t="s">
        <v>1132</v>
      </c>
      <c r="BG72" s="48">
        <v>45550</v>
      </c>
      <c r="BH72" s="81">
        <v>6000</v>
      </c>
      <c r="BJ72" s="24">
        <v>1</v>
      </c>
      <c r="BK72" s="18" t="s">
        <v>44</v>
      </c>
      <c r="BL72" s="38">
        <v>45871</v>
      </c>
      <c r="BM72" s="81">
        <v>3000</v>
      </c>
    </row>
    <row r="73" spans="2:73" x14ac:dyDescent="0.3">
      <c r="B73" s="3"/>
      <c r="C73" s="122" t="s">
        <v>296</v>
      </c>
      <c r="D73" s="39"/>
      <c r="E73" s="38"/>
      <c r="F73" s="42"/>
      <c r="G73" s="38"/>
      <c r="H73" s="42">
        <v>17000</v>
      </c>
      <c r="I73" s="38">
        <v>45374</v>
      </c>
      <c r="J73" s="42"/>
      <c r="K73" s="38"/>
      <c r="L73" s="42"/>
      <c r="M73" s="38"/>
      <c r="N73" s="42"/>
      <c r="O73" s="38"/>
      <c r="P73" s="42"/>
      <c r="Q73" s="38"/>
      <c r="R73" s="42"/>
      <c r="S73" s="38"/>
      <c r="T73" s="42"/>
      <c r="U73" s="38"/>
      <c r="V73" s="42"/>
      <c r="W73" s="38"/>
      <c r="X73" s="42"/>
      <c r="Y73" s="38"/>
      <c r="Z73" s="42"/>
      <c r="AA73" s="352"/>
      <c r="AB73" s="402"/>
      <c r="AC73" s="42"/>
      <c r="AD73" s="38"/>
      <c r="AE73" s="42"/>
      <c r="AF73" s="38"/>
      <c r="AG73" s="42"/>
      <c r="AH73" s="38"/>
      <c r="AI73" s="42"/>
      <c r="AJ73" s="38"/>
      <c r="AK73" s="42"/>
      <c r="AL73" s="38"/>
      <c r="AM73" s="42"/>
      <c r="AN73" s="38"/>
      <c r="AO73" s="42"/>
      <c r="AP73" s="38"/>
      <c r="AQ73" s="42"/>
      <c r="AR73" s="38"/>
      <c r="AS73" s="42"/>
      <c r="AT73" s="38"/>
      <c r="AU73" s="42"/>
      <c r="AV73" s="38"/>
      <c r="AW73" s="42"/>
      <c r="AX73" s="38"/>
      <c r="AY73" s="42"/>
      <c r="AZ73" s="38"/>
      <c r="BA73" s="77"/>
      <c r="BB73" s="77"/>
      <c r="BC73" s="77"/>
      <c r="BE73" s="24">
        <v>6</v>
      </c>
      <c r="BF73" s="18" t="s">
        <v>1136</v>
      </c>
      <c r="BG73" s="77">
        <v>45536</v>
      </c>
      <c r="BH73" s="81">
        <v>2000</v>
      </c>
      <c r="BJ73" s="24">
        <v>2</v>
      </c>
      <c r="BK73" s="18" t="s">
        <v>89</v>
      </c>
      <c r="BL73" s="38">
        <v>45893</v>
      </c>
      <c r="BM73" s="81">
        <v>7000</v>
      </c>
    </row>
    <row r="74" spans="2:73" x14ac:dyDescent="0.3">
      <c r="B74" s="78"/>
      <c r="C74" s="122" t="s">
        <v>966</v>
      </c>
      <c r="D74" s="271"/>
      <c r="E74" s="94"/>
      <c r="F74" s="75"/>
      <c r="G74" s="94"/>
      <c r="H74" s="75"/>
      <c r="I74" s="94"/>
      <c r="J74" s="75"/>
      <c r="K74" s="94"/>
      <c r="L74" s="75"/>
      <c r="M74" s="94"/>
      <c r="N74" s="75"/>
      <c r="O74" s="94"/>
      <c r="P74" s="75">
        <f>90000+160000</f>
        <v>250000</v>
      </c>
      <c r="Q74" s="38">
        <v>45480</v>
      </c>
      <c r="R74" s="75"/>
      <c r="S74" s="38"/>
      <c r="T74" s="75"/>
      <c r="U74" s="38"/>
      <c r="V74" s="75"/>
      <c r="W74" s="38"/>
      <c r="X74" s="75"/>
      <c r="Y74" s="38"/>
      <c r="Z74" s="75"/>
      <c r="AA74" s="352"/>
      <c r="AB74" s="402"/>
      <c r="AC74" s="75"/>
      <c r="AD74" s="38"/>
      <c r="AE74" s="75"/>
      <c r="AF74" s="38"/>
      <c r="AG74" s="75"/>
      <c r="AH74" s="38"/>
      <c r="AI74" s="75"/>
      <c r="AJ74" s="38"/>
      <c r="AK74" s="75"/>
      <c r="AL74" s="38"/>
      <c r="AM74" s="75">
        <f>28000+65000+155000+2000</f>
        <v>250000</v>
      </c>
      <c r="AN74" s="38">
        <v>45828</v>
      </c>
      <c r="AO74" s="75"/>
      <c r="AP74" s="38"/>
      <c r="AQ74" s="75"/>
      <c r="AR74" s="38"/>
      <c r="AS74" s="75"/>
      <c r="AT74" s="38"/>
      <c r="AU74" s="75"/>
      <c r="AV74" s="38"/>
      <c r="AW74" s="75"/>
      <c r="AX74" s="38"/>
      <c r="AY74" s="75"/>
      <c r="AZ74" s="38"/>
      <c r="BA74" s="77"/>
      <c r="BB74" s="77"/>
      <c r="BC74" s="77"/>
      <c r="BE74" s="100">
        <v>45536</v>
      </c>
      <c r="BF74" s="70"/>
      <c r="BG74" s="70"/>
      <c r="BH74" s="71">
        <f>SUM(BH68:BH73)</f>
        <v>24530</v>
      </c>
      <c r="BJ74" s="24">
        <v>3</v>
      </c>
      <c r="BK74" s="18" t="s">
        <v>115</v>
      </c>
      <c r="BL74" s="38">
        <v>45874</v>
      </c>
      <c r="BM74" s="81">
        <v>2500</v>
      </c>
    </row>
    <row r="75" spans="2:73" ht="15" thickBot="1" x14ac:dyDescent="0.35">
      <c r="B75" s="44"/>
      <c r="C75" s="118"/>
      <c r="D75" s="139">
        <f>SUM(D71:D74)</f>
        <v>0</v>
      </c>
      <c r="E75" s="327"/>
      <c r="F75" s="139">
        <f>SUM(F71:F74)</f>
        <v>0</v>
      </c>
      <c r="G75" s="45"/>
      <c r="H75" s="139">
        <f>SUM(H71:H74)</f>
        <v>17000</v>
      </c>
      <c r="I75" s="45"/>
      <c r="J75" s="139">
        <f>SUM(J71:J74)</f>
        <v>0</v>
      </c>
      <c r="K75" s="45"/>
      <c r="L75" s="139">
        <f>SUM(L71:L74)</f>
        <v>0</v>
      </c>
      <c r="M75" s="45"/>
      <c r="N75" s="139">
        <f>SUM(N71:N74)</f>
        <v>0</v>
      </c>
      <c r="O75" s="45"/>
      <c r="P75" s="139">
        <f>SUM(P71:P74)</f>
        <v>250000</v>
      </c>
      <c r="Q75" s="45"/>
      <c r="R75" s="139">
        <f>SUM(R71:R74)</f>
        <v>0</v>
      </c>
      <c r="S75" s="45"/>
      <c r="T75" s="139">
        <f>SUM(T71:T74)</f>
        <v>0</v>
      </c>
      <c r="U75" s="45"/>
      <c r="V75" s="139">
        <f>SUM(V71:V74)</f>
        <v>0</v>
      </c>
      <c r="W75" s="45"/>
      <c r="X75" s="139">
        <f>SUM(X71:X74)</f>
        <v>123000</v>
      </c>
      <c r="Y75" s="45"/>
      <c r="Z75" s="139">
        <f>SUM(Z71:Z74)</f>
        <v>0</v>
      </c>
      <c r="AA75" s="385"/>
      <c r="AB75" s="403"/>
      <c r="AC75" s="397">
        <f>SUM(AC71:AC74)</f>
        <v>0</v>
      </c>
      <c r="AD75" s="45"/>
      <c r="AE75" s="139">
        <f>SUM(AE71:AE74)</f>
        <v>0</v>
      </c>
      <c r="AF75" s="45"/>
      <c r="AG75" s="139">
        <f>SUM(AG71:AG74)</f>
        <v>0</v>
      </c>
      <c r="AH75" s="45"/>
      <c r="AI75" s="139">
        <f>SUM(AI71:AI74)</f>
        <v>0</v>
      </c>
      <c r="AJ75" s="45"/>
      <c r="AK75" s="139">
        <f>SUM(AK71:AK74)</f>
        <v>0</v>
      </c>
      <c r="AL75" s="45"/>
      <c r="AM75" s="139">
        <f>SUM(AM71:AM74)</f>
        <v>250000</v>
      </c>
      <c r="AN75" s="45"/>
      <c r="AO75" s="139">
        <f>SUM(AO71:AO74)</f>
        <v>0</v>
      </c>
      <c r="AP75" s="45"/>
      <c r="AQ75" s="139">
        <f>SUM(AQ71:AQ74)</f>
        <v>1800</v>
      </c>
      <c r="AR75" s="45"/>
      <c r="AS75" s="139">
        <f>SUM(AS71:AS74)</f>
        <v>0</v>
      </c>
      <c r="AT75" s="45"/>
      <c r="AU75" s="139">
        <f>SUM(AU71:AU74)</f>
        <v>0</v>
      </c>
      <c r="AV75" s="45"/>
      <c r="AW75" s="139">
        <f>SUM(AW71:AW74)</f>
        <v>0</v>
      </c>
      <c r="AX75" s="45"/>
      <c r="AY75" s="139">
        <f>SUM(AY71:AY74)</f>
        <v>0</v>
      </c>
      <c r="AZ75" s="45"/>
      <c r="BA75" s="474"/>
      <c r="BB75" s="474"/>
      <c r="BC75" s="474"/>
      <c r="BJ75" s="24">
        <v>4</v>
      </c>
      <c r="BK75" s="439" t="s">
        <v>952</v>
      </c>
      <c r="BL75" s="48"/>
      <c r="BM75" s="205">
        <v>0</v>
      </c>
    </row>
    <row r="76" spans="2:73" ht="15" thickTop="1" x14ac:dyDescent="0.3">
      <c r="B76" s="3" t="s">
        <v>82</v>
      </c>
      <c r="C76" s="117" t="s">
        <v>818</v>
      </c>
      <c r="D76" s="329">
        <v>14500</v>
      </c>
      <c r="E76" s="250">
        <v>45304</v>
      </c>
      <c r="F76" s="125"/>
      <c r="G76" s="38"/>
      <c r="H76" s="125"/>
      <c r="I76" s="38"/>
      <c r="J76" s="125">
        <v>2200</v>
      </c>
      <c r="K76" s="38">
        <v>45387</v>
      </c>
      <c r="L76" s="125"/>
      <c r="M76" s="38"/>
      <c r="N76" s="125">
        <v>10000</v>
      </c>
      <c r="O76" s="38">
        <v>45458</v>
      </c>
      <c r="P76" s="125">
        <v>19700</v>
      </c>
      <c r="Q76" s="38">
        <v>45478</v>
      </c>
      <c r="R76" s="125"/>
      <c r="S76" s="38"/>
      <c r="T76" s="125"/>
      <c r="U76" s="38"/>
      <c r="V76" s="125"/>
      <c r="W76" s="38"/>
      <c r="X76" s="125"/>
      <c r="Y76" s="38"/>
      <c r="Z76" s="125"/>
      <c r="AA76" s="352"/>
      <c r="AB76" s="402"/>
      <c r="AC76" s="125"/>
      <c r="AD76" s="38"/>
      <c r="AE76" s="125"/>
      <c r="AF76" s="38"/>
      <c r="AG76" s="125"/>
      <c r="AH76" s="38"/>
      <c r="AI76" s="125">
        <f>8050+13300</f>
        <v>21350</v>
      </c>
      <c r="AJ76" s="38">
        <v>45752</v>
      </c>
      <c r="AK76" s="125"/>
      <c r="AL76" s="38"/>
      <c r="AM76" s="125"/>
      <c r="AN76" s="38"/>
      <c r="AO76" s="125"/>
      <c r="AP76" s="38"/>
      <c r="AQ76" s="125"/>
      <c r="AR76" s="38"/>
      <c r="AS76" s="125"/>
      <c r="AT76" s="38"/>
      <c r="AU76" s="106">
        <f>14500+7500</f>
        <v>22000</v>
      </c>
      <c r="AV76" s="38">
        <v>45956</v>
      </c>
      <c r="AW76" s="106"/>
      <c r="AX76" s="38"/>
      <c r="AY76" s="106"/>
      <c r="AZ76" s="38"/>
      <c r="BA76" s="77"/>
      <c r="BB76" s="77"/>
      <c r="BC76" s="77"/>
      <c r="BE76" s="24">
        <v>1</v>
      </c>
      <c r="BF76" s="18" t="s">
        <v>44</v>
      </c>
      <c r="BG76" s="48">
        <v>45585</v>
      </c>
      <c r="BH76" s="81">
        <v>3000</v>
      </c>
      <c r="BJ76" s="24">
        <v>5</v>
      </c>
      <c r="BK76" s="18" t="s">
        <v>1585</v>
      </c>
      <c r="BL76" s="38">
        <v>45885</v>
      </c>
      <c r="BM76" s="447">
        <v>9000</v>
      </c>
    </row>
    <row r="77" spans="2:73" x14ac:dyDescent="0.3">
      <c r="B77" s="3"/>
      <c r="C77" s="117" t="s">
        <v>1751</v>
      </c>
      <c r="D77" s="136">
        <v>15460</v>
      </c>
      <c r="E77" s="38">
        <v>45318</v>
      </c>
      <c r="F77" s="125"/>
      <c r="G77" s="38"/>
      <c r="H77" s="125"/>
      <c r="I77" s="38"/>
      <c r="J77" s="125">
        <v>2500</v>
      </c>
      <c r="K77" s="38">
        <v>45392</v>
      </c>
      <c r="L77" s="125"/>
      <c r="M77" s="38"/>
      <c r="N77" s="125"/>
      <c r="O77" s="38"/>
      <c r="P77" s="125">
        <v>2600</v>
      </c>
      <c r="Q77" s="38">
        <v>45480</v>
      </c>
      <c r="R77" s="125"/>
      <c r="S77" s="38"/>
      <c r="T77" s="125"/>
      <c r="U77" s="38"/>
      <c r="V77" s="125"/>
      <c r="W77" s="38"/>
      <c r="X77" s="125"/>
      <c r="Y77" s="38"/>
      <c r="Z77" s="125"/>
      <c r="AA77" s="352"/>
      <c r="AB77" s="402"/>
      <c r="AC77" s="125"/>
      <c r="AD77" s="38"/>
      <c r="AE77" s="125"/>
      <c r="AF77" s="38"/>
      <c r="AG77" s="125"/>
      <c r="AH77" s="38"/>
      <c r="AI77" s="125">
        <v>31000</v>
      </c>
      <c r="AJ77" s="38">
        <v>45757</v>
      </c>
      <c r="AK77" s="125"/>
      <c r="AL77" s="38"/>
      <c r="AM77" s="125"/>
      <c r="AN77" s="38"/>
      <c r="AO77" s="125">
        <v>59880</v>
      </c>
      <c r="AP77" s="38">
        <v>45859</v>
      </c>
      <c r="AQ77" s="125"/>
      <c r="AR77" s="38"/>
      <c r="AS77" s="125"/>
      <c r="AT77" s="38"/>
      <c r="AU77" s="125"/>
      <c r="AV77" s="38"/>
      <c r="AW77" s="125">
        <f>18300+10140</f>
        <v>28440</v>
      </c>
      <c r="AX77" s="38" t="s">
        <v>1754</v>
      </c>
      <c r="AY77" s="125"/>
      <c r="AZ77" s="38"/>
      <c r="BA77" s="77"/>
      <c r="BB77" s="77"/>
      <c r="BC77" s="77"/>
      <c r="BE77" s="24">
        <v>2</v>
      </c>
      <c r="BF77" s="18" t="s">
        <v>89</v>
      </c>
      <c r="BG77" s="48">
        <v>45590</v>
      </c>
      <c r="BH77" s="81">
        <v>7000</v>
      </c>
      <c r="BJ77" s="24">
        <v>6</v>
      </c>
      <c r="BK77" s="18" t="s">
        <v>1568</v>
      </c>
      <c r="BL77" s="38">
        <v>45874</v>
      </c>
      <c r="BM77" s="81">
        <v>10000</v>
      </c>
    </row>
    <row r="78" spans="2:73" x14ac:dyDescent="0.3">
      <c r="B78" s="43"/>
      <c r="C78" s="122" t="s">
        <v>831</v>
      </c>
      <c r="D78" s="169"/>
      <c r="E78" s="38"/>
      <c r="F78" s="79"/>
      <c r="G78" s="38"/>
      <c r="H78" s="79">
        <v>16790</v>
      </c>
      <c r="I78" s="38">
        <v>45362</v>
      </c>
      <c r="J78" s="79"/>
      <c r="K78" s="38"/>
      <c r="L78" s="79"/>
      <c r="M78" s="38"/>
      <c r="N78" s="79"/>
      <c r="O78" s="38"/>
      <c r="P78" s="79">
        <v>3100</v>
      </c>
      <c r="Q78" s="38">
        <v>45494</v>
      </c>
      <c r="R78" s="79"/>
      <c r="S78" s="38"/>
      <c r="T78" s="79"/>
      <c r="U78" s="38"/>
      <c r="V78" s="79"/>
      <c r="W78" s="38"/>
      <c r="X78" s="79"/>
      <c r="Y78" s="38"/>
      <c r="Z78" s="79"/>
      <c r="AA78" s="352"/>
      <c r="AB78" s="402"/>
      <c r="AC78" s="79"/>
      <c r="AD78" s="38"/>
      <c r="AE78" s="79"/>
      <c r="AF78" s="38"/>
      <c r="AG78" s="79">
        <v>27000</v>
      </c>
      <c r="AH78" s="38">
        <v>45731</v>
      </c>
      <c r="AI78" s="79">
        <v>5260</v>
      </c>
      <c r="AJ78" s="38">
        <v>45757</v>
      </c>
      <c r="AK78" s="79"/>
      <c r="AL78" s="38"/>
      <c r="AM78" s="79"/>
      <c r="AN78" s="38"/>
      <c r="AO78" s="79"/>
      <c r="AP78" s="38"/>
      <c r="AQ78" s="79"/>
      <c r="AR78" s="38"/>
      <c r="AS78" s="79"/>
      <c r="AT78" s="38"/>
      <c r="AU78" s="79">
        <v>14450</v>
      </c>
      <c r="AV78" s="38">
        <v>45957</v>
      </c>
      <c r="AW78" s="79"/>
      <c r="AX78" s="38"/>
      <c r="AY78" s="79">
        <v>11070</v>
      </c>
      <c r="AZ78" s="38">
        <v>45992</v>
      </c>
      <c r="BA78" s="77"/>
      <c r="BB78" s="77"/>
      <c r="BC78" s="77"/>
      <c r="BE78" s="24">
        <v>3</v>
      </c>
      <c r="BF78" s="18" t="s">
        <v>115</v>
      </c>
      <c r="BG78" s="48">
        <v>45585</v>
      </c>
      <c r="BH78" s="81">
        <v>2500</v>
      </c>
      <c r="BJ78" s="100">
        <v>45870</v>
      </c>
      <c r="BK78" s="70"/>
      <c r="BL78" s="70"/>
      <c r="BM78" s="71">
        <f>SUM(BM72:BM77)</f>
        <v>31500</v>
      </c>
    </row>
    <row r="79" spans="2:73" x14ac:dyDescent="0.3">
      <c r="B79" s="3"/>
      <c r="C79" s="117" t="s">
        <v>956</v>
      </c>
      <c r="D79" s="39"/>
      <c r="E79" s="38"/>
      <c r="F79" s="42"/>
      <c r="G79" s="38"/>
      <c r="H79" s="42">
        <v>21000</v>
      </c>
      <c r="I79" s="38">
        <v>45362</v>
      </c>
      <c r="J79" s="42">
        <v>10020</v>
      </c>
      <c r="K79" s="38">
        <v>45406</v>
      </c>
      <c r="L79" s="42"/>
      <c r="M79" s="38"/>
      <c r="N79" s="42">
        <v>7000</v>
      </c>
      <c r="O79" s="38">
        <v>45449</v>
      </c>
      <c r="P79" s="42">
        <v>5000</v>
      </c>
      <c r="Q79" s="38">
        <v>45494</v>
      </c>
      <c r="R79" s="42"/>
      <c r="S79" s="38"/>
      <c r="T79" s="42"/>
      <c r="U79" s="38"/>
      <c r="V79" s="42"/>
      <c r="W79" s="38"/>
      <c r="X79" s="42"/>
      <c r="Y79" s="38"/>
      <c r="Z79" s="42"/>
      <c r="AA79" s="352"/>
      <c r="AB79" s="402"/>
      <c r="AC79" s="42"/>
      <c r="AD79" s="38"/>
      <c r="AE79" s="42"/>
      <c r="AF79" s="38"/>
      <c r="AG79" s="42">
        <f>5000+700</f>
        <v>5700</v>
      </c>
      <c r="AH79" s="38">
        <v>45731</v>
      </c>
      <c r="AI79" s="42">
        <v>25260</v>
      </c>
      <c r="AJ79" s="38">
        <v>45757</v>
      </c>
      <c r="AK79" s="42"/>
      <c r="AL79" s="38"/>
      <c r="AM79" s="42"/>
      <c r="AN79" s="38"/>
      <c r="AO79" s="42"/>
      <c r="AP79" s="38"/>
      <c r="AQ79" s="42"/>
      <c r="AR79" s="38"/>
      <c r="AS79" s="42"/>
      <c r="AT79" s="38"/>
      <c r="AU79" s="42"/>
      <c r="AV79" s="38"/>
      <c r="AW79" s="42"/>
      <c r="AX79" s="38"/>
      <c r="AY79" s="42"/>
      <c r="AZ79" s="38"/>
      <c r="BA79" s="77"/>
      <c r="BB79" s="77"/>
      <c r="BC79" s="77"/>
      <c r="BE79" s="24">
        <v>4</v>
      </c>
      <c r="BF79" s="18" t="s">
        <v>952</v>
      </c>
      <c r="BG79" s="48">
        <v>45596</v>
      </c>
      <c r="BH79" s="203">
        <v>7000</v>
      </c>
    </row>
    <row r="80" spans="2:73" x14ac:dyDescent="0.3">
      <c r="B80" s="3"/>
      <c r="C80" s="117" t="s">
        <v>953</v>
      </c>
      <c r="D80" s="39"/>
      <c r="E80" s="38"/>
      <c r="F80" s="42"/>
      <c r="G80" s="38"/>
      <c r="H80" s="42"/>
      <c r="I80" s="38"/>
      <c r="J80" s="42">
        <v>7360</v>
      </c>
      <c r="K80" s="38">
        <v>45384</v>
      </c>
      <c r="L80" s="42"/>
      <c r="M80" s="38"/>
      <c r="N80" s="42"/>
      <c r="O80" s="38"/>
      <c r="P80" s="42">
        <v>4050</v>
      </c>
      <c r="Q80" s="38">
        <v>45483</v>
      </c>
      <c r="R80" s="42"/>
      <c r="S80" s="38"/>
      <c r="T80" s="42">
        <v>1500</v>
      </c>
      <c r="U80" s="38">
        <v>45555</v>
      </c>
      <c r="V80" s="42">
        <v>15500</v>
      </c>
      <c r="W80" s="38">
        <v>45590</v>
      </c>
      <c r="X80" s="42"/>
      <c r="Y80" s="38"/>
      <c r="Z80" s="42"/>
      <c r="AA80" s="352"/>
      <c r="AB80" s="402"/>
      <c r="AC80" s="42">
        <v>17020</v>
      </c>
      <c r="AD80" s="38">
        <v>45658</v>
      </c>
      <c r="AE80" s="42">
        <v>7080</v>
      </c>
      <c r="AF80" s="38">
        <v>45712</v>
      </c>
      <c r="AG80" s="42"/>
      <c r="AH80" s="38"/>
      <c r="AI80" s="42">
        <v>27600</v>
      </c>
      <c r="AJ80" s="38">
        <v>45757</v>
      </c>
      <c r="AK80" s="42"/>
      <c r="AL80" s="38"/>
      <c r="AM80" s="42"/>
      <c r="AN80" s="38"/>
      <c r="AO80" s="42"/>
      <c r="AP80" s="38"/>
      <c r="AQ80" s="42"/>
      <c r="AR80" s="38"/>
      <c r="AS80" s="42"/>
      <c r="AT80" s="38"/>
      <c r="AU80" s="42">
        <v>19440</v>
      </c>
      <c r="AV80" s="38">
        <v>45955</v>
      </c>
      <c r="AW80" s="42"/>
      <c r="AX80" s="38"/>
      <c r="AY80" s="42"/>
      <c r="AZ80" s="38"/>
      <c r="BA80" s="77"/>
      <c r="BB80" s="77"/>
      <c r="BC80" s="77"/>
      <c r="BE80" s="24">
        <v>5</v>
      </c>
      <c r="BF80" s="18" t="s">
        <v>1142</v>
      </c>
      <c r="BG80" s="48">
        <v>45585</v>
      </c>
      <c r="BH80" s="81">
        <v>2000</v>
      </c>
      <c r="BJ80" s="24">
        <v>1</v>
      </c>
      <c r="BK80" s="18" t="s">
        <v>44</v>
      </c>
      <c r="BL80" s="48">
        <v>45901</v>
      </c>
      <c r="BM80" s="447">
        <v>3000</v>
      </c>
    </row>
    <row r="81" spans="2:65" x14ac:dyDescent="0.3">
      <c r="B81" s="3"/>
      <c r="C81" s="117" t="s">
        <v>967</v>
      </c>
      <c r="D81" s="39"/>
      <c r="E81" s="38"/>
      <c r="F81" s="42"/>
      <c r="G81" s="38"/>
      <c r="H81" s="42"/>
      <c r="I81" s="38"/>
      <c r="J81" s="42"/>
      <c r="K81" s="38"/>
      <c r="L81" s="42"/>
      <c r="M81" s="38"/>
      <c r="N81" s="42"/>
      <c r="O81" s="38"/>
      <c r="P81" s="42">
        <v>270</v>
      </c>
      <c r="Q81" s="38">
        <v>45498</v>
      </c>
      <c r="R81" s="42"/>
      <c r="S81" s="38"/>
      <c r="T81" s="42"/>
      <c r="U81" s="38"/>
      <c r="V81" s="42"/>
      <c r="W81" s="38"/>
      <c r="X81" s="42"/>
      <c r="Y81" s="38"/>
      <c r="Z81" s="42"/>
      <c r="AA81" s="352"/>
      <c r="AB81" s="402"/>
      <c r="AC81" s="42"/>
      <c r="AD81" s="38"/>
      <c r="AE81" s="42"/>
      <c r="AF81" s="38"/>
      <c r="AG81" s="42"/>
      <c r="AH81" s="38"/>
      <c r="AI81" s="42"/>
      <c r="AJ81" s="38"/>
      <c r="AK81" s="42"/>
      <c r="AL81" s="38"/>
      <c r="AM81" s="42"/>
      <c r="AN81" s="38"/>
      <c r="AO81" s="42"/>
      <c r="AP81" s="38"/>
      <c r="AQ81" s="42"/>
      <c r="AR81" s="38"/>
      <c r="AS81" s="42"/>
      <c r="AT81" s="38"/>
      <c r="AU81" s="42"/>
      <c r="AV81" s="38"/>
      <c r="AW81" s="42"/>
      <c r="AX81" s="38"/>
      <c r="AY81" s="42"/>
      <c r="AZ81" s="38"/>
      <c r="BA81" s="77"/>
      <c r="BB81" s="77"/>
      <c r="BC81" s="77"/>
      <c r="BE81" s="24"/>
      <c r="BF81" s="18"/>
      <c r="BG81" s="77"/>
      <c r="BH81" s="81"/>
      <c r="BJ81" s="24">
        <v>2</v>
      </c>
      <c r="BK81" s="18" t="s">
        <v>89</v>
      </c>
      <c r="BL81" s="48" t="s">
        <v>1594</v>
      </c>
      <c r="BM81" s="81">
        <f>2000+700+14000</f>
        <v>16700</v>
      </c>
    </row>
    <row r="82" spans="2:65" x14ac:dyDescent="0.3">
      <c r="B82" s="3"/>
      <c r="C82" s="117" t="s">
        <v>1126</v>
      </c>
      <c r="D82" s="39"/>
      <c r="E82" s="38"/>
      <c r="F82" s="42"/>
      <c r="G82" s="38"/>
      <c r="H82" s="42"/>
      <c r="I82" s="38"/>
      <c r="J82" s="42"/>
      <c r="K82" s="38"/>
      <c r="L82" s="42"/>
      <c r="M82" s="38"/>
      <c r="N82" s="42"/>
      <c r="O82" s="38"/>
      <c r="P82" s="42">
        <v>35500</v>
      </c>
      <c r="Q82" s="38">
        <v>45498</v>
      </c>
      <c r="R82" s="42"/>
      <c r="S82" s="38"/>
      <c r="T82" s="42"/>
      <c r="U82" s="38"/>
      <c r="V82" s="42"/>
      <c r="W82" s="38"/>
      <c r="X82" s="42"/>
      <c r="Y82" s="38"/>
      <c r="Z82" s="42"/>
      <c r="AA82" s="352"/>
      <c r="AB82" s="402"/>
      <c r="AC82" s="42"/>
      <c r="AD82" s="38"/>
      <c r="AE82" s="42"/>
      <c r="AF82" s="38"/>
      <c r="AG82" s="42"/>
      <c r="AH82" s="38"/>
      <c r="AI82" s="42"/>
      <c r="AJ82" s="38"/>
      <c r="AK82" s="42"/>
      <c r="AL82" s="38"/>
      <c r="AM82" s="42"/>
      <c r="AN82" s="38"/>
      <c r="AO82" s="42">
        <v>16760</v>
      </c>
      <c r="AP82" s="38"/>
      <c r="AQ82" s="42"/>
      <c r="AR82" s="38"/>
      <c r="AS82" s="42">
        <v>44660</v>
      </c>
      <c r="AT82" s="38">
        <v>45901</v>
      </c>
      <c r="AU82" s="42"/>
      <c r="AV82" s="38"/>
      <c r="AW82" s="42">
        <v>10770</v>
      </c>
      <c r="AX82" s="38">
        <v>45981</v>
      </c>
      <c r="AY82" s="42"/>
      <c r="AZ82" s="38"/>
      <c r="BA82" s="77"/>
      <c r="BB82" s="77"/>
      <c r="BC82" s="77"/>
      <c r="BE82" s="100">
        <v>45566</v>
      </c>
      <c r="BF82" s="70"/>
      <c r="BG82" s="70"/>
      <c r="BH82" s="71">
        <f>SUM(BH76:BH81)</f>
        <v>21500</v>
      </c>
      <c r="BJ82" s="24">
        <v>3</v>
      </c>
      <c r="BK82" s="18" t="s">
        <v>115</v>
      </c>
      <c r="BL82" s="48">
        <v>45928</v>
      </c>
      <c r="BM82" s="81">
        <v>2500</v>
      </c>
    </row>
    <row r="83" spans="2:65" x14ac:dyDescent="0.3">
      <c r="B83" s="3"/>
      <c r="C83" s="117" t="s">
        <v>1650</v>
      </c>
      <c r="D83" s="39"/>
      <c r="E83" s="38"/>
      <c r="F83" s="42"/>
      <c r="G83" s="38"/>
      <c r="H83" s="42"/>
      <c r="I83" s="38"/>
      <c r="J83" s="42"/>
      <c r="K83" s="38"/>
      <c r="L83" s="42"/>
      <c r="M83" s="38"/>
      <c r="N83" s="42"/>
      <c r="O83" s="38"/>
      <c r="P83" s="42">
        <v>10950</v>
      </c>
      <c r="Q83" s="38">
        <v>45498</v>
      </c>
      <c r="R83" s="42"/>
      <c r="S83" s="38"/>
      <c r="T83" s="42"/>
      <c r="U83" s="38"/>
      <c r="V83" s="42">
        <v>8400</v>
      </c>
      <c r="W83" s="38">
        <v>45566</v>
      </c>
      <c r="X83" s="42">
        <v>500</v>
      </c>
      <c r="Y83" s="38">
        <v>45626</v>
      </c>
      <c r="Z83" s="42"/>
      <c r="AA83" s="352"/>
      <c r="AB83" s="402"/>
      <c r="AC83" s="42"/>
      <c r="AD83" s="38"/>
      <c r="AE83" s="42"/>
      <c r="AF83" s="38"/>
      <c r="AG83" s="42"/>
      <c r="AH83" s="38"/>
      <c r="AI83" s="42">
        <v>13200</v>
      </c>
      <c r="AJ83" s="38">
        <v>45772</v>
      </c>
      <c r="AK83" s="42">
        <v>2000</v>
      </c>
      <c r="AL83" s="38">
        <v>45807</v>
      </c>
      <c r="AM83" s="42"/>
      <c r="AN83" s="38"/>
      <c r="AO83" s="42">
        <v>5000</v>
      </c>
      <c r="AP83" s="38"/>
      <c r="AQ83" s="42"/>
      <c r="AR83" s="38"/>
      <c r="AS83" s="42">
        <v>4620</v>
      </c>
      <c r="AT83" s="38">
        <v>45929</v>
      </c>
      <c r="AU83" s="42">
        <v>18130</v>
      </c>
      <c r="AV83" s="38">
        <v>45952</v>
      </c>
      <c r="AW83" s="42"/>
      <c r="AX83" s="38"/>
      <c r="AY83" s="42"/>
      <c r="AZ83" s="38"/>
      <c r="BA83" s="77"/>
      <c r="BB83" s="77"/>
      <c r="BC83" s="77"/>
      <c r="BJ83" s="24">
        <v>4</v>
      </c>
      <c r="BK83" s="439" t="s">
        <v>952</v>
      </c>
      <c r="BL83" s="48"/>
      <c r="BM83" s="205">
        <v>0</v>
      </c>
    </row>
    <row r="84" spans="2:65" x14ac:dyDescent="0.3">
      <c r="B84" s="3"/>
      <c r="C84" s="117" t="s">
        <v>1127</v>
      </c>
      <c r="D84" s="39"/>
      <c r="E84" s="38"/>
      <c r="F84" s="42"/>
      <c r="G84" s="38"/>
      <c r="H84" s="42"/>
      <c r="I84" s="38"/>
      <c r="J84" s="42"/>
      <c r="K84" s="38"/>
      <c r="L84" s="42"/>
      <c r="M84" s="38"/>
      <c r="N84" s="42"/>
      <c r="O84" s="38"/>
      <c r="P84" s="42"/>
      <c r="Q84" s="38"/>
      <c r="R84" s="42">
        <v>17900</v>
      </c>
      <c r="S84" s="38">
        <v>45509</v>
      </c>
      <c r="T84" s="42"/>
      <c r="U84" s="38"/>
      <c r="V84" s="42"/>
      <c r="W84" s="38"/>
      <c r="X84" s="42"/>
      <c r="Y84" s="38"/>
      <c r="Z84" s="42"/>
      <c r="AA84" s="352"/>
      <c r="AB84" s="402"/>
      <c r="AC84" s="42"/>
      <c r="AD84" s="38"/>
      <c r="AE84" s="42"/>
      <c r="AF84" s="38"/>
      <c r="AG84" s="42"/>
      <c r="AH84" s="38"/>
      <c r="AI84" s="42"/>
      <c r="AJ84" s="38"/>
      <c r="AK84" s="42"/>
      <c r="AL84" s="38"/>
      <c r="AM84" s="42"/>
      <c r="AN84" s="38"/>
      <c r="AO84" s="42"/>
      <c r="AP84" s="38"/>
      <c r="AQ84" s="42"/>
      <c r="AR84" s="38"/>
      <c r="AS84" s="42"/>
      <c r="AT84" s="38"/>
      <c r="AU84" s="42"/>
      <c r="AV84" s="38"/>
      <c r="AW84" s="42"/>
      <c r="AX84" s="38"/>
      <c r="AY84" s="42"/>
      <c r="AZ84" s="38"/>
      <c r="BA84" s="77"/>
      <c r="BB84" s="77"/>
      <c r="BC84" s="77"/>
      <c r="BE84" s="24">
        <v>1</v>
      </c>
      <c r="BF84" s="18" t="s">
        <v>44</v>
      </c>
      <c r="BG84" s="48">
        <v>45606</v>
      </c>
      <c r="BH84" s="81">
        <v>3000</v>
      </c>
      <c r="BJ84" s="24">
        <v>5</v>
      </c>
      <c r="BK84" s="18" t="s">
        <v>1588</v>
      </c>
      <c r="BL84" s="48">
        <v>45901</v>
      </c>
      <c r="BM84" s="447">
        <f>2300+3000+1000</f>
        <v>6300</v>
      </c>
    </row>
    <row r="85" spans="2:65" x14ac:dyDescent="0.3">
      <c r="B85" s="3"/>
      <c r="C85" s="117" t="s">
        <v>1753</v>
      </c>
      <c r="D85" s="39"/>
      <c r="E85" s="38"/>
      <c r="F85" s="42"/>
      <c r="G85" s="38"/>
      <c r="H85" s="42"/>
      <c r="I85" s="38"/>
      <c r="J85" s="42"/>
      <c r="K85" s="38"/>
      <c r="L85" s="42"/>
      <c r="M85" s="38"/>
      <c r="N85" s="42"/>
      <c r="O85" s="38"/>
      <c r="P85" s="42"/>
      <c r="Q85" s="38"/>
      <c r="R85" s="42"/>
      <c r="S85" s="38"/>
      <c r="T85" s="42"/>
      <c r="U85" s="38"/>
      <c r="V85" s="42"/>
      <c r="W85" s="38"/>
      <c r="X85" s="42">
        <f>2250+5500+6320</f>
        <v>14070</v>
      </c>
      <c r="Y85" s="38" t="s">
        <v>1151</v>
      </c>
      <c r="Z85" s="42">
        <v>2500</v>
      </c>
      <c r="AA85" s="352">
        <v>45645</v>
      </c>
      <c r="AB85" s="402"/>
      <c r="AC85" s="42"/>
      <c r="AD85" s="38"/>
      <c r="AE85" s="42"/>
      <c r="AF85" s="38"/>
      <c r="AG85" s="42"/>
      <c r="AH85" s="38"/>
      <c r="AI85" s="42"/>
      <c r="AJ85" s="38"/>
      <c r="AK85" s="42"/>
      <c r="AL85" s="38"/>
      <c r="AM85" s="42"/>
      <c r="AN85" s="38"/>
      <c r="AO85" s="42">
        <v>31945</v>
      </c>
      <c r="AP85" s="38">
        <v>45850</v>
      </c>
      <c r="AQ85" s="42"/>
      <c r="AR85" s="38"/>
      <c r="AS85" s="42"/>
      <c r="AT85" s="38"/>
      <c r="AU85" s="42"/>
      <c r="AV85" s="38"/>
      <c r="AW85" s="42">
        <v>11000</v>
      </c>
      <c r="AX85" s="38">
        <v>45965</v>
      </c>
      <c r="AY85" s="42"/>
      <c r="AZ85" s="38"/>
      <c r="BA85" s="77"/>
      <c r="BB85" s="77"/>
      <c r="BC85" s="77"/>
      <c r="BE85" s="24">
        <v>2</v>
      </c>
      <c r="BF85" s="18" t="s">
        <v>89</v>
      </c>
      <c r="BG85" s="48">
        <v>45606</v>
      </c>
      <c r="BH85" s="81">
        <v>6600</v>
      </c>
      <c r="BJ85" s="24">
        <v>6</v>
      </c>
      <c r="BK85" s="18" t="s">
        <v>1593</v>
      </c>
      <c r="BL85" s="48">
        <v>45928</v>
      </c>
      <c r="BM85" s="81">
        <v>10000</v>
      </c>
    </row>
    <row r="86" spans="2:65" ht="15" thickBot="1" x14ac:dyDescent="0.35">
      <c r="B86" s="3"/>
      <c r="C86" s="117" t="s">
        <v>1752</v>
      </c>
      <c r="D86" s="330"/>
      <c r="E86" s="253"/>
      <c r="F86" s="75"/>
      <c r="G86" s="38"/>
      <c r="H86" s="75"/>
      <c r="I86" s="38"/>
      <c r="J86" s="75"/>
      <c r="K86" s="38"/>
      <c r="L86" s="75"/>
      <c r="M86" s="38"/>
      <c r="N86" s="75"/>
      <c r="O86" s="38"/>
      <c r="P86" s="75"/>
      <c r="Q86" s="38"/>
      <c r="R86" s="75"/>
      <c r="S86" s="38"/>
      <c r="T86" s="75"/>
      <c r="U86" s="38"/>
      <c r="V86" s="75"/>
      <c r="W86" s="38"/>
      <c r="X86" s="75"/>
      <c r="Y86" s="38"/>
      <c r="Z86" s="75"/>
      <c r="AA86" s="352"/>
      <c r="AB86" s="402"/>
      <c r="AC86" s="75">
        <v>25000</v>
      </c>
      <c r="AD86" s="38">
        <v>45660</v>
      </c>
      <c r="AE86" s="75"/>
      <c r="AF86" s="38"/>
      <c r="AG86" s="75"/>
      <c r="AH86" s="38"/>
      <c r="AI86" s="75"/>
      <c r="AJ86" s="38"/>
      <c r="AK86" s="75"/>
      <c r="AL86" s="38"/>
      <c r="AM86" s="75"/>
      <c r="AN86" s="38"/>
      <c r="AO86" s="75">
        <v>17500</v>
      </c>
      <c r="AP86" s="38"/>
      <c r="AQ86" s="75"/>
      <c r="AR86" s="38"/>
      <c r="AS86" s="75"/>
      <c r="AT86" s="38"/>
      <c r="AU86" s="75"/>
      <c r="AV86" s="38"/>
      <c r="AW86" s="75">
        <v>7000</v>
      </c>
      <c r="AX86" s="38">
        <v>45964</v>
      </c>
      <c r="AY86" s="75"/>
      <c r="AZ86" s="38"/>
      <c r="BA86" s="77"/>
      <c r="BB86" s="77"/>
      <c r="BC86" s="77"/>
      <c r="BE86" s="24">
        <v>3</v>
      </c>
      <c r="BF86" s="213" t="s">
        <v>115</v>
      </c>
      <c r="BG86" s="48"/>
      <c r="BH86" s="81"/>
      <c r="BJ86" s="24">
        <v>7</v>
      </c>
      <c r="BK86" s="18" t="s">
        <v>1586</v>
      </c>
      <c r="BL86" s="48">
        <v>45901</v>
      </c>
      <c r="BM86" s="81">
        <v>470</v>
      </c>
    </row>
    <row r="87" spans="2:65" ht="15" thickBot="1" x14ac:dyDescent="0.35">
      <c r="B87" s="44"/>
      <c r="C87" s="118"/>
      <c r="D87" s="126">
        <f>SUM(D76:D86)</f>
        <v>29960</v>
      </c>
      <c r="E87" s="328"/>
      <c r="F87" s="126">
        <f>SUM(F76:F86)</f>
        <v>0</v>
      </c>
      <c r="G87" s="45"/>
      <c r="H87" s="126">
        <f>SUM(H76:H86)</f>
        <v>37790</v>
      </c>
      <c r="I87" s="45"/>
      <c r="J87" s="126">
        <f>SUM(J76:J86)</f>
        <v>22080</v>
      </c>
      <c r="K87" s="45"/>
      <c r="L87" s="126">
        <f>SUM(L76:L86)</f>
        <v>0</v>
      </c>
      <c r="M87" s="45"/>
      <c r="N87" s="126">
        <f>SUM(N76:N86)</f>
        <v>17000</v>
      </c>
      <c r="O87" s="45"/>
      <c r="P87" s="126">
        <f>SUM(P76:P86)</f>
        <v>81170</v>
      </c>
      <c r="Q87" s="45"/>
      <c r="R87" s="126">
        <f>SUM(R76:R86)</f>
        <v>17900</v>
      </c>
      <c r="S87" s="45"/>
      <c r="T87" s="126">
        <f>SUM(T76:T86)</f>
        <v>1500</v>
      </c>
      <c r="U87" s="45"/>
      <c r="V87" s="126">
        <f>SUM(V76:V86)</f>
        <v>23900</v>
      </c>
      <c r="W87" s="45"/>
      <c r="X87" s="126">
        <f>SUM(X76:X86)</f>
        <v>14570</v>
      </c>
      <c r="Y87" s="45"/>
      <c r="Z87" s="126">
        <f>SUM(Z76:Z86)</f>
        <v>2500</v>
      </c>
      <c r="AA87" s="385"/>
      <c r="AB87" s="403"/>
      <c r="AC87" s="396">
        <f>SUM(AC76:AC86)</f>
        <v>42020</v>
      </c>
      <c r="AD87" s="45"/>
      <c r="AE87" s="126">
        <f>SUM(AE76:AE86)</f>
        <v>7080</v>
      </c>
      <c r="AF87" s="45"/>
      <c r="AG87" s="126">
        <f>SUM(AG76:AG86)</f>
        <v>32700</v>
      </c>
      <c r="AH87" s="45"/>
      <c r="AI87" s="126">
        <f>SUM(AI76:AI86)</f>
        <v>123670</v>
      </c>
      <c r="AJ87" s="45"/>
      <c r="AK87" s="126">
        <f>SUM(AK76:AK86)</f>
        <v>2000</v>
      </c>
      <c r="AL87" s="45"/>
      <c r="AM87" s="126">
        <f>SUM(AM76:AM86)</f>
        <v>0</v>
      </c>
      <c r="AN87" s="45"/>
      <c r="AO87" s="126">
        <f>SUM(AO76:AO86)</f>
        <v>131085</v>
      </c>
      <c r="AP87" s="45"/>
      <c r="AQ87" s="126">
        <f>SUM(AQ76:AQ86)</f>
        <v>0</v>
      </c>
      <c r="AR87" s="45"/>
      <c r="AS87" s="126">
        <f>SUM(AS76:AS86)</f>
        <v>49280</v>
      </c>
      <c r="AT87" s="45"/>
      <c r="AU87" s="126">
        <f>SUM(AU76:AU86)</f>
        <v>74020</v>
      </c>
      <c r="AV87" s="45"/>
      <c r="AW87" s="126">
        <f>SUM(AW76:AW86)</f>
        <v>57210</v>
      </c>
      <c r="AX87" s="45"/>
      <c r="AY87" s="126">
        <f>SUM(AY76:AY86)</f>
        <v>11070</v>
      </c>
      <c r="AZ87" s="45"/>
      <c r="BA87" s="474"/>
      <c r="BB87" s="474"/>
      <c r="BC87" s="474"/>
      <c r="BE87" s="24">
        <v>4</v>
      </c>
      <c r="BF87" s="18" t="s">
        <v>952</v>
      </c>
      <c r="BG87" s="48"/>
      <c r="BH87" s="81"/>
      <c r="BJ87" s="24">
        <v>8</v>
      </c>
      <c r="BK87" s="18" t="s">
        <v>1591</v>
      </c>
      <c r="BL87" s="48" t="s">
        <v>1590</v>
      </c>
      <c r="BM87" s="81">
        <v>8500</v>
      </c>
    </row>
    <row r="88" spans="2:65" ht="15" thickTop="1" x14ac:dyDescent="0.3">
      <c r="B88" s="3" t="s">
        <v>129</v>
      </c>
      <c r="C88" s="117" t="s">
        <v>988</v>
      </c>
      <c r="D88" s="159"/>
      <c r="E88" s="94"/>
      <c r="F88" s="106"/>
      <c r="G88" s="94"/>
      <c r="H88" s="106"/>
      <c r="I88" s="94"/>
      <c r="J88" s="106"/>
      <c r="K88" s="94"/>
      <c r="L88" s="106"/>
      <c r="M88" s="94"/>
      <c r="N88" s="106">
        <f>26800+8000</f>
        <v>34800</v>
      </c>
      <c r="O88" s="94" t="s">
        <v>991</v>
      </c>
      <c r="P88" s="106"/>
      <c r="Q88" s="94"/>
      <c r="R88" s="106"/>
      <c r="S88" s="94"/>
      <c r="T88" s="106"/>
      <c r="U88" s="94"/>
      <c r="V88" s="106"/>
      <c r="W88" s="94"/>
      <c r="X88" s="106"/>
      <c r="Y88" s="94"/>
      <c r="Z88" s="106"/>
      <c r="AA88" s="392"/>
      <c r="AB88" s="402"/>
      <c r="AC88" s="106"/>
      <c r="AD88" s="94"/>
      <c r="AE88" s="106"/>
      <c r="AF88" s="94"/>
      <c r="AG88" s="106"/>
      <c r="AH88" s="94"/>
      <c r="AI88" s="106"/>
      <c r="AJ88" s="94"/>
      <c r="AK88" s="106">
        <v>17000</v>
      </c>
      <c r="AL88" s="38">
        <v>45807</v>
      </c>
      <c r="AM88" s="106">
        <v>10000</v>
      </c>
      <c r="AN88" s="38">
        <v>45818</v>
      </c>
      <c r="AO88" s="106"/>
      <c r="AP88" s="38"/>
      <c r="AQ88" s="106"/>
      <c r="AR88" s="38"/>
      <c r="AS88" s="106"/>
      <c r="AT88" s="38"/>
      <c r="AU88" s="106">
        <v>9600</v>
      </c>
      <c r="AV88" s="38">
        <v>45938</v>
      </c>
      <c r="AW88" s="106"/>
      <c r="AX88" s="38"/>
      <c r="AY88" s="106"/>
      <c r="AZ88" s="38"/>
      <c r="BA88" s="77"/>
      <c r="BB88" s="77"/>
      <c r="BC88" s="77"/>
      <c r="BE88" s="24">
        <v>5</v>
      </c>
      <c r="BF88" s="18" t="s">
        <v>1137</v>
      </c>
      <c r="BG88" s="48">
        <v>45606</v>
      </c>
      <c r="BH88" s="81">
        <v>6000</v>
      </c>
      <c r="BJ88" s="24">
        <v>9</v>
      </c>
      <c r="BK88" s="18" t="s">
        <v>1595</v>
      </c>
      <c r="BL88" s="48">
        <v>45916</v>
      </c>
      <c r="BM88" s="81">
        <f>580+300</f>
        <v>880</v>
      </c>
    </row>
    <row r="89" spans="2:65" x14ac:dyDescent="0.3">
      <c r="B89" s="3"/>
      <c r="C89" s="117" t="s">
        <v>130</v>
      </c>
      <c r="D89" s="159"/>
      <c r="E89" s="38"/>
      <c r="F89" s="106"/>
      <c r="G89" s="38"/>
      <c r="H89" s="106"/>
      <c r="I89" s="38"/>
      <c r="J89" s="106"/>
      <c r="K89" s="38"/>
      <c r="L89" s="106"/>
      <c r="M89" s="38"/>
      <c r="N89" s="106">
        <v>12000</v>
      </c>
      <c r="O89" s="38">
        <v>45461</v>
      </c>
      <c r="P89" s="106"/>
      <c r="Q89" s="38"/>
      <c r="R89" s="106"/>
      <c r="S89" s="38"/>
      <c r="T89" s="106"/>
      <c r="U89" s="38"/>
      <c r="V89" s="106"/>
      <c r="W89" s="38"/>
      <c r="X89" s="106"/>
      <c r="Y89" s="38"/>
      <c r="Z89" s="106"/>
      <c r="AA89" s="352"/>
      <c r="AB89" s="402"/>
      <c r="AC89" s="106"/>
      <c r="AD89" s="38"/>
      <c r="AE89" s="106"/>
      <c r="AF89" s="38"/>
      <c r="AG89" s="106"/>
      <c r="AH89" s="38"/>
      <c r="AI89" s="106"/>
      <c r="AJ89" s="38"/>
      <c r="AK89" s="106"/>
      <c r="AL89" s="38"/>
      <c r="AM89" s="106"/>
      <c r="AN89" s="38"/>
      <c r="AO89" s="106"/>
      <c r="AP89" s="38"/>
      <c r="AQ89" s="106"/>
      <c r="AR89" s="38"/>
      <c r="AS89" s="106"/>
      <c r="AT89" s="38"/>
      <c r="AU89" s="106"/>
      <c r="AV89" s="38"/>
      <c r="AW89" s="106"/>
      <c r="AX89" s="38"/>
      <c r="AY89" s="106"/>
      <c r="AZ89" s="38"/>
      <c r="BA89" s="77"/>
      <c r="BB89" s="77"/>
      <c r="BC89" s="77"/>
      <c r="BE89" s="24">
        <v>6</v>
      </c>
      <c r="BF89" s="18"/>
      <c r="BG89" s="48"/>
      <c r="BH89" s="81"/>
      <c r="BJ89" s="448">
        <v>10</v>
      </c>
      <c r="BK89" s="414" t="s">
        <v>886</v>
      </c>
      <c r="BL89" s="48">
        <v>45916</v>
      </c>
      <c r="BM89" s="239">
        <v>2490</v>
      </c>
    </row>
    <row r="90" spans="2:65" x14ac:dyDescent="0.3">
      <c r="B90" s="3"/>
      <c r="C90" s="117" t="s">
        <v>964</v>
      </c>
      <c r="D90" s="159"/>
      <c r="E90" s="38"/>
      <c r="F90" s="106"/>
      <c r="G90" s="38"/>
      <c r="H90" s="106"/>
      <c r="I90" s="38"/>
      <c r="J90" s="106"/>
      <c r="K90" s="38"/>
      <c r="L90" s="106"/>
      <c r="M90" s="38"/>
      <c r="N90" s="106">
        <f>5900+400</f>
        <v>6300</v>
      </c>
      <c r="O90" s="38">
        <v>45463</v>
      </c>
      <c r="P90" s="106"/>
      <c r="Q90" s="38"/>
      <c r="R90" s="106"/>
      <c r="S90" s="38"/>
      <c r="T90" s="106"/>
      <c r="U90" s="38"/>
      <c r="V90" s="106"/>
      <c r="W90" s="38"/>
      <c r="X90" s="106"/>
      <c r="Y90" s="38"/>
      <c r="Z90" s="106"/>
      <c r="AA90" s="352"/>
      <c r="AB90" s="402"/>
      <c r="AC90" s="106"/>
      <c r="AD90" s="38"/>
      <c r="AE90" s="106"/>
      <c r="AF90" s="38"/>
      <c r="AG90" s="106"/>
      <c r="AH90" s="38"/>
      <c r="AI90" s="106"/>
      <c r="AJ90" s="38"/>
      <c r="AK90" s="106"/>
      <c r="AL90" s="38"/>
      <c r="AM90" s="106"/>
      <c r="AN90" s="38"/>
      <c r="AO90" s="106"/>
      <c r="AP90" s="38"/>
      <c r="AQ90" s="106"/>
      <c r="AR90" s="38"/>
      <c r="AS90" s="106"/>
      <c r="AT90" s="38"/>
      <c r="AU90" s="106"/>
      <c r="AV90" s="38"/>
      <c r="AW90" s="106"/>
      <c r="AX90" s="38"/>
      <c r="AY90" s="106"/>
      <c r="AZ90" s="38"/>
      <c r="BA90" s="77"/>
      <c r="BB90" s="77"/>
      <c r="BC90" s="77"/>
      <c r="BE90" s="100">
        <v>45597</v>
      </c>
      <c r="BF90" s="70"/>
      <c r="BG90" s="70"/>
      <c r="BH90" s="71">
        <f>SUM(BH84:BH89)</f>
        <v>15600</v>
      </c>
      <c r="BJ90" s="100">
        <v>45901</v>
      </c>
      <c r="BK90" s="70"/>
      <c r="BL90" s="70"/>
      <c r="BM90" s="71">
        <f>SUM(BM80:BM89)</f>
        <v>50840</v>
      </c>
    </row>
    <row r="91" spans="2:65" x14ac:dyDescent="0.3">
      <c r="B91" s="3"/>
      <c r="C91" s="117" t="s">
        <v>530</v>
      </c>
      <c r="D91" s="159"/>
      <c r="E91" s="38"/>
      <c r="F91" s="106"/>
      <c r="G91" s="38"/>
      <c r="H91" s="106"/>
      <c r="I91" s="38"/>
      <c r="J91" s="106"/>
      <c r="K91" s="38"/>
      <c r="L91" s="106"/>
      <c r="M91" s="38"/>
      <c r="N91" s="106">
        <v>6150</v>
      </c>
      <c r="O91" s="38">
        <v>45450</v>
      </c>
      <c r="P91" s="106"/>
      <c r="Q91" s="38"/>
      <c r="R91" s="106"/>
      <c r="S91" s="38"/>
      <c r="T91" s="106"/>
      <c r="U91" s="38"/>
      <c r="V91" s="106"/>
      <c r="W91" s="38"/>
      <c r="X91" s="106"/>
      <c r="Y91" s="38"/>
      <c r="Z91" s="106"/>
      <c r="AA91" s="352"/>
      <c r="AB91" s="402"/>
      <c r="AC91" s="106"/>
      <c r="AD91" s="38"/>
      <c r="AE91" s="106"/>
      <c r="AF91" s="38"/>
      <c r="AG91" s="106"/>
      <c r="AH91" s="38"/>
      <c r="AI91" s="106"/>
      <c r="AJ91" s="38"/>
      <c r="AK91" s="106"/>
      <c r="AL91" s="38"/>
      <c r="AM91" s="106"/>
      <c r="AN91" s="38"/>
      <c r="AO91" s="106"/>
      <c r="AP91" s="38"/>
      <c r="AQ91" s="106"/>
      <c r="AR91" s="38"/>
      <c r="AS91" s="106"/>
      <c r="AT91" s="38"/>
      <c r="AU91" s="106"/>
      <c r="AV91" s="38"/>
      <c r="AW91" s="106"/>
      <c r="AX91" s="38"/>
      <c r="AY91" s="106"/>
      <c r="AZ91" s="38"/>
      <c r="BA91" s="77"/>
      <c r="BB91" s="77"/>
      <c r="BC91" s="77"/>
    </row>
    <row r="92" spans="2:65" x14ac:dyDescent="0.3">
      <c r="B92" s="3"/>
      <c r="C92" s="117" t="s">
        <v>131</v>
      </c>
      <c r="D92" s="159"/>
      <c r="E92" s="38"/>
      <c r="F92" s="106"/>
      <c r="G92" s="38"/>
      <c r="H92" s="106"/>
      <c r="I92" s="38"/>
      <c r="J92" s="106"/>
      <c r="K92" s="38"/>
      <c r="L92" s="106"/>
      <c r="M92" s="38"/>
      <c r="N92" s="106">
        <f>3000+1500+2300</f>
        <v>6800</v>
      </c>
      <c r="O92" s="38">
        <v>45463</v>
      </c>
      <c r="P92" s="106"/>
      <c r="Q92" s="38"/>
      <c r="R92" s="106"/>
      <c r="S92" s="38"/>
      <c r="T92" s="106"/>
      <c r="U92" s="38"/>
      <c r="V92" s="106"/>
      <c r="W92" s="38"/>
      <c r="X92" s="106"/>
      <c r="Y92" s="38"/>
      <c r="Z92" s="106"/>
      <c r="AA92" s="352"/>
      <c r="AB92" s="402"/>
      <c r="AC92" s="106"/>
      <c r="AD92" s="38"/>
      <c r="AE92" s="106"/>
      <c r="AF92" s="38"/>
      <c r="AG92" s="106"/>
      <c r="AH92" s="38"/>
      <c r="AI92" s="106"/>
      <c r="AJ92" s="38"/>
      <c r="AK92" s="106">
        <v>500</v>
      </c>
      <c r="AL92" s="38">
        <v>45807</v>
      </c>
      <c r="AM92" s="106">
        <f>4000</f>
        <v>4000</v>
      </c>
      <c r="AN92" s="38">
        <v>45818</v>
      </c>
      <c r="AO92" s="106"/>
      <c r="AP92" s="38"/>
      <c r="AQ92" s="106"/>
      <c r="AR92" s="38"/>
      <c r="AS92" s="106"/>
      <c r="AT92" s="38"/>
      <c r="AU92" s="106"/>
      <c r="AV92" s="38"/>
      <c r="AW92" s="106"/>
      <c r="AX92" s="38"/>
      <c r="AY92" s="106"/>
      <c r="AZ92" s="38"/>
      <c r="BA92" s="77"/>
      <c r="BB92" s="77"/>
      <c r="BC92" s="77"/>
      <c r="BE92" s="24">
        <v>1</v>
      </c>
      <c r="BF92" s="18" t="s">
        <v>44</v>
      </c>
      <c r="BG92" s="48">
        <v>45636</v>
      </c>
      <c r="BH92" s="81">
        <v>3000</v>
      </c>
      <c r="BJ92" s="24">
        <v>1</v>
      </c>
      <c r="BK92" s="18" t="s">
        <v>44</v>
      </c>
      <c r="BL92" s="48"/>
      <c r="BM92" s="447"/>
    </row>
    <row r="93" spans="2:65" ht="15" thickBot="1" x14ac:dyDescent="0.35">
      <c r="B93" s="44"/>
      <c r="C93" s="118"/>
      <c r="D93" s="46">
        <f>SUM(D88:D92)</f>
        <v>0</v>
      </c>
      <c r="E93" s="45"/>
      <c r="F93" s="124">
        <f>SUM(F88:F92)</f>
        <v>0</v>
      </c>
      <c r="G93" s="45"/>
      <c r="H93" s="124">
        <f>SUM(H88:H92)</f>
        <v>0</v>
      </c>
      <c r="I93" s="45"/>
      <c r="J93" s="124">
        <f>SUM(J88:J92)</f>
        <v>0</v>
      </c>
      <c r="K93" s="45"/>
      <c r="L93" s="124">
        <f>SUM(L88:L92)</f>
        <v>0</v>
      </c>
      <c r="M93" s="45"/>
      <c r="N93" s="235">
        <f>SUM(N88:N92)</f>
        <v>66050</v>
      </c>
      <c r="O93" s="45"/>
      <c r="P93" s="124">
        <f>SUM(P88:P92)</f>
        <v>0</v>
      </c>
      <c r="Q93" s="45"/>
      <c r="R93" s="124">
        <f>SUM(R88:R92)</f>
        <v>0</v>
      </c>
      <c r="S93" s="45"/>
      <c r="T93" s="124">
        <f>SUM(T88:T92)</f>
        <v>0</v>
      </c>
      <c r="U93" s="45"/>
      <c r="V93" s="124">
        <f>SUM(V88:V92)</f>
        <v>0</v>
      </c>
      <c r="W93" s="45"/>
      <c r="X93" s="124">
        <f>SUM(X88:X92)</f>
        <v>0</v>
      </c>
      <c r="Y93" s="45"/>
      <c r="Z93" s="124">
        <f>SUM(Z88:Z92)</f>
        <v>0</v>
      </c>
      <c r="AA93" s="385"/>
      <c r="AB93" s="403"/>
      <c r="AC93" s="124">
        <f>SUM(AC88:AC92)</f>
        <v>0</v>
      </c>
      <c r="AD93" s="45"/>
      <c r="AE93" s="124">
        <f>SUM(AE88:AE92)</f>
        <v>0</v>
      </c>
      <c r="AF93" s="45"/>
      <c r="AG93" s="124">
        <f>SUM(AG88:AG92)</f>
        <v>0</v>
      </c>
      <c r="AH93" s="45"/>
      <c r="AI93" s="124">
        <f>SUM(AI88:AI92)</f>
        <v>0</v>
      </c>
      <c r="AJ93" s="45"/>
      <c r="AK93" s="124">
        <f>SUM(AK88:AK92)</f>
        <v>17500</v>
      </c>
      <c r="AL93" s="45"/>
      <c r="AM93" s="124">
        <f>SUM(AM88:AM92)</f>
        <v>14000</v>
      </c>
      <c r="AN93" s="45"/>
      <c r="AO93" s="124">
        <f>SUM(AO88:AO92)</f>
        <v>0</v>
      </c>
      <c r="AP93" s="45"/>
      <c r="AQ93" s="124">
        <f>SUM(AQ88:AQ92)</f>
        <v>0</v>
      </c>
      <c r="AR93" s="45"/>
      <c r="AS93" s="124">
        <f>SUM(AS88:AS92)</f>
        <v>0</v>
      </c>
      <c r="AT93" s="45"/>
      <c r="AU93" s="124">
        <f>SUM(AU88:AU92)</f>
        <v>9600</v>
      </c>
      <c r="AV93" s="45"/>
      <c r="AW93" s="124">
        <f>SUM(AW88:AW92)</f>
        <v>0</v>
      </c>
      <c r="AX93" s="45"/>
      <c r="AY93" s="124">
        <f>SUM(AY88:AY92)</f>
        <v>0</v>
      </c>
      <c r="AZ93" s="45"/>
      <c r="BA93" s="474"/>
      <c r="BB93" s="474"/>
      <c r="BC93" s="474"/>
      <c r="BE93" s="24">
        <v>2</v>
      </c>
      <c r="BF93" s="18" t="s">
        <v>89</v>
      </c>
      <c r="BG93" s="48">
        <v>45645</v>
      </c>
      <c r="BH93" s="81">
        <v>7000</v>
      </c>
      <c r="BJ93" s="24">
        <v>2</v>
      </c>
      <c r="BK93" s="18" t="s">
        <v>89</v>
      </c>
      <c r="BL93" s="48">
        <v>45941</v>
      </c>
      <c r="BM93" s="81">
        <v>2220</v>
      </c>
    </row>
    <row r="94" spans="2:65" ht="15" thickTop="1" x14ac:dyDescent="0.3">
      <c r="B94" s="3" t="s">
        <v>291</v>
      </c>
      <c r="C94" s="117" t="s">
        <v>97</v>
      </c>
      <c r="D94" s="39"/>
      <c r="E94" s="38"/>
      <c r="F94" s="42"/>
      <c r="G94" s="38"/>
      <c r="H94" s="42">
        <v>41600</v>
      </c>
      <c r="I94" s="38">
        <v>45379</v>
      </c>
      <c r="J94" s="42"/>
      <c r="K94" s="38"/>
      <c r="L94" s="42"/>
      <c r="M94" s="38"/>
      <c r="N94" s="42"/>
      <c r="O94" s="38"/>
      <c r="P94" s="42"/>
      <c r="Q94" s="38"/>
      <c r="R94" s="42"/>
      <c r="S94" s="38"/>
      <c r="T94" s="42"/>
      <c r="U94" s="38"/>
      <c r="V94" s="42" t="s">
        <v>1141</v>
      </c>
      <c r="W94" s="38"/>
      <c r="X94" s="42" t="s">
        <v>1141</v>
      </c>
      <c r="Y94" s="38"/>
      <c r="Z94" s="42" t="s">
        <v>1141</v>
      </c>
      <c r="AA94" s="352"/>
      <c r="AB94" s="402"/>
      <c r="AC94" s="42"/>
      <c r="AD94" s="38"/>
      <c r="AE94" s="42">
        <f>17000+17000+12000</f>
        <v>46000</v>
      </c>
      <c r="AF94" s="38">
        <v>45716</v>
      </c>
      <c r="AG94" s="42">
        <v>511</v>
      </c>
      <c r="AH94" s="38">
        <v>45718</v>
      </c>
      <c r="AI94" s="42"/>
      <c r="AJ94" s="38"/>
      <c r="AK94" s="42"/>
      <c r="AL94" s="38"/>
      <c r="AM94" s="42"/>
      <c r="AN94" s="38"/>
      <c r="AO94" s="42"/>
      <c r="AP94" s="38"/>
      <c r="AQ94" s="42"/>
      <c r="AR94" s="38"/>
      <c r="AS94" s="42"/>
      <c r="AT94" s="38"/>
      <c r="AU94" s="42"/>
      <c r="AV94" s="38"/>
      <c r="AW94" s="42"/>
      <c r="AX94" s="38"/>
      <c r="AY94" s="42"/>
      <c r="AZ94" s="38"/>
      <c r="BA94" s="77"/>
      <c r="BB94" s="77"/>
      <c r="BC94" s="77"/>
      <c r="BE94" s="24">
        <v>3</v>
      </c>
      <c r="BF94" s="213" t="s">
        <v>115</v>
      </c>
      <c r="BG94" s="48">
        <v>45645</v>
      </c>
      <c r="BH94" s="81">
        <v>2500</v>
      </c>
      <c r="BJ94" s="24">
        <v>3</v>
      </c>
      <c r="BK94" s="18" t="s">
        <v>115</v>
      </c>
      <c r="BL94" s="48">
        <v>45951</v>
      </c>
      <c r="BM94" s="81">
        <v>2500</v>
      </c>
    </row>
    <row r="95" spans="2:65" x14ac:dyDescent="0.3">
      <c r="B95" s="3"/>
      <c r="C95" s="122" t="s">
        <v>1258</v>
      </c>
      <c r="D95" s="39"/>
      <c r="E95" s="38"/>
      <c r="F95" s="42"/>
      <c r="G95" s="38"/>
      <c r="H95" s="42">
        <v>5050</v>
      </c>
      <c r="I95" s="38">
        <v>45366</v>
      </c>
      <c r="J95" s="42"/>
      <c r="K95" s="38"/>
      <c r="L95" s="42"/>
      <c r="M95" s="38"/>
      <c r="N95" s="42"/>
      <c r="O95" s="38"/>
      <c r="P95" s="42"/>
      <c r="Q95" s="38"/>
      <c r="R95" s="42"/>
      <c r="S95" s="38"/>
      <c r="T95" s="42"/>
      <c r="U95" s="38"/>
      <c r="V95" s="42"/>
      <c r="W95" s="38"/>
      <c r="X95" s="42"/>
      <c r="Y95" s="38"/>
      <c r="Z95" s="42"/>
      <c r="AA95" s="352"/>
      <c r="AB95" s="402"/>
      <c r="AC95" s="42"/>
      <c r="AD95" s="38"/>
      <c r="AE95" s="42">
        <v>5400</v>
      </c>
      <c r="AF95" s="38">
        <v>45715</v>
      </c>
      <c r="AG95" s="42">
        <v>3500</v>
      </c>
      <c r="AH95" s="38">
        <v>45717</v>
      </c>
      <c r="AI95" s="42"/>
      <c r="AJ95" s="38"/>
      <c r="AK95" s="42"/>
      <c r="AL95" s="38"/>
      <c r="AM95" s="42"/>
      <c r="AN95" s="38"/>
      <c r="AO95" s="42"/>
      <c r="AP95" s="38"/>
      <c r="AQ95" s="42"/>
      <c r="AR95" s="38"/>
      <c r="AS95" s="42"/>
      <c r="AT95" s="38"/>
      <c r="AU95" s="42"/>
      <c r="AV95" s="38"/>
      <c r="AW95" s="42"/>
      <c r="AX95" s="38"/>
      <c r="AY95" s="42"/>
      <c r="AZ95" s="38"/>
      <c r="BA95" s="77"/>
      <c r="BB95" s="77"/>
      <c r="BC95" s="77"/>
      <c r="BE95" s="24">
        <v>4</v>
      </c>
      <c r="BF95" s="18" t="s">
        <v>952</v>
      </c>
      <c r="BG95" s="48">
        <v>45636</v>
      </c>
      <c r="BH95" s="81">
        <v>7610</v>
      </c>
      <c r="BJ95" s="24">
        <v>4</v>
      </c>
      <c r="BK95" s="439" t="s">
        <v>952</v>
      </c>
      <c r="BL95" s="48">
        <v>45937</v>
      </c>
      <c r="BM95" s="205">
        <v>9080</v>
      </c>
    </row>
    <row r="96" spans="2:65" x14ac:dyDescent="0.3">
      <c r="B96" s="3"/>
      <c r="C96" t="s">
        <v>1259</v>
      </c>
      <c r="D96" s="39"/>
      <c r="E96" s="38"/>
      <c r="F96" s="42"/>
      <c r="G96" s="38"/>
      <c r="H96" s="42">
        <v>23500</v>
      </c>
      <c r="I96" s="38">
        <v>45366</v>
      </c>
      <c r="J96" s="42"/>
      <c r="K96" s="38"/>
      <c r="L96" s="42"/>
      <c r="M96" s="38"/>
      <c r="N96" s="42"/>
      <c r="O96" s="38"/>
      <c r="P96" s="42"/>
      <c r="Q96" s="38"/>
      <c r="R96" s="42"/>
      <c r="S96" s="38"/>
      <c r="T96" s="42"/>
      <c r="U96" s="38"/>
      <c r="V96" s="42"/>
      <c r="W96" s="38"/>
      <c r="X96" s="42"/>
      <c r="Y96" s="38"/>
      <c r="Z96" s="42"/>
      <c r="AA96" s="352"/>
      <c r="AB96" s="402"/>
      <c r="AC96" s="42"/>
      <c r="AD96" s="38"/>
      <c r="AE96" s="42"/>
      <c r="AF96" s="38"/>
      <c r="AG96" s="42">
        <v>1950</v>
      </c>
      <c r="AH96" s="38">
        <v>45717</v>
      </c>
      <c r="AI96" s="42"/>
      <c r="AJ96" s="38"/>
      <c r="AK96" s="42"/>
      <c r="AL96" s="38"/>
      <c r="AM96" s="42"/>
      <c r="AN96" s="38"/>
      <c r="AO96" s="42"/>
      <c r="AP96" s="38"/>
      <c r="AQ96" s="42"/>
      <c r="AR96" s="38"/>
      <c r="AS96" s="42"/>
      <c r="AT96" s="38"/>
      <c r="AU96" s="42"/>
      <c r="AV96" s="38"/>
      <c r="AW96" s="42"/>
      <c r="AX96" s="38"/>
      <c r="AY96" s="42"/>
      <c r="AZ96" s="38"/>
      <c r="BA96" s="77"/>
      <c r="BB96" s="77"/>
      <c r="BC96" s="77"/>
      <c r="BE96" s="24">
        <v>5</v>
      </c>
      <c r="BF96" s="18" t="s">
        <v>1157</v>
      </c>
      <c r="BG96" s="48"/>
      <c r="BH96" s="81">
        <v>500</v>
      </c>
      <c r="BJ96" s="24">
        <v>5</v>
      </c>
      <c r="BK96" s="18" t="s">
        <v>1649</v>
      </c>
      <c r="BL96" s="48">
        <v>45951</v>
      </c>
      <c r="BM96" s="81">
        <v>10000</v>
      </c>
    </row>
    <row r="97" spans="2:65" x14ac:dyDescent="0.3">
      <c r="B97" s="3"/>
      <c r="C97" s="117" t="s">
        <v>1265</v>
      </c>
      <c r="D97" s="159"/>
      <c r="E97" s="38"/>
      <c r="F97" s="106"/>
      <c r="G97" s="38"/>
      <c r="H97" s="106"/>
      <c r="I97" s="38"/>
      <c r="J97" s="106">
        <f>-Naveed!AL130-Naveed!AL132-Naveed!AL133-Naveed!AL134</f>
        <v>27460</v>
      </c>
      <c r="K97" s="38">
        <v>45388</v>
      </c>
      <c r="L97" s="106"/>
      <c r="M97" s="38"/>
      <c r="N97" s="106"/>
      <c r="O97" s="38"/>
      <c r="P97" s="106"/>
      <c r="Q97" s="38"/>
      <c r="R97" s="106"/>
      <c r="S97" s="38"/>
      <c r="T97" s="106"/>
      <c r="U97" s="38"/>
      <c r="V97" s="106"/>
      <c r="W97" s="38"/>
      <c r="X97" s="106"/>
      <c r="Y97" s="38"/>
      <c r="Z97" s="106"/>
      <c r="AA97" s="352"/>
      <c r="AB97" s="402"/>
      <c r="AC97" s="106"/>
      <c r="AD97" s="38"/>
      <c r="AE97" s="106"/>
      <c r="AF97" s="38"/>
      <c r="AG97" s="106">
        <v>14600</v>
      </c>
      <c r="AH97" s="38">
        <v>45742</v>
      </c>
      <c r="AI97" s="106"/>
      <c r="AJ97" s="38"/>
      <c r="AK97" s="106"/>
      <c r="AL97" s="38"/>
      <c r="AM97" s="106"/>
      <c r="AN97" s="38"/>
      <c r="AO97" s="106"/>
      <c r="AP97" s="38"/>
      <c r="AQ97" s="106"/>
      <c r="AR97" s="38"/>
      <c r="AS97" s="106"/>
      <c r="AT97" s="38"/>
      <c r="AU97" s="106"/>
      <c r="AV97" s="38"/>
      <c r="AW97" s="106"/>
      <c r="AX97" s="38"/>
      <c r="AY97" s="106"/>
      <c r="AZ97" s="38"/>
      <c r="BA97" s="77"/>
      <c r="BB97" s="77"/>
      <c r="BC97" s="77"/>
      <c r="BE97" s="24">
        <v>6</v>
      </c>
      <c r="BF97" s="18"/>
      <c r="BG97" s="48"/>
      <c r="BH97" s="81"/>
      <c r="BJ97" s="24">
        <v>6</v>
      </c>
      <c r="BK97" s="414" t="s">
        <v>1652</v>
      </c>
      <c r="BL97" s="48">
        <v>45956</v>
      </c>
      <c r="BM97" s="239">
        <v>6000</v>
      </c>
    </row>
    <row r="98" spans="2:65" x14ac:dyDescent="0.3">
      <c r="B98" s="3"/>
      <c r="C98" s="117" t="s">
        <v>98</v>
      </c>
      <c r="D98" s="282"/>
      <c r="E98" s="38"/>
      <c r="F98" s="204"/>
      <c r="G98" s="38"/>
      <c r="H98" s="204"/>
      <c r="I98" s="38"/>
      <c r="J98" s="204">
        <f>-Naveed!AL131</f>
        <v>30000</v>
      </c>
      <c r="K98" s="38">
        <v>45388</v>
      </c>
      <c r="L98" s="204"/>
      <c r="M98" s="38"/>
      <c r="N98" s="204"/>
      <c r="O98" s="38"/>
      <c r="P98" s="204"/>
      <c r="Q98" s="38"/>
      <c r="R98" s="204"/>
      <c r="S98" s="38"/>
      <c r="T98" s="204"/>
      <c r="U98" s="38"/>
      <c r="V98" s="204"/>
      <c r="W98" s="38"/>
      <c r="X98" s="204"/>
      <c r="Y98" s="38"/>
      <c r="Z98" s="204"/>
      <c r="AA98" s="352"/>
      <c r="AB98" s="402"/>
      <c r="AC98" s="204"/>
      <c r="AD98" s="38"/>
      <c r="AE98" s="204"/>
      <c r="AF98" s="38"/>
      <c r="AG98" s="125">
        <v>35000</v>
      </c>
      <c r="AH98" s="38">
        <v>45744</v>
      </c>
      <c r="AI98" s="125"/>
      <c r="AJ98" s="38"/>
      <c r="AK98" s="125"/>
      <c r="AL98" s="38"/>
      <c r="AM98" s="125"/>
      <c r="AN98" s="38"/>
      <c r="AO98" s="125"/>
      <c r="AP98" s="38"/>
      <c r="AQ98" s="125"/>
      <c r="AR98" s="38"/>
      <c r="AS98" s="125"/>
      <c r="AT98" s="38"/>
      <c r="AU98" s="125"/>
      <c r="AV98" s="38"/>
      <c r="AW98" s="125"/>
      <c r="AX98" s="38"/>
      <c r="AY98" s="125"/>
      <c r="AZ98" s="38"/>
      <c r="BA98" s="77"/>
      <c r="BB98" s="77"/>
      <c r="BC98" s="77"/>
      <c r="BE98" s="100">
        <v>45627</v>
      </c>
      <c r="BF98" s="70"/>
      <c r="BG98" s="70"/>
      <c r="BH98" s="71">
        <f>SUM(BH92:BH97)</f>
        <v>20610</v>
      </c>
      <c r="BJ98" s="100">
        <v>45931</v>
      </c>
      <c r="BK98" s="70"/>
      <c r="BL98" s="70"/>
      <c r="BM98" s="71">
        <f>SUM(BM92:BM97)</f>
        <v>29800</v>
      </c>
    </row>
    <row r="99" spans="2:65" x14ac:dyDescent="0.3">
      <c r="B99" s="3"/>
      <c r="C99" s="117" t="s">
        <v>1266</v>
      </c>
      <c r="D99" s="39"/>
      <c r="E99" s="38"/>
      <c r="F99" s="42"/>
      <c r="G99" s="38"/>
      <c r="H99" s="42"/>
      <c r="I99" s="38"/>
      <c r="J99" s="42">
        <v>63000</v>
      </c>
      <c r="K99" s="38">
        <v>45392</v>
      </c>
      <c r="L99" s="42"/>
      <c r="M99" s="38"/>
      <c r="N99" s="42"/>
      <c r="O99" s="38"/>
      <c r="P99" s="42"/>
      <c r="Q99" s="38"/>
      <c r="R99" s="42"/>
      <c r="S99" s="38"/>
      <c r="T99" s="42"/>
      <c r="U99" s="38"/>
      <c r="V99" s="42"/>
      <c r="W99" s="38"/>
      <c r="X99" s="42"/>
      <c r="Y99" s="38"/>
      <c r="Z99" s="42"/>
      <c r="AA99" s="352"/>
      <c r="AB99" s="402"/>
      <c r="AC99" s="42"/>
      <c r="AD99" s="38"/>
      <c r="AE99" s="42"/>
      <c r="AF99" s="38"/>
      <c r="AG99" s="42">
        <f>85000+7000</f>
        <v>92000</v>
      </c>
      <c r="AH99" s="38">
        <v>45747</v>
      </c>
      <c r="AI99" s="42"/>
      <c r="AJ99" s="38"/>
      <c r="AK99" s="42"/>
      <c r="AL99" s="38"/>
      <c r="AM99" s="42"/>
      <c r="AN99" s="38"/>
      <c r="AO99" s="42"/>
      <c r="AP99" s="38"/>
      <c r="AQ99" s="42"/>
      <c r="AR99" s="38"/>
      <c r="AS99" s="42"/>
      <c r="AT99" s="38"/>
      <c r="AU99" s="42"/>
      <c r="AV99" s="38"/>
      <c r="AW99" s="42"/>
      <c r="AX99" s="38"/>
      <c r="AY99" s="42"/>
      <c r="AZ99" s="38"/>
      <c r="BA99" s="77"/>
      <c r="BB99" s="77"/>
      <c r="BC99" s="77"/>
      <c r="BJ99" s="24"/>
      <c r="BK99" s="18"/>
      <c r="BL99" s="48"/>
      <c r="BM99" s="81"/>
    </row>
    <row r="100" spans="2:65" ht="15" thickBot="1" x14ac:dyDescent="0.35">
      <c r="B100" s="44"/>
      <c r="C100" s="118"/>
      <c r="D100" s="126">
        <f>SUM(D94:D99)</f>
        <v>0</v>
      </c>
      <c r="E100" s="45"/>
      <c r="F100" s="126">
        <f>SUM(F94:F99)</f>
        <v>0</v>
      </c>
      <c r="G100" s="45"/>
      <c r="H100" s="126">
        <f>SUM(H94:H99)</f>
        <v>70150</v>
      </c>
      <c r="I100" s="45"/>
      <c r="J100" s="126">
        <f>SUM(J94:J99)</f>
        <v>120460</v>
      </c>
      <c r="K100" s="45"/>
      <c r="L100" s="126">
        <f>SUM(L94:L99)</f>
        <v>0</v>
      </c>
      <c r="M100" s="45"/>
      <c r="N100" s="126">
        <f>SUM(N94:N99)</f>
        <v>0</v>
      </c>
      <c r="O100" s="45"/>
      <c r="P100" s="126">
        <f>SUM(P94:P99)</f>
        <v>0</v>
      </c>
      <c r="Q100" s="45"/>
      <c r="R100" s="126">
        <f>SUM(R94:R99)</f>
        <v>0</v>
      </c>
      <c r="S100" s="45"/>
      <c r="T100" s="126">
        <f>SUM(T94:T99)</f>
        <v>0</v>
      </c>
      <c r="U100" s="45"/>
      <c r="V100" s="126">
        <f>SUM(V94:V99)</f>
        <v>0</v>
      </c>
      <c r="W100" s="45"/>
      <c r="X100" s="126">
        <f>SUM(X94:X99)</f>
        <v>0</v>
      </c>
      <c r="Y100" s="45"/>
      <c r="Z100" s="126">
        <f>SUM(Z94:Z99)</f>
        <v>0</v>
      </c>
      <c r="AA100" s="385"/>
      <c r="AB100" s="403"/>
      <c r="AC100" s="396">
        <f>SUM(AC94:AC99)</f>
        <v>0</v>
      </c>
      <c r="AD100" s="45"/>
      <c r="AE100" s="126">
        <f>SUM(AE94:AE99)</f>
        <v>51400</v>
      </c>
      <c r="AF100" s="45"/>
      <c r="AG100" s="126">
        <f>SUM(AG94:AG99)</f>
        <v>147561</v>
      </c>
      <c r="AH100" s="45"/>
      <c r="AI100" s="126">
        <f>SUM(AI94:AI99)</f>
        <v>0</v>
      </c>
      <c r="AJ100" s="45"/>
      <c r="AK100" s="126">
        <f>SUM(AK94:AK99)</f>
        <v>0</v>
      </c>
      <c r="AL100" s="45"/>
      <c r="AM100" s="126">
        <f>SUM(AM94:AM99)</f>
        <v>0</v>
      </c>
      <c r="AN100" s="45"/>
      <c r="AO100" s="126">
        <f>SUM(AO94:AO99)</f>
        <v>0</v>
      </c>
      <c r="AP100" s="45"/>
      <c r="AQ100" s="126">
        <f>SUM(AQ94:AQ99)</f>
        <v>0</v>
      </c>
      <c r="AR100" s="45"/>
      <c r="AS100" s="126">
        <f>SUM(AS94:AS99)</f>
        <v>0</v>
      </c>
      <c r="AT100" s="45"/>
      <c r="AU100" s="126">
        <f>SUM(AU94:AU99)</f>
        <v>0</v>
      </c>
      <c r="AV100" s="45"/>
      <c r="AW100" s="126">
        <f>SUM(AW94:AW99)</f>
        <v>0</v>
      </c>
      <c r="AX100" s="45"/>
      <c r="AY100" s="126">
        <f>SUM(AY94:AY99)</f>
        <v>0</v>
      </c>
      <c r="AZ100" s="45"/>
      <c r="BA100" s="474"/>
      <c r="BB100" s="474"/>
      <c r="BC100" s="474"/>
      <c r="BJ100" s="24">
        <v>1</v>
      </c>
      <c r="BK100" s="18" t="s">
        <v>44</v>
      </c>
      <c r="BL100" s="48">
        <v>45965</v>
      </c>
      <c r="BM100" s="447">
        <v>3000</v>
      </c>
    </row>
    <row r="101" spans="2:65" ht="15" thickTop="1" x14ac:dyDescent="0.3">
      <c r="B101" s="3" t="s">
        <v>133</v>
      </c>
      <c r="C101" s="121"/>
      <c r="D101" s="170"/>
      <c r="E101" s="5"/>
      <c r="F101" s="91"/>
      <c r="G101" s="5"/>
      <c r="H101" s="91"/>
      <c r="I101" s="5"/>
      <c r="J101" s="91"/>
      <c r="K101" s="5"/>
      <c r="L101" s="91"/>
      <c r="M101" s="5"/>
      <c r="N101" s="91"/>
      <c r="O101" s="5"/>
      <c r="P101" s="91"/>
      <c r="Q101" s="5"/>
      <c r="R101" s="91"/>
      <c r="S101" s="5"/>
      <c r="T101" s="91"/>
      <c r="U101" s="5"/>
      <c r="V101" s="91"/>
      <c r="W101" s="5"/>
      <c r="X101" s="91"/>
      <c r="Y101" s="5"/>
      <c r="Z101" s="91"/>
      <c r="AA101" s="393"/>
      <c r="AB101" s="403"/>
      <c r="AC101" s="91"/>
      <c r="AD101" s="5"/>
      <c r="AE101" s="91"/>
      <c r="AF101" s="5"/>
      <c r="AG101" s="91"/>
      <c r="AH101" s="5"/>
      <c r="AI101" s="91"/>
      <c r="AJ101" s="5"/>
      <c r="AK101" s="91"/>
      <c r="AL101" s="5"/>
      <c r="AM101" s="91"/>
      <c r="AN101" s="5"/>
      <c r="AO101" s="91"/>
      <c r="AP101" s="5"/>
      <c r="AQ101" s="91"/>
      <c r="AR101" s="5"/>
      <c r="AS101" s="91"/>
      <c r="AT101" s="5"/>
      <c r="AU101" s="91"/>
      <c r="AV101" s="5"/>
      <c r="AW101" s="91"/>
      <c r="AX101" s="5"/>
      <c r="AY101" s="91"/>
      <c r="AZ101" s="5"/>
      <c r="BJ101" s="24">
        <v>2</v>
      </c>
      <c r="BK101" s="18" t="s">
        <v>89</v>
      </c>
      <c r="BL101" s="48">
        <v>45977</v>
      </c>
      <c r="BM101" s="81">
        <v>2110</v>
      </c>
    </row>
    <row r="102" spans="2:65" x14ac:dyDescent="0.3">
      <c r="B102" s="3" t="s">
        <v>1130</v>
      </c>
      <c r="C102" s="121"/>
      <c r="D102" s="39"/>
      <c r="E102" s="38"/>
      <c r="F102" s="42"/>
      <c r="G102" s="38"/>
      <c r="H102" s="42"/>
      <c r="I102" s="38"/>
      <c r="J102" s="42">
        <v>3500</v>
      </c>
      <c r="K102" s="38">
        <v>45392</v>
      </c>
      <c r="L102" s="42"/>
      <c r="M102" s="38"/>
      <c r="N102" s="42">
        <v>25000</v>
      </c>
      <c r="O102" s="38">
        <v>45468</v>
      </c>
      <c r="P102" s="42"/>
      <c r="Q102" s="38"/>
      <c r="R102" s="42">
        <v>21000</v>
      </c>
      <c r="S102" s="38">
        <v>45530</v>
      </c>
      <c r="T102" s="42">
        <v>8000</v>
      </c>
      <c r="U102" s="38">
        <v>45538</v>
      </c>
      <c r="V102" s="42"/>
      <c r="W102" s="38"/>
      <c r="X102" s="42"/>
      <c r="Y102" s="38"/>
      <c r="Z102" s="42"/>
      <c r="AA102" s="352"/>
      <c r="AB102" s="402"/>
      <c r="AC102" s="42"/>
      <c r="AD102" s="38"/>
      <c r="AE102" s="42"/>
      <c r="AF102" s="38"/>
      <c r="AG102" s="42"/>
      <c r="AH102" s="38"/>
      <c r="AI102" s="42"/>
      <c r="AJ102" s="38"/>
      <c r="AK102" s="42"/>
      <c r="AL102" s="38"/>
      <c r="AM102" s="42"/>
      <c r="AN102" s="38"/>
      <c r="AO102" s="42"/>
      <c r="AP102" s="38"/>
      <c r="AQ102" s="42">
        <f>5000+12000</f>
        <v>17000</v>
      </c>
      <c r="AR102" s="38">
        <v>45884</v>
      </c>
      <c r="AS102" s="42">
        <f>4300+1000</f>
        <v>5300</v>
      </c>
      <c r="AT102" s="38">
        <v>45919</v>
      </c>
      <c r="AU102" s="42"/>
      <c r="AV102" s="38"/>
      <c r="AW102" s="42"/>
      <c r="AX102" s="38"/>
      <c r="AY102" s="42"/>
      <c r="AZ102" s="38"/>
      <c r="BA102" s="77"/>
      <c r="BB102" s="77"/>
      <c r="BC102" s="77"/>
      <c r="BJ102" s="24">
        <v>3</v>
      </c>
      <c r="BK102" s="18" t="s">
        <v>115</v>
      </c>
      <c r="BL102" s="48">
        <v>45974</v>
      </c>
      <c r="BM102" s="81">
        <v>2500</v>
      </c>
    </row>
    <row r="103" spans="2:65" x14ac:dyDescent="0.3">
      <c r="B103" s="3" t="s">
        <v>1257</v>
      </c>
      <c r="C103" s="121"/>
      <c r="D103" s="39"/>
      <c r="E103" s="38"/>
      <c r="F103" s="42"/>
      <c r="G103" s="38"/>
      <c r="H103" s="42"/>
      <c r="I103" s="38"/>
      <c r="J103" s="42"/>
      <c r="K103" s="38"/>
      <c r="L103" s="42"/>
      <c r="M103" s="38"/>
      <c r="N103" s="42"/>
      <c r="O103" s="38"/>
      <c r="P103" s="42"/>
      <c r="Q103" s="38"/>
      <c r="R103" s="42"/>
      <c r="S103" s="38"/>
      <c r="T103" s="42"/>
      <c r="U103" s="38"/>
      <c r="V103" s="42"/>
      <c r="W103" s="38"/>
      <c r="X103" s="42"/>
      <c r="Y103" s="38"/>
      <c r="Z103" s="42"/>
      <c r="AA103" s="352"/>
      <c r="AB103" s="402"/>
      <c r="AC103" s="42"/>
      <c r="AD103" s="38"/>
      <c r="AE103" s="42"/>
      <c r="AF103" s="38"/>
      <c r="AG103" s="42">
        <v>420000</v>
      </c>
      <c r="AH103" s="38">
        <v>45747</v>
      </c>
      <c r="AI103" s="42"/>
      <c r="AJ103" s="38"/>
      <c r="AK103" s="42"/>
      <c r="AL103" s="38"/>
      <c r="AM103" s="42"/>
      <c r="AN103" s="38"/>
      <c r="AO103" s="42"/>
      <c r="AP103" s="38"/>
      <c r="AQ103" s="42"/>
      <c r="AR103" s="38"/>
      <c r="AS103" s="42"/>
      <c r="AT103" s="38"/>
      <c r="AU103" s="42"/>
      <c r="AV103" s="38"/>
      <c r="AW103" s="42"/>
      <c r="AX103" s="38"/>
      <c r="AY103" s="42"/>
      <c r="AZ103" s="38"/>
      <c r="BA103" s="77"/>
      <c r="BB103" s="77"/>
      <c r="BC103" s="77"/>
      <c r="BJ103" s="24">
        <v>4</v>
      </c>
      <c r="BK103" s="439" t="s">
        <v>952</v>
      </c>
      <c r="BL103" s="48">
        <v>45966</v>
      </c>
      <c r="BM103" s="205">
        <v>2040</v>
      </c>
    </row>
    <row r="104" spans="2:65" ht="15" thickBot="1" x14ac:dyDescent="0.35">
      <c r="B104" s="44"/>
      <c r="C104" s="118"/>
      <c r="D104" s="126">
        <f>SUM(D101:D103)</f>
        <v>0</v>
      </c>
      <c r="E104" s="45"/>
      <c r="F104" s="126">
        <f>SUM(F101:F103)</f>
        <v>0</v>
      </c>
      <c r="G104" s="45"/>
      <c r="H104" s="126">
        <f>SUM(H101:H103)</f>
        <v>0</v>
      </c>
      <c r="I104" s="45"/>
      <c r="J104" s="126">
        <f>SUM(J101:J103)</f>
        <v>3500</v>
      </c>
      <c r="K104" s="45"/>
      <c r="L104" s="126">
        <f>SUM(L101:L103)</f>
        <v>0</v>
      </c>
      <c r="M104" s="45"/>
      <c r="N104" s="126">
        <f>SUM(N101:N103)</f>
        <v>25000</v>
      </c>
      <c r="O104" s="45"/>
      <c r="P104" s="126">
        <f>SUM(P101:P103)</f>
        <v>0</v>
      </c>
      <c r="Q104" s="45"/>
      <c r="R104" s="126">
        <f>SUM(R101:R103)</f>
        <v>21000</v>
      </c>
      <c r="S104" s="45"/>
      <c r="T104" s="126">
        <f>SUM(T101:T103)</f>
        <v>8000</v>
      </c>
      <c r="U104" s="45"/>
      <c r="V104" s="126">
        <f>SUM(V101:V103)</f>
        <v>0</v>
      </c>
      <c r="W104" s="45"/>
      <c r="X104" s="126">
        <f>SUM(X101:X103)</f>
        <v>0</v>
      </c>
      <c r="Y104" s="45"/>
      <c r="Z104" s="126">
        <f>SUM(Z101:Z103)</f>
        <v>0</v>
      </c>
      <c r="AA104" s="385"/>
      <c r="AB104" s="403"/>
      <c r="AC104" s="396">
        <f>SUM(AC101:AC103)</f>
        <v>0</v>
      </c>
      <c r="AD104" s="45"/>
      <c r="AE104" s="126">
        <f>SUM(AE101:AE103)</f>
        <v>0</v>
      </c>
      <c r="AF104" s="45"/>
      <c r="AG104" s="126">
        <f>SUM(AG101:AG103)</f>
        <v>420000</v>
      </c>
      <c r="AH104" s="45"/>
      <c r="AI104" s="126">
        <f>SUM(AI101:AI103)</f>
        <v>0</v>
      </c>
      <c r="AJ104" s="45"/>
      <c r="AK104" s="126">
        <f>SUM(AK101:AK103)</f>
        <v>0</v>
      </c>
      <c r="AL104" s="45"/>
      <c r="AM104" s="126">
        <f>SUM(AM101:AM103)</f>
        <v>0</v>
      </c>
      <c r="AN104" s="45"/>
      <c r="AO104" s="126">
        <f>SUM(AO101:AO103)</f>
        <v>0</v>
      </c>
      <c r="AP104" s="45"/>
      <c r="AQ104" s="126">
        <f>SUM(AQ101:AQ103)</f>
        <v>17000</v>
      </c>
      <c r="AR104" s="45"/>
      <c r="AS104" s="126">
        <f>SUM(AS101:AS103)</f>
        <v>5300</v>
      </c>
      <c r="AT104" s="45"/>
      <c r="AU104" s="126">
        <f>SUM(AU101:AU103)</f>
        <v>0</v>
      </c>
      <c r="AV104" s="45"/>
      <c r="AW104" s="126">
        <f>SUM(AW101:AW103)</f>
        <v>0</v>
      </c>
      <c r="AX104" s="45"/>
      <c r="AY104" s="126">
        <f>SUM(AY101:AY103)</f>
        <v>0</v>
      </c>
      <c r="AZ104" s="45"/>
      <c r="BA104" s="474"/>
      <c r="BB104" s="474"/>
      <c r="BC104" s="474"/>
      <c r="BJ104" s="24">
        <v>5</v>
      </c>
      <c r="BK104" s="18" t="s">
        <v>1649</v>
      </c>
      <c r="BL104" s="48">
        <v>45974</v>
      </c>
      <c r="BM104" s="81">
        <v>10000</v>
      </c>
    </row>
    <row r="105" spans="2:65" ht="15.6" thickTop="1" thickBot="1" x14ac:dyDescent="0.35">
      <c r="B105" s="3" t="s">
        <v>1409</v>
      </c>
      <c r="C105" s="121"/>
      <c r="D105" s="410"/>
      <c r="E105" s="327"/>
      <c r="F105" s="410"/>
      <c r="G105" s="45"/>
      <c r="H105" s="410"/>
      <c r="I105" s="45"/>
      <c r="J105" s="410"/>
      <c r="K105" s="45"/>
      <c r="L105" s="410"/>
      <c r="M105" s="45"/>
      <c r="N105" s="410"/>
      <c r="O105" s="45"/>
      <c r="P105" s="410"/>
      <c r="Q105" s="45"/>
      <c r="R105" s="410"/>
      <c r="S105" s="45"/>
      <c r="T105" s="410"/>
      <c r="U105" s="45"/>
      <c r="V105" s="410"/>
      <c r="W105" s="45"/>
      <c r="X105" s="410"/>
      <c r="Y105" s="45"/>
      <c r="Z105" s="410"/>
      <c r="AA105" s="385"/>
      <c r="AB105" s="403"/>
      <c r="AC105" s="91"/>
      <c r="AD105" s="5"/>
      <c r="AE105" s="91"/>
      <c r="AF105" s="5"/>
      <c r="AG105" s="91"/>
      <c r="AH105" s="5"/>
      <c r="AI105" s="91"/>
      <c r="AJ105" s="5"/>
      <c r="AK105" s="91"/>
      <c r="AL105" s="5"/>
      <c r="AM105" s="91"/>
      <c r="AN105" s="5"/>
      <c r="AO105" s="91">
        <f>2100000+460000+50000+17500</f>
        <v>2627500</v>
      </c>
      <c r="AP105" s="5"/>
      <c r="AQ105" s="91"/>
      <c r="AR105" s="5"/>
      <c r="AS105" s="91"/>
      <c r="AT105" s="5"/>
      <c r="AU105" s="91"/>
      <c r="AV105" s="5"/>
      <c r="AW105" s="91"/>
      <c r="AX105" s="5"/>
      <c r="AY105" s="91"/>
      <c r="AZ105" s="5"/>
      <c r="BJ105" s="24">
        <v>6</v>
      </c>
      <c r="BK105" s="414" t="s">
        <v>1757</v>
      </c>
      <c r="BL105" s="48">
        <v>45973</v>
      </c>
      <c r="BM105" s="239">
        <v>1500</v>
      </c>
    </row>
    <row r="106" spans="2:65" ht="15.6" thickTop="1" thickBot="1" x14ac:dyDescent="0.35">
      <c r="B106" s="3" t="s">
        <v>1410</v>
      </c>
      <c r="C106" s="121"/>
      <c r="D106" s="410"/>
      <c r="E106" s="327"/>
      <c r="F106" s="410"/>
      <c r="G106" s="45"/>
      <c r="H106" s="410"/>
      <c r="I106" s="45"/>
      <c r="J106" s="410"/>
      <c r="K106" s="45"/>
      <c r="L106" s="410"/>
      <c r="M106" s="45"/>
      <c r="N106" s="410"/>
      <c r="O106" s="45"/>
      <c r="P106" s="410"/>
      <c r="Q106" s="45"/>
      <c r="R106" s="410"/>
      <c r="S106" s="45"/>
      <c r="T106" s="410"/>
      <c r="U106" s="45"/>
      <c r="V106" s="410"/>
      <c r="W106" s="45"/>
      <c r="X106" s="410"/>
      <c r="Y106" s="45"/>
      <c r="Z106" s="410"/>
      <c r="AA106" s="385"/>
      <c r="AB106" s="403"/>
      <c r="AC106" s="42"/>
      <c r="AD106" s="38"/>
      <c r="AE106" s="136">
        <v>25000</v>
      </c>
      <c r="AF106" s="38">
        <v>45690</v>
      </c>
      <c r="AG106" s="42"/>
      <c r="AH106" s="38"/>
      <c r="AI106" s="42"/>
      <c r="AJ106" s="38"/>
      <c r="AK106" s="42"/>
      <c r="AL106" s="38"/>
      <c r="AM106" s="42"/>
      <c r="AN106" s="38"/>
      <c r="AO106" s="42"/>
      <c r="AP106" s="38"/>
      <c r="AQ106" s="42"/>
      <c r="AR106" s="38"/>
      <c r="AS106" s="42"/>
      <c r="AT106" s="38"/>
      <c r="AU106" s="42"/>
      <c r="AV106" s="38"/>
      <c r="AW106" s="42"/>
      <c r="AX106" s="38"/>
      <c r="AY106" s="42"/>
      <c r="AZ106" s="38"/>
      <c r="BA106" s="77"/>
      <c r="BB106" s="77"/>
      <c r="BC106" s="77"/>
      <c r="BJ106" s="100">
        <v>45962</v>
      </c>
      <c r="BK106" s="70"/>
      <c r="BL106" s="70"/>
      <c r="BM106" s="71">
        <f>SUM(BM100:BM105)</f>
        <v>21150</v>
      </c>
    </row>
    <row r="107" spans="2:65" ht="15.6" thickTop="1" thickBot="1" x14ac:dyDescent="0.35">
      <c r="B107" s="3" t="s">
        <v>1447</v>
      </c>
      <c r="C107" s="121"/>
      <c r="D107" s="410"/>
      <c r="E107" s="327"/>
      <c r="F107" s="410"/>
      <c r="G107" s="45"/>
      <c r="H107" s="410"/>
      <c r="I107" s="45"/>
      <c r="J107" s="410"/>
      <c r="K107" s="45"/>
      <c r="L107" s="410"/>
      <c r="M107" s="45"/>
      <c r="N107" s="410"/>
      <c r="O107" s="45"/>
      <c r="P107" s="410"/>
      <c r="Q107" s="45"/>
      <c r="R107" s="410"/>
      <c r="S107" s="45"/>
      <c r="T107" s="410"/>
      <c r="U107" s="45"/>
      <c r="V107" s="410"/>
      <c r="W107" s="45"/>
      <c r="X107" s="410"/>
      <c r="Y107" s="45"/>
      <c r="Z107" s="410"/>
      <c r="AA107" s="385"/>
      <c r="AB107" s="403"/>
      <c r="AC107" s="42"/>
      <c r="AD107" s="38"/>
      <c r="AE107" s="42"/>
      <c r="AF107" s="38"/>
      <c r="AG107" s="42"/>
      <c r="AH107" s="38"/>
      <c r="AI107" s="42"/>
      <c r="AJ107" s="38"/>
      <c r="AK107" s="42"/>
      <c r="AL107" s="38"/>
      <c r="AM107" s="42"/>
      <c r="AN107" s="38"/>
      <c r="AO107" s="42">
        <f>215000+23000</f>
        <v>238000</v>
      </c>
      <c r="AP107" s="38">
        <v>45890</v>
      </c>
      <c r="AQ107" s="42"/>
      <c r="AR107" s="38"/>
      <c r="AS107" s="42"/>
      <c r="AT107" s="38"/>
      <c r="AU107" s="42"/>
      <c r="AV107" s="38"/>
      <c r="AW107" s="42"/>
      <c r="AX107" s="38"/>
      <c r="AY107" s="42"/>
      <c r="AZ107" s="38"/>
      <c r="BA107" s="77"/>
      <c r="BB107" s="77"/>
      <c r="BC107" s="77"/>
    </row>
    <row r="108" spans="2:65" ht="15.6" thickTop="1" thickBot="1" x14ac:dyDescent="0.35">
      <c r="B108" s="78" t="s">
        <v>1439</v>
      </c>
      <c r="C108" s="409"/>
      <c r="D108" s="410"/>
      <c r="E108" s="327"/>
      <c r="F108" s="410"/>
      <c r="G108" s="45"/>
      <c r="H108" s="410"/>
      <c r="I108" s="45"/>
      <c r="J108" s="410"/>
      <c r="K108" s="45"/>
      <c r="L108" s="410"/>
      <c r="M108" s="45"/>
      <c r="N108" s="410"/>
      <c r="O108" s="45"/>
      <c r="P108" s="410"/>
      <c r="Q108" s="45"/>
      <c r="R108" s="410"/>
      <c r="S108" s="45"/>
      <c r="T108" s="410"/>
      <c r="U108" s="45"/>
      <c r="V108" s="410"/>
      <c r="W108" s="45"/>
      <c r="X108" s="410"/>
      <c r="Y108" s="45"/>
      <c r="Z108" s="410"/>
      <c r="AA108" s="385"/>
      <c r="AB108" s="403"/>
      <c r="AC108" s="75"/>
      <c r="AD108" s="94"/>
      <c r="AE108" s="75"/>
      <c r="AF108" s="94"/>
      <c r="AG108" s="75"/>
      <c r="AH108" s="94"/>
      <c r="AI108" s="75"/>
      <c r="AJ108" s="94"/>
      <c r="AK108" s="75"/>
      <c r="AL108" s="94"/>
      <c r="AM108" s="75"/>
      <c r="AN108" s="94"/>
      <c r="AO108" s="75">
        <v>15000</v>
      </c>
      <c r="AP108" s="94"/>
      <c r="AQ108" s="75"/>
      <c r="AR108" s="94"/>
      <c r="AS108" s="75"/>
      <c r="AT108" s="94"/>
      <c r="AU108" s="75"/>
      <c r="AV108" s="94"/>
      <c r="AW108" s="75"/>
      <c r="AX108" s="94"/>
      <c r="AY108" s="75"/>
      <c r="AZ108" s="94"/>
      <c r="BA108" s="77"/>
      <c r="BB108" s="77"/>
      <c r="BC108" s="77"/>
      <c r="BJ108" s="24">
        <v>1</v>
      </c>
      <c r="BK108" s="18" t="s">
        <v>44</v>
      </c>
      <c r="BL108" s="48">
        <v>46016</v>
      </c>
      <c r="BM108" s="447">
        <v>3000</v>
      </c>
    </row>
    <row r="109" spans="2:65" ht="15.6" thickTop="1" thickBot="1" x14ac:dyDescent="0.35">
      <c r="B109" s="44"/>
      <c r="C109" s="118"/>
      <c r="D109" s="126">
        <f>SUM(D105:D107)</f>
        <v>0</v>
      </c>
      <c r="E109" s="45"/>
      <c r="F109" s="126">
        <f>SUM(F105:F107)</f>
        <v>0</v>
      </c>
      <c r="G109" s="45"/>
      <c r="H109" s="126">
        <f>SUM(H105:H107)</f>
        <v>0</v>
      </c>
      <c r="I109" s="45"/>
      <c r="J109" s="126">
        <f>SUM(J105:J107)</f>
        <v>0</v>
      </c>
      <c r="K109" s="45"/>
      <c r="L109" s="126">
        <f>SUM(L105:L107)</f>
        <v>0</v>
      </c>
      <c r="M109" s="45"/>
      <c r="N109" s="126">
        <f>SUM(N105:N107)</f>
        <v>0</v>
      </c>
      <c r="O109" s="45"/>
      <c r="P109" s="126">
        <f>SUM(P105:P107)</f>
        <v>0</v>
      </c>
      <c r="Q109" s="45"/>
      <c r="R109" s="126">
        <f>SUM(R105:R107)</f>
        <v>0</v>
      </c>
      <c r="S109" s="45"/>
      <c r="T109" s="126">
        <f>SUM(T105:T107)</f>
        <v>0</v>
      </c>
      <c r="U109" s="45"/>
      <c r="V109" s="126">
        <f>SUM(V105:V107)</f>
        <v>0</v>
      </c>
      <c r="W109" s="45"/>
      <c r="X109" s="126">
        <f>SUM(X105:X107)</f>
        <v>0</v>
      </c>
      <c r="Y109" s="45"/>
      <c r="Z109" s="126">
        <f>SUM(Z105:Z107)</f>
        <v>0</v>
      </c>
      <c r="AA109" s="385"/>
      <c r="AB109" s="403"/>
      <c r="AC109" s="396">
        <f>SUM(AC105:AC107)</f>
        <v>0</v>
      </c>
      <c r="AD109" s="45"/>
      <c r="AE109" s="126">
        <f>SUM(AE105:AE107)</f>
        <v>25000</v>
      </c>
      <c r="AF109" s="45"/>
      <c r="AG109" s="126">
        <f>SUM(AG105:AG107)</f>
        <v>0</v>
      </c>
      <c r="AH109" s="45"/>
      <c r="AI109" s="126">
        <f>SUM(AI105:AI107)</f>
        <v>0</v>
      </c>
      <c r="AJ109" s="45"/>
      <c r="AK109" s="126">
        <f>SUM(AK105:AK107)</f>
        <v>0</v>
      </c>
      <c r="AL109" s="45"/>
      <c r="AM109" s="126">
        <f>SUM(AM105:AM107)</f>
        <v>0</v>
      </c>
      <c r="AN109" s="45"/>
      <c r="AO109" s="126">
        <f>SUM(AO105:AO108)</f>
        <v>2880500</v>
      </c>
      <c r="AP109" s="45"/>
      <c r="AQ109" s="126">
        <f>SUM(AQ105:AQ108)</f>
        <v>0</v>
      </c>
      <c r="AR109" s="45"/>
      <c r="AS109" s="126">
        <f>SUM(AS105:AS108)</f>
        <v>0</v>
      </c>
      <c r="AT109" s="45"/>
      <c r="AU109" s="126">
        <f>SUM(AU105:AU108)</f>
        <v>0</v>
      </c>
      <c r="AV109" s="45"/>
      <c r="AW109" s="126">
        <f>SUM(AW105:AW108)</f>
        <v>0</v>
      </c>
      <c r="AX109" s="45"/>
      <c r="AY109" s="126">
        <f>SUM(AY105:AY108)</f>
        <v>0</v>
      </c>
      <c r="AZ109" s="45"/>
      <c r="BA109" s="474"/>
      <c r="BB109" s="474"/>
      <c r="BC109" s="474"/>
      <c r="BJ109" s="24">
        <v>2</v>
      </c>
      <c r="BK109" s="18" t="s">
        <v>89</v>
      </c>
      <c r="BL109" s="48">
        <v>45995</v>
      </c>
      <c r="BM109" s="81">
        <f>7390+220</f>
        <v>7610</v>
      </c>
    </row>
    <row r="110" spans="2:65" ht="15" thickTop="1" x14ac:dyDescent="0.3">
      <c r="B110" s="78" t="s">
        <v>1414</v>
      </c>
      <c r="C110" s="78" t="s">
        <v>1412</v>
      </c>
      <c r="D110" s="136"/>
      <c r="E110" s="214"/>
      <c r="F110" s="136"/>
      <c r="G110" s="214"/>
      <c r="H110" s="136">
        <v>15900</v>
      </c>
      <c r="I110" s="38">
        <v>45368</v>
      </c>
      <c r="J110" s="136"/>
      <c r="K110" s="214"/>
      <c r="L110" s="136"/>
      <c r="M110" s="214"/>
      <c r="N110" s="136"/>
      <c r="O110" s="214"/>
      <c r="P110" s="136"/>
      <c r="Q110" s="214"/>
      <c r="R110" s="136"/>
      <c r="S110" s="214"/>
      <c r="T110" s="136"/>
      <c r="U110" s="214"/>
      <c r="V110" s="136"/>
      <c r="W110" s="214"/>
      <c r="X110" s="136"/>
      <c r="Y110" s="214"/>
      <c r="Z110" s="136"/>
      <c r="AA110" s="390"/>
      <c r="AB110" s="407"/>
      <c r="AC110" s="125"/>
      <c r="AD110" s="214"/>
      <c r="AE110" s="136">
        <v>220000</v>
      </c>
      <c r="AF110" s="38">
        <v>45708</v>
      </c>
      <c r="AG110" s="79"/>
      <c r="AH110" s="94"/>
      <c r="AI110" s="79"/>
      <c r="AJ110" s="94"/>
      <c r="AK110" s="79"/>
      <c r="AL110" s="94"/>
      <c r="AM110" s="79"/>
      <c r="AN110" s="94"/>
      <c r="AO110" s="79">
        <f>2500+270000+150000</f>
        <v>422500</v>
      </c>
      <c r="AP110" s="38">
        <v>45846</v>
      </c>
      <c r="AQ110" s="79"/>
      <c r="AR110" s="38"/>
      <c r="AS110" s="79"/>
      <c r="AT110" s="38"/>
      <c r="AU110" s="79"/>
      <c r="AV110" s="38"/>
      <c r="AW110" s="79"/>
      <c r="AX110" s="38"/>
      <c r="AY110" s="79"/>
      <c r="AZ110" s="38"/>
      <c r="BA110" s="77"/>
      <c r="BB110" s="77"/>
      <c r="BC110" s="77"/>
      <c r="BJ110" s="24">
        <v>3</v>
      </c>
      <c r="BK110" s="18" t="s">
        <v>115</v>
      </c>
      <c r="BL110" s="48">
        <v>46016</v>
      </c>
      <c r="BM110" s="81">
        <v>2500</v>
      </c>
    </row>
    <row r="111" spans="2:65" ht="15" thickBot="1" x14ac:dyDescent="0.35">
      <c r="B111" s="78" t="s">
        <v>1592</v>
      </c>
      <c r="C111" s="78" t="s">
        <v>1759</v>
      </c>
      <c r="D111" s="410"/>
      <c r="E111" s="327"/>
      <c r="F111" s="410"/>
      <c r="G111" s="45"/>
      <c r="H111" s="410"/>
      <c r="I111" s="45"/>
      <c r="J111" s="410"/>
      <c r="K111" s="45"/>
      <c r="L111" s="410"/>
      <c r="M111" s="45"/>
      <c r="N111" s="410"/>
      <c r="O111" s="45"/>
      <c r="P111" s="410"/>
      <c r="Q111" s="45"/>
      <c r="R111" s="410"/>
      <c r="S111" s="45"/>
      <c r="T111" s="410"/>
      <c r="U111" s="45"/>
      <c r="V111" s="410"/>
      <c r="W111" s="45"/>
      <c r="X111" s="410"/>
      <c r="Y111" s="45"/>
      <c r="Z111" s="410"/>
      <c r="AA111" s="385"/>
      <c r="AB111" s="403"/>
      <c r="AC111" s="79"/>
      <c r="AD111" s="94"/>
      <c r="AE111" s="79"/>
      <c r="AF111" s="94"/>
      <c r="AG111" s="79"/>
      <c r="AH111" s="94"/>
      <c r="AI111" s="79"/>
      <c r="AJ111" s="94"/>
      <c r="AK111" s="79"/>
      <c r="AL111" s="94"/>
      <c r="AM111" s="79"/>
      <c r="AN111" s="94"/>
      <c r="AO111" s="318">
        <v>80000</v>
      </c>
      <c r="AP111" s="94"/>
      <c r="AQ111" s="79">
        <f>36000+88000</f>
        <v>124000</v>
      </c>
      <c r="AR111" s="38">
        <v>45884</v>
      </c>
      <c r="AS111" s="79">
        <v>18000</v>
      </c>
      <c r="AT111" s="38">
        <v>45928</v>
      </c>
      <c r="AU111" s="79">
        <v>65000</v>
      </c>
      <c r="AV111" s="38">
        <v>45943</v>
      </c>
      <c r="AW111" s="79">
        <v>109000</v>
      </c>
      <c r="AX111" s="38">
        <v>45983</v>
      </c>
      <c r="AY111" s="79"/>
      <c r="AZ111" s="38"/>
      <c r="BA111" s="77"/>
      <c r="BB111" s="77"/>
      <c r="BC111" s="77"/>
      <c r="BJ111" s="24">
        <v>4</v>
      </c>
      <c r="BK111" s="439" t="s">
        <v>952</v>
      </c>
      <c r="BL111" s="48"/>
      <c r="BM111" s="205"/>
    </row>
    <row r="112" spans="2:65" ht="15.6" thickTop="1" thickBot="1" x14ac:dyDescent="0.35">
      <c r="B112" s="44"/>
      <c r="C112" s="118"/>
      <c r="D112" s="126">
        <f>SUM(D109:D111)</f>
        <v>0</v>
      </c>
      <c r="E112" s="45"/>
      <c r="F112" s="126">
        <f>SUM(F109:F111)</f>
        <v>0</v>
      </c>
      <c r="G112" s="45"/>
      <c r="H112" s="126">
        <f>SUM(H109:H111)</f>
        <v>15900</v>
      </c>
      <c r="I112" s="45"/>
      <c r="J112" s="126">
        <f>SUM(J109:J111)</f>
        <v>0</v>
      </c>
      <c r="K112" s="45"/>
      <c r="L112" s="126">
        <f>SUM(L109:L111)</f>
        <v>0</v>
      </c>
      <c r="M112" s="45"/>
      <c r="N112" s="126">
        <f>SUM(N109:N111)</f>
        <v>0</v>
      </c>
      <c r="O112" s="45"/>
      <c r="P112" s="126">
        <f>SUM(P109:P111)</f>
        <v>0</v>
      </c>
      <c r="Q112" s="45"/>
      <c r="R112" s="126">
        <f>SUM(R109:R111)</f>
        <v>0</v>
      </c>
      <c r="S112" s="45"/>
      <c r="T112" s="126">
        <f>SUM(T109:T111)</f>
        <v>0</v>
      </c>
      <c r="U112" s="45"/>
      <c r="V112" s="126">
        <f>SUM(V109:V111)</f>
        <v>0</v>
      </c>
      <c r="W112" s="45"/>
      <c r="X112" s="126">
        <f>SUM(X109:X111)</f>
        <v>0</v>
      </c>
      <c r="Y112" s="45"/>
      <c r="Z112" s="126">
        <f>SUM(Z109:Z111)</f>
        <v>0</v>
      </c>
      <c r="AA112" s="385"/>
      <c r="AB112" s="403"/>
      <c r="AC112" s="396">
        <f>SUM(AC110:AC111)</f>
        <v>0</v>
      </c>
      <c r="AD112" s="45"/>
      <c r="AE112" s="396">
        <f>SUM(AE110:AE111)</f>
        <v>220000</v>
      </c>
      <c r="AF112" s="45"/>
      <c r="AG112" s="396">
        <f>SUM(AG110:AG111)</f>
        <v>0</v>
      </c>
      <c r="AH112" s="45"/>
      <c r="AI112" s="396">
        <f>SUM(AI110:AI111)</f>
        <v>0</v>
      </c>
      <c r="AJ112" s="45"/>
      <c r="AK112" s="396">
        <f>SUM(AK110:AK111)</f>
        <v>0</v>
      </c>
      <c r="AL112" s="45"/>
      <c r="AM112" s="396">
        <f>SUM(AM110:AM111)</f>
        <v>0</v>
      </c>
      <c r="AN112" s="45"/>
      <c r="AO112" s="396">
        <f>SUM(AO110:AO111)</f>
        <v>502500</v>
      </c>
      <c r="AP112" s="45"/>
      <c r="AQ112" s="396">
        <f>SUM(AQ110:AQ111)</f>
        <v>124000</v>
      </c>
      <c r="AR112" s="45"/>
      <c r="AS112" s="396">
        <f>SUM(AS110:AS111)</f>
        <v>18000</v>
      </c>
      <c r="AT112" s="45"/>
      <c r="AU112" s="396">
        <f>SUM(AU110:AU111)</f>
        <v>65000</v>
      </c>
      <c r="AV112" s="45"/>
      <c r="AW112" s="396">
        <f>SUM(AW110:AW111)</f>
        <v>109000</v>
      </c>
      <c r="AX112" s="45"/>
      <c r="AY112" s="396">
        <f>SUM(AY110:AY111)</f>
        <v>0</v>
      </c>
      <c r="AZ112" s="45"/>
      <c r="BA112" s="474"/>
      <c r="BB112" s="474"/>
      <c r="BC112" s="474"/>
      <c r="BJ112" s="24">
        <v>5</v>
      </c>
      <c r="BK112" s="18" t="s">
        <v>1649</v>
      </c>
      <c r="BL112" s="48">
        <v>46016</v>
      </c>
      <c r="BM112" s="81">
        <v>10000</v>
      </c>
    </row>
    <row r="113" spans="2:65" ht="15.6" thickTop="1" thickBot="1" x14ac:dyDescent="0.35">
      <c r="B113" s="454" t="s">
        <v>1645</v>
      </c>
      <c r="C113" s="455"/>
      <c r="D113" s="410"/>
      <c r="E113" s="327"/>
      <c r="F113" s="410"/>
      <c r="G113" s="45"/>
      <c r="H113" s="410"/>
      <c r="I113" s="45"/>
      <c r="J113" s="410"/>
      <c r="K113" s="45"/>
      <c r="L113" s="410"/>
      <c r="M113" s="45"/>
      <c r="N113" s="410"/>
      <c r="O113" s="45"/>
      <c r="P113" s="410"/>
      <c r="Q113" s="45"/>
      <c r="R113" s="410"/>
      <c r="S113" s="45"/>
      <c r="T113" s="410"/>
      <c r="U113" s="45"/>
      <c r="V113" s="410"/>
      <c r="W113" s="45"/>
      <c r="X113" s="410"/>
      <c r="Y113" s="45"/>
      <c r="Z113" s="410"/>
      <c r="AA113" s="385"/>
      <c r="AB113" s="403"/>
      <c r="AC113" s="456"/>
      <c r="AD113" s="457"/>
      <c r="AE113" s="456"/>
      <c r="AF113" s="457"/>
      <c r="AG113" s="456"/>
      <c r="AH113" s="457"/>
      <c r="AI113" s="456"/>
      <c r="AJ113" s="457"/>
      <c r="AK113" s="456"/>
      <c r="AL113" s="457"/>
      <c r="AM113" s="456"/>
      <c r="AN113" s="457"/>
      <c r="AO113" s="456"/>
      <c r="AP113" s="457"/>
      <c r="AQ113" s="456"/>
      <c r="AR113" s="457"/>
      <c r="AS113" s="456"/>
      <c r="AT113" s="457"/>
      <c r="AU113" s="458">
        <f>23300+15000</f>
        <v>38300</v>
      </c>
      <c r="AV113" s="38">
        <v>45934</v>
      </c>
      <c r="AW113" s="458"/>
      <c r="AX113" s="38"/>
      <c r="AY113" s="458"/>
      <c r="AZ113" s="38"/>
      <c r="BA113" s="77"/>
      <c r="BB113" s="77"/>
      <c r="BC113" s="77"/>
      <c r="BJ113" s="24">
        <v>6</v>
      </c>
      <c r="BK113" s="414" t="s">
        <v>1762</v>
      </c>
      <c r="BL113" s="48">
        <v>46002</v>
      </c>
      <c r="BM113" s="239">
        <v>3800</v>
      </c>
    </row>
    <row r="114" spans="2:65" ht="15.6" thickTop="1" thickBot="1" x14ac:dyDescent="0.35">
      <c r="B114" s="78" t="s">
        <v>1413</v>
      </c>
      <c r="C114" s="409"/>
      <c r="D114" s="410"/>
      <c r="E114" s="327"/>
      <c r="F114" s="410"/>
      <c r="G114" s="45"/>
      <c r="H114" s="410"/>
      <c r="I114" s="45"/>
      <c r="J114" s="410"/>
      <c r="K114" s="45"/>
      <c r="L114" s="410"/>
      <c r="M114" s="45"/>
      <c r="N114" s="410"/>
      <c r="O114" s="45"/>
      <c r="P114" s="410"/>
      <c r="Q114" s="45"/>
      <c r="R114" s="410"/>
      <c r="S114" s="45"/>
      <c r="T114" s="410"/>
      <c r="U114" s="45"/>
      <c r="V114" s="410"/>
      <c r="W114" s="45"/>
      <c r="X114" s="410"/>
      <c r="Y114" s="45"/>
      <c r="Z114" s="410"/>
      <c r="AA114" s="385"/>
      <c r="AB114" s="403"/>
      <c r="AC114" s="79"/>
      <c r="AD114" s="94"/>
      <c r="AE114" s="79"/>
      <c r="AF114" s="94"/>
      <c r="AG114" s="79">
        <v>350000</v>
      </c>
      <c r="AH114" s="38">
        <v>45735</v>
      </c>
      <c r="AI114" s="79"/>
      <c r="AJ114" s="94"/>
      <c r="AK114" s="79"/>
      <c r="AL114" s="94"/>
      <c r="AM114" s="79"/>
      <c r="AN114" s="94"/>
      <c r="AO114" s="79"/>
      <c r="AP114" s="94"/>
      <c r="AQ114" s="79"/>
      <c r="AR114" s="94"/>
      <c r="AS114" s="79"/>
      <c r="AT114" s="94"/>
      <c r="AU114" s="79"/>
      <c r="AV114" s="94"/>
      <c r="AW114" s="79"/>
      <c r="AX114" s="94"/>
      <c r="AY114" s="79"/>
      <c r="AZ114" s="94"/>
      <c r="BA114" s="77"/>
      <c r="BB114" s="77"/>
      <c r="BC114" s="77"/>
      <c r="BJ114" s="24">
        <v>7</v>
      </c>
      <c r="BK114" s="414" t="s">
        <v>886</v>
      </c>
      <c r="BL114" s="48">
        <v>46016</v>
      </c>
      <c r="BM114" s="239">
        <v>3000</v>
      </c>
    </row>
    <row r="115" spans="2:65" ht="15.6" thickTop="1" thickBot="1" x14ac:dyDescent="0.35">
      <c r="B115" s="78" t="s">
        <v>1424</v>
      </c>
      <c r="C115" s="409"/>
      <c r="D115" s="410"/>
      <c r="E115" s="327"/>
      <c r="F115" s="410"/>
      <c r="G115" s="45"/>
      <c r="H115" s="410"/>
      <c r="I115" s="45"/>
      <c r="J115" s="410"/>
      <c r="K115" s="45"/>
      <c r="L115" s="410"/>
      <c r="M115" s="45"/>
      <c r="N115" s="410"/>
      <c r="O115" s="45"/>
      <c r="P115" s="410"/>
      <c r="Q115" s="45"/>
      <c r="R115" s="410"/>
      <c r="S115" s="45"/>
      <c r="T115" s="410"/>
      <c r="U115" s="45"/>
      <c r="V115" s="410"/>
      <c r="W115" s="45"/>
      <c r="X115" s="410"/>
      <c r="Y115" s="45"/>
      <c r="Z115" s="410"/>
      <c r="AA115" s="385"/>
      <c r="AB115" s="403"/>
      <c r="AC115" s="79"/>
      <c r="AD115" s="94"/>
      <c r="AE115" s="79"/>
      <c r="AF115" s="94"/>
      <c r="AG115" s="79"/>
      <c r="AH115" s="94"/>
      <c r="AI115" s="79">
        <v>20600</v>
      </c>
      <c r="AJ115" s="94"/>
      <c r="AK115" s="79">
        <f>80000+70000</f>
        <v>150000</v>
      </c>
      <c r="AL115" s="94"/>
      <c r="AM115" s="79"/>
      <c r="AN115" s="94"/>
      <c r="AO115" s="79"/>
      <c r="AP115" s="94"/>
      <c r="AQ115" s="79"/>
      <c r="AR115" s="94"/>
      <c r="AS115" s="79"/>
      <c r="AT115" s="94"/>
      <c r="AU115" s="79"/>
      <c r="AV115" s="94"/>
      <c r="AW115" s="79"/>
      <c r="AX115" s="94"/>
      <c r="AY115" s="79"/>
      <c r="AZ115" s="94"/>
      <c r="BA115" s="77"/>
      <c r="BB115" s="77"/>
      <c r="BC115" s="77"/>
      <c r="BJ115" s="100">
        <v>45992</v>
      </c>
      <c r="BK115" s="70"/>
      <c r="BL115" s="70"/>
      <c r="BM115" s="71">
        <f>SUM(BM108:BM114)</f>
        <v>29910</v>
      </c>
    </row>
    <row r="116" spans="2:65" ht="15.6" thickTop="1" thickBot="1" x14ac:dyDescent="0.35">
      <c r="B116" s="44"/>
      <c r="C116" s="118"/>
      <c r="D116" s="126">
        <f>SUM(D112:D115)</f>
        <v>0</v>
      </c>
      <c r="E116" s="45"/>
      <c r="F116" s="126">
        <f>SUM(F112:F115)</f>
        <v>0</v>
      </c>
      <c r="G116" s="45"/>
      <c r="H116" s="126">
        <f>SUM(H112:H115)</f>
        <v>15900</v>
      </c>
      <c r="I116" s="45"/>
      <c r="J116" s="126">
        <f>SUM(J112:J115)</f>
        <v>0</v>
      </c>
      <c r="K116" s="45"/>
      <c r="L116" s="126">
        <f>SUM(L112:L115)</f>
        <v>0</v>
      </c>
      <c r="M116" s="45"/>
      <c r="N116" s="126">
        <f>SUM(N112:N115)</f>
        <v>0</v>
      </c>
      <c r="O116" s="45"/>
      <c r="P116" s="126">
        <f>SUM(P112:P115)</f>
        <v>0</v>
      </c>
      <c r="Q116" s="45"/>
      <c r="R116" s="126">
        <f>SUM(R112:R115)</f>
        <v>0</v>
      </c>
      <c r="S116" s="45"/>
      <c r="T116" s="126">
        <f>SUM(T112:T115)</f>
        <v>0</v>
      </c>
      <c r="U116" s="45"/>
      <c r="V116" s="126">
        <f>SUM(V112:V115)</f>
        <v>0</v>
      </c>
      <c r="W116" s="45"/>
      <c r="X116" s="126">
        <f>SUM(X112:X115)</f>
        <v>0</v>
      </c>
      <c r="Y116" s="45"/>
      <c r="Z116" s="126">
        <f>SUM(Z112:Z115)</f>
        <v>0</v>
      </c>
      <c r="AA116" s="385"/>
      <c r="AB116" s="403"/>
      <c r="AC116" s="396">
        <f>SUM(AC114:AC115)</f>
        <v>0</v>
      </c>
      <c r="AD116" s="45"/>
      <c r="AE116" s="396">
        <f>SUM(AE114:AE115)</f>
        <v>0</v>
      </c>
      <c r="AF116" s="45"/>
      <c r="AG116" s="396">
        <f>SUM(AG114:AG115)</f>
        <v>350000</v>
      </c>
      <c r="AH116" s="45"/>
      <c r="AI116" s="396">
        <f>SUM(AI114:AI115)</f>
        <v>20600</v>
      </c>
      <c r="AJ116" s="45"/>
      <c r="AK116" s="396">
        <f>SUM(AK114:AK115)</f>
        <v>150000</v>
      </c>
      <c r="AL116" s="45"/>
      <c r="AM116" s="396">
        <f>SUM(AM114:AM115)</f>
        <v>0</v>
      </c>
      <c r="AN116" s="45"/>
      <c r="AO116" s="396">
        <f>SUM(AO114:AO115)</f>
        <v>0</v>
      </c>
      <c r="AP116" s="45"/>
      <c r="AQ116" s="396">
        <f>SUM(AQ114:AQ115)</f>
        <v>0</v>
      </c>
      <c r="AR116" s="45"/>
      <c r="AS116" s="396">
        <f>SUM(AS114:AS115)</f>
        <v>0</v>
      </c>
      <c r="AT116" s="45"/>
      <c r="AU116" s="396">
        <f>SUM(AU113:AU115)</f>
        <v>38300</v>
      </c>
      <c r="AV116" s="45"/>
      <c r="AW116" s="396">
        <f>SUM(AW113:AW115)</f>
        <v>0</v>
      </c>
      <c r="AX116" s="45"/>
      <c r="AY116" s="396">
        <f>SUM(AY113:AY115)</f>
        <v>0</v>
      </c>
      <c r="AZ116" s="45"/>
      <c r="BA116" s="474"/>
      <c r="BB116" s="474"/>
      <c r="BC116" s="474"/>
    </row>
    <row r="117" spans="2:65" ht="6.6" customHeight="1" thickTop="1" thickBot="1" x14ac:dyDescent="0.35">
      <c r="B117" s="78"/>
      <c r="C117" s="409"/>
      <c r="D117" s="410"/>
      <c r="E117" s="327"/>
      <c r="F117" s="410"/>
      <c r="G117" s="45"/>
      <c r="H117" s="410"/>
      <c r="I117" s="45"/>
      <c r="J117" s="410"/>
      <c r="K117" s="45"/>
      <c r="L117" s="410"/>
      <c r="M117" s="45"/>
      <c r="N117" s="410"/>
      <c r="O117" s="45"/>
      <c r="P117" s="410"/>
      <c r="Q117" s="45"/>
      <c r="R117" s="410"/>
      <c r="S117" s="45"/>
      <c r="T117" s="410"/>
      <c r="U117" s="45"/>
      <c r="V117" s="410"/>
      <c r="W117" s="45"/>
      <c r="X117" s="410"/>
      <c r="Y117" s="45"/>
      <c r="Z117" s="410"/>
      <c r="AA117" s="385"/>
      <c r="AB117" s="403"/>
      <c r="AC117" s="79"/>
      <c r="AD117" s="94"/>
      <c r="AE117" s="79"/>
      <c r="AF117" s="94"/>
      <c r="AG117" s="79"/>
      <c r="AH117" s="94"/>
      <c r="AI117" s="79"/>
      <c r="AJ117" s="94"/>
      <c r="AK117" s="79"/>
      <c r="AL117" s="94"/>
      <c r="AM117" s="79"/>
      <c r="AN117" s="94"/>
      <c r="AO117" s="79"/>
      <c r="AP117" s="94"/>
      <c r="AQ117" s="79"/>
      <c r="AR117" s="94"/>
      <c r="AS117" s="79"/>
      <c r="AT117" s="94"/>
      <c r="AU117" s="79"/>
      <c r="AV117" s="94"/>
      <c r="AW117" s="79"/>
      <c r="AX117" s="94"/>
      <c r="AY117" s="79"/>
      <c r="AZ117" s="94"/>
      <c r="BA117" s="77"/>
      <c r="BB117" s="77"/>
      <c r="BC117" s="77"/>
    </row>
    <row r="118" spans="2:65" ht="15.6" thickTop="1" thickBot="1" x14ac:dyDescent="0.35">
      <c r="B118" s="50" t="s">
        <v>8</v>
      </c>
      <c r="C118" s="167"/>
      <c r="D118" s="132">
        <f>D14+D23+D26+D34+D37+D40+D47+D57+D75+D87+D93+D100+D104+D67+D62+D70</f>
        <v>712305</v>
      </c>
      <c r="E118" s="171"/>
      <c r="F118" s="132">
        <f>F14+F23+F26+F34+F37+F40+F47+F57+F75+F87+F93+F100+F104+F67+F62+F70</f>
        <v>666071</v>
      </c>
      <c r="G118" s="51"/>
      <c r="H118" s="132">
        <f>H14+H23+H26+H34+H37+H40+H47+H57+H75+H87+H93+H100+H104+H67+H62+H70</f>
        <v>708641</v>
      </c>
      <c r="I118" s="51"/>
      <c r="J118" s="132">
        <f>J14+J23+J26+J34+J37+J40+J47+J57+J75+J87+J93+J100+J104+J67+J62+J70</f>
        <v>666802</v>
      </c>
      <c r="K118" s="51"/>
      <c r="L118" s="132">
        <f>L14+L23+L26+L34+L37+L40+L47+L57+L75+L87+L93+L100+L104+L67+L62+L70</f>
        <v>534100</v>
      </c>
      <c r="M118" s="51"/>
      <c r="N118" s="132">
        <f>N14+N23+N26+N34+N37+N40+N47+N57+N75+N87+N93+N100+N104+N67+N62+N70</f>
        <v>698134</v>
      </c>
      <c r="O118" s="51"/>
      <c r="P118" s="132">
        <f>P14+P23+P26+P34+P37+P40+P47+P57+P75+P87+P93+P100+P104+P67+P62+P70</f>
        <v>884891</v>
      </c>
      <c r="Q118" s="51"/>
      <c r="R118" s="132">
        <f>R14+R23+R26+R34+R37+R40+R47+R57+R75+R87+R93+R100+R104+R67+R62+R70</f>
        <v>830664</v>
      </c>
      <c r="S118" s="51"/>
      <c r="T118" s="132">
        <f>T14+T23+T26+T34+T37+T40+T47+T57+T75+T87+T93+T100+T104+T67+T62+T70</f>
        <v>542130</v>
      </c>
      <c r="U118" s="51"/>
      <c r="V118" s="132">
        <f>V14+V23+V26+V34+V37+V40+V47+V57+V75+V87+V93+V100+V104+V67+V62+V70</f>
        <v>650998</v>
      </c>
      <c r="W118" s="51"/>
      <c r="X118" s="132">
        <f>X14+X23+X26+X34+X37+X40+X47+X57+X75+X87+X93+X100+X104+X67+X62+X70</f>
        <v>731154</v>
      </c>
      <c r="Y118" s="51"/>
      <c r="Z118" s="132">
        <f>Z14+Z23+Z26+Z34+Z37+Z40+Z47+Z57+Z75+Z87+Z93+Z100+Z104+Z67+Z62+Z70</f>
        <v>852282</v>
      </c>
      <c r="AA118" s="394"/>
      <c r="AB118" s="408"/>
      <c r="AC118" s="399">
        <f>AC14+AC23+AC26+AC34+AC37+AC40+AC47+AC57+AC75+AC87+AC93+AC100+AC104+AC67+AC62+AC70+AC109+AC112+AC116</f>
        <v>572277</v>
      </c>
      <c r="AD118" s="51"/>
      <c r="AE118" s="399">
        <f>AE14+AE23+AE26+AE34+AE37+AE40+AE47+AE57+AE75+AE87+AE93+AE100+AE104+AE67+AE62+AE70+AE109+AE112+AE116</f>
        <v>778328</v>
      </c>
      <c r="AF118" s="51"/>
      <c r="AG118" s="399">
        <f>AG14+AG23+AG26+AG34+AG37+AG40+AG47+AG57+AG75+AG87+AG93+AG100+AG104+AG67+AG62+AG70+AG109+AG112+AG116</f>
        <v>1464758</v>
      </c>
      <c r="AH118" s="51"/>
      <c r="AI118" s="399">
        <f>AI14+AI23+AI26+AI34+AI37+AI40+AI47+AI57+AI75+AI87+AI93+AI100+AI104+AI67+AI62+AI70+AI109+AI112+AI116</f>
        <v>785813</v>
      </c>
      <c r="AJ118" s="51"/>
      <c r="AK118" s="399">
        <f>AK14+AK23+AK26+AK34+AK37+AK40+AK47+AK57+AK75+AK87+AK93+AK100+AK104+AK67+AK62+AK70+AK109+AK112+AK116</f>
        <v>705590</v>
      </c>
      <c r="AL118" s="51"/>
      <c r="AM118" s="399">
        <f>AM14+AM23+AM26+AM34+AM37+AM40+AM47+AM57+AM75+AM87+AM93+AM100+AM104+AM67+AM62+AM70+AM109+AM112+AM116</f>
        <v>819558</v>
      </c>
      <c r="AN118" s="51"/>
      <c r="AO118" s="399">
        <f>AO14+AO23+AO26+AO34+AO37+AO40+AO47+AO57+AO75+AO87+AO93+AO100+AO104+AO67+AO62+AO70+AO109+AO112+AO116</f>
        <v>4114035</v>
      </c>
      <c r="AP118" s="51"/>
      <c r="AQ118" s="399">
        <f>AQ14+AQ23+AQ26+AQ34+AQ37+AQ40+AQ47+AQ57+AQ75+AQ87+AQ93+AQ100+AQ104+AQ67+AQ62+AQ70+AQ109+AQ112+AQ116</f>
        <v>769072</v>
      </c>
      <c r="AR118" s="51"/>
      <c r="AS118" s="399">
        <f>AS14+AS23+AS26+AS34+AS37+AS40+AS47+AS57+AS75+AS87+AS93+AS100+AS104+AS67+AS62+AS70+AS109+AS112+AS116</f>
        <v>813732</v>
      </c>
      <c r="AT118" s="51"/>
      <c r="AU118" s="399">
        <f>AU14+AU23+AU26+AU34+AU37+AU40+AU47+AU57+AU75+AU87+AU93+AU100+AU104+AU67+AU62+AU70+AU109+AU112+AU116</f>
        <v>1221338</v>
      </c>
      <c r="AV118" s="51"/>
      <c r="AW118" s="399">
        <f>AW14+AW23+AW26+AW34+AW37+AW40+AW47+AW57+AW75+AW87+AW93+AW100+AW104+AW67+AW62+AW70+AW109+AW112+AW116</f>
        <v>1194342</v>
      </c>
      <c r="AX118" s="51"/>
      <c r="AY118" s="399">
        <f>AY14+AY23+AY26+AY34+AY37+AY40+AY47+AY57+AY75+AY87+AY93+AY100+AY104+AY67+AY62+AY70+AY109+AY112+AY116</f>
        <v>583171</v>
      </c>
      <c r="AZ118" s="51"/>
      <c r="BA118" s="477"/>
      <c r="BB118" s="477"/>
      <c r="BC118" s="477"/>
    </row>
    <row r="119" spans="2:65" ht="15" thickTop="1" x14ac:dyDescent="0.3"/>
    <row r="120" spans="2:65" x14ac:dyDescent="0.3">
      <c r="AO120" t="s">
        <v>1596</v>
      </c>
      <c r="AQ120" s="74">
        <f>AQ118-AQ122</f>
        <v>507900</v>
      </c>
      <c r="AS120" s="74">
        <f>AS23+AS27</f>
        <v>181000</v>
      </c>
      <c r="AU120">
        <v>0</v>
      </c>
      <c r="AW120">
        <v>0</v>
      </c>
      <c r="AY120" s="74">
        <v>0</v>
      </c>
    </row>
    <row r="121" spans="2:65" x14ac:dyDescent="0.3">
      <c r="AO121" t="s">
        <v>1597</v>
      </c>
      <c r="AQ121">
        <v>0</v>
      </c>
      <c r="AS121" s="74">
        <f>AS118-AS120-AS122</f>
        <v>395420</v>
      </c>
      <c r="AU121" s="74">
        <f>AU116+AU112+AU93+AU87+AU57+AU47+AU37+AU34+AU26+AU14</f>
        <v>556220</v>
      </c>
      <c r="AW121" s="74">
        <f>+AW112+AW87+AW61+AW57+AW47+AW40+AW37+AW34+AW26+AW23+AW14</f>
        <v>921422</v>
      </c>
      <c r="AY121" s="74">
        <f>+AY14+AY23+AY26+AY34+AY37+AY47+AY57+AY87</f>
        <v>364060</v>
      </c>
    </row>
    <row r="122" spans="2:65" x14ac:dyDescent="0.3">
      <c r="AO122" t="s">
        <v>1598</v>
      </c>
      <c r="AQ122" s="74">
        <f>+AQ38</f>
        <v>261172</v>
      </c>
      <c r="AS122" s="74">
        <f>AS38</f>
        <v>237312</v>
      </c>
      <c r="AU122" s="74">
        <f>+AU62+AU40+AU23</f>
        <v>665118</v>
      </c>
      <c r="AW122" s="74">
        <f>+AW58+AW59</f>
        <v>272920</v>
      </c>
      <c r="AY122" s="74">
        <f>+AY40</f>
        <v>219111</v>
      </c>
    </row>
    <row r="124" spans="2:65" x14ac:dyDescent="0.3">
      <c r="AQ124" s="74">
        <f>SUM(AQ120:AQ122)</f>
        <v>769072</v>
      </c>
      <c r="AS124" s="74">
        <f>SUM(AS120:AS122)</f>
        <v>813732</v>
      </c>
      <c r="AU124" s="74">
        <f>SUM(AU120:AU122)</f>
        <v>1221338</v>
      </c>
      <c r="AW124" s="74">
        <f>SUM(AW120:AW122)</f>
        <v>1194342</v>
      </c>
      <c r="AY124" s="74">
        <f>SUM(AY120:AY122)</f>
        <v>583171</v>
      </c>
    </row>
    <row r="125" spans="2:65" x14ac:dyDescent="0.3">
      <c r="AQ125" s="74">
        <f>AQ118-AQ124</f>
        <v>0</v>
      </c>
      <c r="AS125" s="74">
        <f>AS118-AS124</f>
        <v>0</v>
      </c>
      <c r="AU125" s="74">
        <f>AU118-AU124</f>
        <v>0</v>
      </c>
      <c r="AW125" s="74">
        <f>AW118-AW124</f>
        <v>0</v>
      </c>
      <c r="AY125" s="74">
        <f>AY118-AY124</f>
        <v>0</v>
      </c>
    </row>
  </sheetData>
  <mergeCells count="25">
    <mergeCell ref="AW5:AX5"/>
    <mergeCell ref="AY5:AZ5"/>
    <mergeCell ref="AQ5:AR5"/>
    <mergeCell ref="AS5:AT5"/>
    <mergeCell ref="AU5:AV5"/>
    <mergeCell ref="X5:Y5"/>
    <mergeCell ref="AI5:AJ5"/>
    <mergeCell ref="AK5:AL5"/>
    <mergeCell ref="AO5:AP5"/>
    <mergeCell ref="AM5:AN5"/>
    <mergeCell ref="Z5:AA5"/>
    <mergeCell ref="AC5:AD5"/>
    <mergeCell ref="AE5:AF5"/>
    <mergeCell ref="AG5:AH5"/>
    <mergeCell ref="L5:M5"/>
    <mergeCell ref="B5:C5"/>
    <mergeCell ref="D5:E5"/>
    <mergeCell ref="F5:G5"/>
    <mergeCell ref="H5:I5"/>
    <mergeCell ref="J5:K5"/>
    <mergeCell ref="N5:O5"/>
    <mergeCell ref="P5:Q5"/>
    <mergeCell ref="R5:S5"/>
    <mergeCell ref="T5:U5"/>
    <mergeCell ref="V5:W5"/>
  </mergeCells>
  <pageMargins left="0.7" right="0.7" top="0.75" bottom="0.75" header="0.3" footer="0.3"/>
  <pageSetup scale="2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9BAB-2C32-48D4-A9D6-A6E3BE063660}">
  <sheetPr>
    <pageSetUpPr fitToPage="1"/>
  </sheetPr>
  <dimension ref="B3:AG105"/>
  <sheetViews>
    <sheetView topLeftCell="A47" zoomScale="85" zoomScaleNormal="85" workbookViewId="0">
      <selection activeCell="A77" sqref="A77"/>
    </sheetView>
  </sheetViews>
  <sheetFormatPr defaultRowHeight="14.4" x14ac:dyDescent="0.3"/>
  <cols>
    <col min="2" max="2" width="31.33203125" customWidth="1"/>
    <col min="3" max="3" width="45.44140625" bestFit="1" customWidth="1"/>
    <col min="4" max="16" width="12" hidden="1" customWidth="1"/>
    <col min="17" max="17" width="8.5546875" hidden="1" customWidth="1"/>
    <col min="18" max="18" width="9" hidden="1" customWidth="1"/>
    <col min="19" max="19" width="9.6640625" hidden="1" customWidth="1"/>
    <col min="20" max="20" width="9" hidden="1" customWidth="1"/>
    <col min="21" max="21" width="9.44140625" hidden="1" customWidth="1"/>
    <col min="22" max="23" width="12" hidden="1" customWidth="1"/>
    <col min="24" max="24" width="0" hidden="1" customWidth="1"/>
    <col min="25" max="25" width="9.6640625" hidden="1" customWidth="1"/>
    <col min="26" max="26" width="9" bestFit="1" customWidth="1"/>
    <col min="27" max="27" width="9.6640625" bestFit="1" customWidth="1"/>
    <col min="28" max="28" width="8.88671875" customWidth="1"/>
    <col min="30" max="30" width="29.109375" bestFit="1" customWidth="1"/>
    <col min="31" max="31" width="9.77734375" bestFit="1" customWidth="1"/>
    <col min="32" max="32" width="9.6640625" bestFit="1" customWidth="1"/>
  </cols>
  <sheetData>
    <row r="3" spans="2:32" x14ac:dyDescent="0.3">
      <c r="B3" t="s">
        <v>0</v>
      </c>
    </row>
    <row r="4" spans="2:32" ht="15" thickBot="1" x14ac:dyDescent="0.35">
      <c r="B4" t="s">
        <v>300</v>
      </c>
    </row>
    <row r="5" spans="2:32" x14ac:dyDescent="0.3">
      <c r="B5" s="584" t="s">
        <v>3</v>
      </c>
      <c r="C5" s="585"/>
      <c r="D5" s="584">
        <v>45292</v>
      </c>
      <c r="E5" s="597"/>
      <c r="F5" s="584">
        <v>45323</v>
      </c>
      <c r="G5" s="597"/>
      <c r="H5" s="584">
        <v>45352</v>
      </c>
      <c r="I5" s="597"/>
      <c r="J5" s="584">
        <v>45383</v>
      </c>
      <c r="K5" s="597"/>
      <c r="L5" s="584">
        <v>45413</v>
      </c>
      <c r="M5" s="597"/>
      <c r="N5" s="584">
        <v>45444</v>
      </c>
      <c r="O5" s="597"/>
      <c r="P5" s="584">
        <v>45474</v>
      </c>
      <c r="Q5" s="597"/>
      <c r="R5" s="584">
        <v>45505</v>
      </c>
      <c r="S5" s="597"/>
      <c r="T5" s="584">
        <v>45536</v>
      </c>
      <c r="U5" s="597"/>
      <c r="V5" s="584">
        <v>45566</v>
      </c>
      <c r="W5" s="597"/>
      <c r="X5" s="584">
        <v>45597</v>
      </c>
      <c r="Y5" s="597"/>
      <c r="Z5" s="584">
        <v>45627</v>
      </c>
      <c r="AA5" s="597"/>
      <c r="AC5" t="s">
        <v>21</v>
      </c>
    </row>
    <row r="6" spans="2:32" ht="15" thickBot="1" x14ac:dyDescent="0.35">
      <c r="B6" s="8" t="s">
        <v>30</v>
      </c>
      <c r="C6" s="166" t="s">
        <v>31</v>
      </c>
      <c r="D6" s="8" t="s">
        <v>1</v>
      </c>
      <c r="E6" s="7" t="s">
        <v>6</v>
      </c>
      <c r="F6" s="8" t="s">
        <v>1</v>
      </c>
      <c r="G6" s="7" t="s">
        <v>6</v>
      </c>
      <c r="H6" s="8" t="s">
        <v>1</v>
      </c>
      <c r="I6" s="7" t="s">
        <v>6</v>
      </c>
      <c r="J6" s="8" t="s">
        <v>1</v>
      </c>
      <c r="K6" s="7" t="s">
        <v>6</v>
      </c>
      <c r="L6" s="8" t="s">
        <v>1</v>
      </c>
      <c r="M6" s="7" t="s">
        <v>6</v>
      </c>
      <c r="N6" s="8" t="s">
        <v>1</v>
      </c>
      <c r="O6" s="7" t="s">
        <v>6</v>
      </c>
      <c r="P6" s="8" t="s">
        <v>1</v>
      </c>
      <c r="Q6" s="7" t="s">
        <v>6</v>
      </c>
      <c r="R6" s="8" t="s">
        <v>1</v>
      </c>
      <c r="S6" s="7" t="s">
        <v>6</v>
      </c>
      <c r="T6" s="8" t="s">
        <v>1</v>
      </c>
      <c r="U6" s="7" t="s">
        <v>6</v>
      </c>
      <c r="V6" s="8" t="s">
        <v>1</v>
      </c>
      <c r="W6" s="7" t="s">
        <v>6</v>
      </c>
      <c r="X6" s="8" t="s">
        <v>1</v>
      </c>
      <c r="Y6" s="7" t="s">
        <v>6</v>
      </c>
      <c r="Z6" s="8" t="s">
        <v>1</v>
      </c>
      <c r="AA6" s="7" t="s">
        <v>6</v>
      </c>
      <c r="AC6" s="47" t="s">
        <v>141</v>
      </c>
      <c r="AD6" s="47" t="s">
        <v>11</v>
      </c>
      <c r="AE6" s="47" t="s">
        <v>22</v>
      </c>
      <c r="AF6" s="47" t="s">
        <v>1</v>
      </c>
    </row>
    <row r="7" spans="2:32" x14ac:dyDescent="0.3">
      <c r="B7" s="3" t="s">
        <v>15</v>
      </c>
      <c r="C7" s="117" t="s">
        <v>32</v>
      </c>
      <c r="D7" s="248">
        <v>20000</v>
      </c>
      <c r="E7" s="250">
        <v>45292</v>
      </c>
      <c r="F7" s="73">
        <v>30000</v>
      </c>
      <c r="G7" s="38" t="s">
        <v>822</v>
      </c>
      <c r="H7" s="73">
        <v>20000</v>
      </c>
      <c r="I7" s="38" t="s">
        <v>828</v>
      </c>
      <c r="J7" s="73">
        <v>11500</v>
      </c>
      <c r="K7" s="38">
        <v>45406</v>
      </c>
      <c r="L7" s="73"/>
      <c r="M7" s="38"/>
      <c r="N7" s="73"/>
      <c r="O7" s="38"/>
      <c r="P7" s="73"/>
      <c r="Q7" s="38"/>
      <c r="R7" s="73"/>
      <c r="S7" s="38"/>
      <c r="T7" s="73"/>
      <c r="U7" s="38"/>
      <c r="V7" s="73"/>
      <c r="W7" s="38"/>
      <c r="X7" s="73">
        <v>13000</v>
      </c>
      <c r="Y7" s="38">
        <v>45621</v>
      </c>
      <c r="Z7" s="73">
        <v>13000</v>
      </c>
      <c r="AA7" s="38">
        <v>45634</v>
      </c>
      <c r="AC7" s="24">
        <v>1</v>
      </c>
      <c r="AD7" s="18" t="s">
        <v>89</v>
      </c>
      <c r="AE7" s="48">
        <v>45296</v>
      </c>
      <c r="AF7" s="81">
        <v>4500</v>
      </c>
    </row>
    <row r="8" spans="2:32" x14ac:dyDescent="0.3">
      <c r="B8" s="3"/>
      <c r="C8" s="117" t="s">
        <v>32</v>
      </c>
      <c r="D8" s="95">
        <v>10000</v>
      </c>
      <c r="E8" s="38">
        <v>45292</v>
      </c>
      <c r="F8" s="73">
        <v>70000</v>
      </c>
      <c r="G8" s="38" t="s">
        <v>824</v>
      </c>
      <c r="H8" s="73">
        <v>34500</v>
      </c>
      <c r="I8" s="38" t="s">
        <v>829</v>
      </c>
      <c r="J8" s="73"/>
      <c r="K8" s="38"/>
      <c r="L8" s="73"/>
      <c r="M8" s="38"/>
      <c r="N8" s="73"/>
      <c r="O8" s="38"/>
      <c r="P8" s="73"/>
      <c r="Q8" s="38"/>
      <c r="R8" s="73"/>
      <c r="S8" s="38"/>
      <c r="T8" s="73"/>
      <c r="U8" s="38"/>
      <c r="V8" s="73"/>
      <c r="W8" s="38"/>
      <c r="X8" s="73">
        <v>13000</v>
      </c>
      <c r="Y8" s="38">
        <v>45626</v>
      </c>
      <c r="Z8" s="73">
        <v>13000</v>
      </c>
      <c r="AA8" s="38">
        <v>45645</v>
      </c>
      <c r="AC8" s="24">
        <v>2</v>
      </c>
      <c r="AD8" s="18" t="s">
        <v>115</v>
      </c>
      <c r="AE8" s="48">
        <v>45306</v>
      </c>
      <c r="AF8" s="81">
        <v>5000</v>
      </c>
    </row>
    <row r="9" spans="2:32" x14ac:dyDescent="0.3">
      <c r="B9" s="3"/>
      <c r="C9" s="117" t="s">
        <v>32</v>
      </c>
      <c r="D9" s="168">
        <v>70000</v>
      </c>
      <c r="E9" s="38" t="s">
        <v>815</v>
      </c>
      <c r="F9" s="123">
        <v>90000</v>
      </c>
      <c r="G9" s="38" t="s">
        <v>825</v>
      </c>
      <c r="H9" s="123">
        <v>27500</v>
      </c>
      <c r="I9" s="38">
        <v>45356</v>
      </c>
      <c r="J9" s="123"/>
      <c r="K9" s="38"/>
      <c r="L9" s="123"/>
      <c r="M9" s="38"/>
      <c r="N9" s="123"/>
      <c r="O9" s="38"/>
      <c r="P9" s="123"/>
      <c r="Q9" s="38"/>
      <c r="R9" s="123"/>
      <c r="S9" s="38"/>
      <c r="T9" s="123"/>
      <c r="U9" s="38"/>
      <c r="V9" s="123"/>
      <c r="W9" s="38"/>
      <c r="X9" s="123"/>
      <c r="Y9" s="38"/>
      <c r="Z9" s="123">
        <v>13000</v>
      </c>
      <c r="AA9" s="38">
        <v>45645</v>
      </c>
      <c r="AC9" s="24">
        <v>3</v>
      </c>
      <c r="AD9" s="213" t="s">
        <v>820</v>
      </c>
      <c r="AE9" s="48">
        <v>45316</v>
      </c>
      <c r="AF9" s="81">
        <v>5000</v>
      </c>
    </row>
    <row r="10" spans="2:32" x14ac:dyDescent="0.3">
      <c r="B10" s="43"/>
      <c r="C10" s="117" t="s">
        <v>32</v>
      </c>
      <c r="D10" s="168">
        <v>60000</v>
      </c>
      <c r="E10" s="38" t="s">
        <v>817</v>
      </c>
      <c r="F10" s="123">
        <v>20000</v>
      </c>
      <c r="G10" s="38">
        <v>45351</v>
      </c>
      <c r="H10" s="123">
        <v>28000</v>
      </c>
      <c r="I10" s="38">
        <v>45358</v>
      </c>
      <c r="J10" s="123"/>
      <c r="K10" s="38"/>
      <c r="L10" s="123"/>
      <c r="M10" s="38"/>
      <c r="N10" s="123"/>
      <c r="O10" s="38"/>
      <c r="P10" s="123"/>
      <c r="Q10" s="38"/>
      <c r="R10" s="123"/>
      <c r="S10" s="38"/>
      <c r="T10" s="123"/>
      <c r="U10" s="38"/>
      <c r="V10" s="123"/>
      <c r="W10" s="38"/>
      <c r="X10" s="123"/>
      <c r="Y10" s="38"/>
      <c r="Z10" s="123">
        <v>13000</v>
      </c>
      <c r="AA10" s="38">
        <v>45645</v>
      </c>
      <c r="AC10" s="24">
        <v>4</v>
      </c>
      <c r="AD10" s="110" t="s">
        <v>821</v>
      </c>
      <c r="AE10" s="48">
        <v>45316</v>
      </c>
      <c r="AF10" s="81">
        <v>350</v>
      </c>
    </row>
    <row r="11" spans="2:32" x14ac:dyDescent="0.3">
      <c r="B11" s="43"/>
      <c r="C11" s="117" t="s">
        <v>32</v>
      </c>
      <c r="D11" s="168">
        <v>60000</v>
      </c>
      <c r="E11" s="38" t="s">
        <v>819</v>
      </c>
      <c r="F11" s="123"/>
      <c r="G11" s="38"/>
      <c r="H11" s="123"/>
      <c r="I11" s="38"/>
      <c r="J11" s="123"/>
      <c r="K11" s="38"/>
      <c r="L11" s="123"/>
      <c r="M11" s="38"/>
      <c r="N11" s="123"/>
      <c r="O11" s="38"/>
      <c r="P11" s="123"/>
      <c r="Q11" s="38"/>
      <c r="R11" s="123"/>
      <c r="S11" s="38"/>
      <c r="T11" s="123"/>
      <c r="U11" s="38"/>
      <c r="V11" s="123"/>
      <c r="W11" s="38"/>
      <c r="X11" s="123"/>
      <c r="Y11" s="38"/>
      <c r="Z11" s="123"/>
      <c r="AA11" s="38"/>
      <c r="AC11" s="24"/>
      <c r="AD11" s="18"/>
      <c r="AE11" s="48"/>
      <c r="AF11" s="81"/>
    </row>
    <row r="12" spans="2:32" x14ac:dyDescent="0.3">
      <c r="B12" s="43"/>
      <c r="C12" s="117" t="s">
        <v>32</v>
      </c>
      <c r="D12" s="168"/>
      <c r="E12" s="38"/>
      <c r="F12" s="123"/>
      <c r="G12" s="38"/>
      <c r="H12" s="123"/>
      <c r="I12" s="38"/>
      <c r="J12" s="123"/>
      <c r="K12" s="38"/>
      <c r="L12" s="123"/>
      <c r="M12" s="38"/>
      <c r="N12" s="123"/>
      <c r="O12" s="38"/>
      <c r="P12" s="123"/>
      <c r="Q12" s="38"/>
      <c r="R12" s="123"/>
      <c r="S12" s="38"/>
      <c r="T12" s="123"/>
      <c r="U12" s="38"/>
      <c r="V12" s="123"/>
      <c r="W12" s="38"/>
      <c r="X12" s="123"/>
      <c r="Y12" s="38"/>
      <c r="Z12" s="123"/>
      <c r="AA12" s="38"/>
      <c r="AC12" s="100">
        <v>45292</v>
      </c>
      <c r="AD12" s="70"/>
      <c r="AE12" s="70"/>
      <c r="AF12" s="71">
        <f>SUM(AF7:AF10)</f>
        <v>14850</v>
      </c>
    </row>
    <row r="13" spans="2:32" x14ac:dyDescent="0.3">
      <c r="B13" s="43"/>
      <c r="C13" s="117"/>
      <c r="D13" s="168"/>
      <c r="E13" s="38"/>
      <c r="F13" s="123"/>
      <c r="G13" s="38"/>
      <c r="H13" s="123"/>
      <c r="I13" s="38"/>
      <c r="J13" s="123"/>
      <c r="K13" s="38"/>
      <c r="L13" s="123"/>
      <c r="M13" s="38"/>
      <c r="N13" s="123"/>
      <c r="O13" s="38"/>
      <c r="P13" s="123"/>
      <c r="Q13" s="38"/>
      <c r="R13" s="123"/>
      <c r="S13" s="38"/>
      <c r="T13" s="123"/>
      <c r="U13" s="38"/>
      <c r="V13" s="123"/>
      <c r="W13" s="38"/>
      <c r="X13" s="123"/>
      <c r="Y13" s="38"/>
      <c r="Z13" s="123"/>
      <c r="AA13" s="38"/>
    </row>
    <row r="14" spans="2:32" ht="15" thickBot="1" x14ac:dyDescent="0.35">
      <c r="B14" s="44"/>
      <c r="C14" s="118"/>
      <c r="D14" s="236">
        <f>SUM(D7:D13)</f>
        <v>220000</v>
      </c>
      <c r="E14" s="45"/>
      <c r="F14" s="235">
        <f>SUM(F7:F13)</f>
        <v>210000</v>
      </c>
      <c r="G14" s="45"/>
      <c r="H14" s="235">
        <f>SUM(H7:H13)</f>
        <v>110000</v>
      </c>
      <c r="I14" s="45"/>
      <c r="J14" s="235">
        <f>SUM(J7:J13)</f>
        <v>11500</v>
      </c>
      <c r="K14" s="45"/>
      <c r="L14" s="235">
        <f>SUM(L7:L13)</f>
        <v>0</v>
      </c>
      <c r="M14" s="45"/>
      <c r="N14" s="235">
        <f>SUM(N7:N13)</f>
        <v>0</v>
      </c>
      <c r="O14" s="45"/>
      <c r="P14" s="235">
        <f>SUM(P7:P13)</f>
        <v>0</v>
      </c>
      <c r="Q14" s="45"/>
      <c r="R14" s="235">
        <f>SUM(R7:R13)</f>
        <v>0</v>
      </c>
      <c r="S14" s="45"/>
      <c r="T14" s="235">
        <f>SUM(T7:T13)</f>
        <v>0</v>
      </c>
      <c r="U14" s="45"/>
      <c r="V14" s="235">
        <f>SUM(V7:V13)</f>
        <v>0</v>
      </c>
      <c r="W14" s="45"/>
      <c r="X14" s="235">
        <f>SUM(X7:X13)</f>
        <v>26000</v>
      </c>
      <c r="Y14" s="45"/>
      <c r="Z14" s="235">
        <f>SUM(Z7:Z13)</f>
        <v>52000</v>
      </c>
      <c r="AA14" s="45"/>
      <c r="AC14" s="24">
        <v>1</v>
      </c>
      <c r="AD14" s="18" t="s">
        <v>89</v>
      </c>
      <c r="AE14" s="48">
        <v>45332</v>
      </c>
      <c r="AF14" s="81">
        <v>5300</v>
      </c>
    </row>
    <row r="15" spans="2:32" ht="15" thickTop="1" x14ac:dyDescent="0.3">
      <c r="B15" s="6" t="s">
        <v>16</v>
      </c>
      <c r="C15" s="119" t="s">
        <v>823</v>
      </c>
      <c r="D15" s="168">
        <v>28000</v>
      </c>
      <c r="E15" s="38">
        <v>45292</v>
      </c>
      <c r="F15" s="123">
        <v>28000</v>
      </c>
      <c r="G15" s="38">
        <v>45324</v>
      </c>
      <c r="H15" s="123">
        <v>28000</v>
      </c>
      <c r="I15" s="38">
        <v>45358</v>
      </c>
      <c r="J15" s="123">
        <v>28000</v>
      </c>
      <c r="K15" s="38">
        <v>45383</v>
      </c>
      <c r="L15" s="123">
        <v>28000</v>
      </c>
      <c r="M15" s="38">
        <v>45414</v>
      </c>
      <c r="N15" s="123">
        <v>35000</v>
      </c>
      <c r="O15" s="38">
        <v>45446</v>
      </c>
      <c r="P15" s="123">
        <v>35000</v>
      </c>
      <c r="Q15" s="38">
        <v>45476</v>
      </c>
      <c r="R15" s="123">
        <v>35000</v>
      </c>
      <c r="S15" s="38">
        <v>45510</v>
      </c>
      <c r="T15" s="123">
        <v>35000</v>
      </c>
      <c r="U15" s="38">
        <v>45538</v>
      </c>
      <c r="V15" s="123">
        <v>35000</v>
      </c>
      <c r="W15" s="38">
        <v>45570</v>
      </c>
      <c r="X15" s="123">
        <v>35000</v>
      </c>
      <c r="Y15" s="38">
        <v>45598</v>
      </c>
      <c r="Z15" s="123">
        <v>35000</v>
      </c>
      <c r="AA15" s="38">
        <v>45628</v>
      </c>
      <c r="AC15" s="24">
        <v>2</v>
      </c>
      <c r="AD15" s="18" t="s">
        <v>44</v>
      </c>
      <c r="AE15" s="48">
        <v>45336</v>
      </c>
      <c r="AF15" s="81">
        <v>3000</v>
      </c>
    </row>
    <row r="16" spans="2:32" x14ac:dyDescent="0.3">
      <c r="B16" s="3"/>
      <c r="C16" s="119" t="s">
        <v>230</v>
      </c>
      <c r="D16" s="168">
        <v>22000</v>
      </c>
      <c r="E16" s="38">
        <v>45292</v>
      </c>
      <c r="F16" s="123">
        <v>22000</v>
      </c>
      <c r="G16" s="38">
        <v>45326</v>
      </c>
      <c r="H16" s="123">
        <v>22000</v>
      </c>
      <c r="I16" s="38">
        <v>45358</v>
      </c>
      <c r="J16" s="123">
        <v>22000</v>
      </c>
      <c r="K16" s="38">
        <v>45383</v>
      </c>
      <c r="L16" s="123">
        <v>22000</v>
      </c>
      <c r="M16" s="38">
        <v>45414</v>
      </c>
      <c r="N16" s="123">
        <v>25000</v>
      </c>
      <c r="O16" s="38">
        <v>45446</v>
      </c>
      <c r="P16" s="123">
        <v>25000</v>
      </c>
      <c r="Q16" s="38">
        <v>45476</v>
      </c>
      <c r="R16" s="123">
        <v>25000</v>
      </c>
      <c r="S16" s="38">
        <v>45509</v>
      </c>
      <c r="T16" s="123">
        <v>25000</v>
      </c>
      <c r="U16" s="38">
        <v>45538</v>
      </c>
      <c r="V16" s="123">
        <v>25000</v>
      </c>
      <c r="W16" s="38">
        <v>45570</v>
      </c>
      <c r="X16" s="123">
        <v>25000</v>
      </c>
      <c r="Y16" s="38">
        <v>45598</v>
      </c>
      <c r="Z16" s="123">
        <v>25000</v>
      </c>
      <c r="AA16" s="38">
        <v>45628</v>
      </c>
      <c r="AC16" s="24">
        <v>3</v>
      </c>
      <c r="AD16" s="18" t="s">
        <v>826</v>
      </c>
      <c r="AE16" s="48">
        <v>45344</v>
      </c>
      <c r="AF16" s="81">
        <v>800</v>
      </c>
    </row>
    <row r="17" spans="2:33" x14ac:dyDescent="0.3">
      <c r="B17" s="3"/>
      <c r="C17" s="119" t="s">
        <v>147</v>
      </c>
      <c r="D17" s="168">
        <v>7500</v>
      </c>
      <c r="E17" s="38">
        <v>45292</v>
      </c>
      <c r="F17" s="123">
        <v>17000</v>
      </c>
      <c r="G17" s="38">
        <v>45326</v>
      </c>
      <c r="H17" s="123">
        <v>18000</v>
      </c>
      <c r="I17" s="38">
        <v>45358</v>
      </c>
      <c r="J17" s="123">
        <v>18000</v>
      </c>
      <c r="K17" s="38">
        <v>45383</v>
      </c>
      <c r="L17" s="123">
        <v>18000</v>
      </c>
      <c r="M17" s="38">
        <v>45414</v>
      </c>
      <c r="N17" s="123">
        <v>22000</v>
      </c>
      <c r="O17" s="38">
        <v>45446</v>
      </c>
      <c r="P17" s="123">
        <v>22000</v>
      </c>
      <c r="Q17" s="38">
        <v>45476</v>
      </c>
      <c r="R17" s="123"/>
      <c r="S17" s="38"/>
      <c r="T17" s="123"/>
      <c r="U17" s="38"/>
      <c r="V17" s="123"/>
      <c r="W17" s="38"/>
      <c r="X17" s="123"/>
      <c r="Y17" s="38"/>
      <c r="Z17" s="123"/>
      <c r="AA17" s="38"/>
      <c r="AC17" s="24">
        <v>4</v>
      </c>
      <c r="AD17" s="18" t="s">
        <v>115</v>
      </c>
      <c r="AE17" s="48">
        <v>45347</v>
      </c>
      <c r="AF17" s="203">
        <v>2500</v>
      </c>
    </row>
    <row r="18" spans="2:33" x14ac:dyDescent="0.3">
      <c r="B18" s="3"/>
      <c r="C18" s="119" t="s">
        <v>148</v>
      </c>
      <c r="D18" s="168">
        <v>18000</v>
      </c>
      <c r="E18" s="38">
        <v>45292</v>
      </c>
      <c r="F18" s="123">
        <v>11000</v>
      </c>
      <c r="G18" s="38">
        <v>45326</v>
      </c>
      <c r="H18" s="123">
        <v>19000</v>
      </c>
      <c r="I18" s="38">
        <v>45358</v>
      </c>
      <c r="J18" s="123">
        <v>20000</v>
      </c>
      <c r="K18" s="38">
        <v>45383</v>
      </c>
      <c r="L18" s="123">
        <v>19000</v>
      </c>
      <c r="M18" s="38">
        <v>45414</v>
      </c>
      <c r="N18" s="123">
        <v>22000</v>
      </c>
      <c r="O18" s="38">
        <v>45446</v>
      </c>
      <c r="P18" s="123">
        <v>11500</v>
      </c>
      <c r="Q18" s="38">
        <v>45476</v>
      </c>
      <c r="R18" s="123">
        <v>22000</v>
      </c>
      <c r="S18" s="38">
        <v>45510</v>
      </c>
      <c r="T18" s="123">
        <v>23000</v>
      </c>
      <c r="U18" s="38">
        <v>45538</v>
      </c>
      <c r="V18" s="123">
        <v>24000</v>
      </c>
      <c r="W18" s="38">
        <v>45570</v>
      </c>
      <c r="X18" s="123">
        <v>11354</v>
      </c>
      <c r="Y18" s="38">
        <v>45598</v>
      </c>
      <c r="Z18" s="123">
        <v>23000</v>
      </c>
      <c r="AA18" s="38">
        <v>45628</v>
      </c>
      <c r="AC18" s="24">
        <v>5</v>
      </c>
      <c r="AD18" s="18" t="s">
        <v>827</v>
      </c>
      <c r="AE18" s="48">
        <v>45347</v>
      </c>
      <c r="AF18" s="81">
        <v>3500</v>
      </c>
    </row>
    <row r="19" spans="2:33" x14ac:dyDescent="0.3">
      <c r="B19" s="3"/>
      <c r="C19" s="119" t="s">
        <v>282</v>
      </c>
      <c r="D19" s="323">
        <v>18000</v>
      </c>
      <c r="E19" s="38">
        <v>45292</v>
      </c>
      <c r="F19" s="175">
        <v>17000</v>
      </c>
      <c r="G19" s="38">
        <v>45324</v>
      </c>
      <c r="H19" s="175">
        <v>17000</v>
      </c>
      <c r="I19" s="38">
        <v>45358</v>
      </c>
      <c r="J19" s="175">
        <v>18000</v>
      </c>
      <c r="K19" s="38">
        <v>45383</v>
      </c>
      <c r="L19" s="175">
        <v>18000</v>
      </c>
      <c r="M19" s="38">
        <v>45414</v>
      </c>
      <c r="N19" s="175">
        <v>22000</v>
      </c>
      <c r="O19" s="38">
        <v>45446</v>
      </c>
      <c r="P19" s="175">
        <v>22000</v>
      </c>
      <c r="Q19" s="38">
        <v>45476</v>
      </c>
      <c r="R19" s="175">
        <v>23000</v>
      </c>
      <c r="S19" s="38">
        <v>45510</v>
      </c>
      <c r="T19" s="175">
        <v>23000</v>
      </c>
      <c r="U19" s="38">
        <v>45538</v>
      </c>
      <c r="V19" s="175">
        <v>23000</v>
      </c>
      <c r="W19" s="38">
        <v>45570</v>
      </c>
      <c r="X19" s="175">
        <v>23000</v>
      </c>
      <c r="Y19" s="38">
        <v>45598</v>
      </c>
      <c r="Z19" s="175">
        <v>23000</v>
      </c>
      <c r="AA19" s="38">
        <v>45628</v>
      </c>
      <c r="AC19" s="24"/>
      <c r="AD19" s="18"/>
      <c r="AE19" s="48"/>
      <c r="AF19" s="81"/>
    </row>
    <row r="20" spans="2:33" x14ac:dyDescent="0.3">
      <c r="B20" s="3" t="s">
        <v>20</v>
      </c>
      <c r="C20" s="119" t="s">
        <v>229</v>
      </c>
      <c r="D20" s="168">
        <v>32000</v>
      </c>
      <c r="E20" s="38">
        <v>45292</v>
      </c>
      <c r="F20" s="123">
        <v>32000</v>
      </c>
      <c r="G20" s="38">
        <v>45326</v>
      </c>
      <c r="H20" s="123">
        <v>32000</v>
      </c>
      <c r="I20" s="38">
        <v>45358</v>
      </c>
      <c r="J20" s="123">
        <v>32000</v>
      </c>
      <c r="K20" s="38">
        <v>45383</v>
      </c>
      <c r="L20" s="123">
        <v>32000</v>
      </c>
      <c r="M20" s="38">
        <v>45414</v>
      </c>
      <c r="N20" s="123">
        <v>32000</v>
      </c>
      <c r="O20" s="38">
        <v>45446</v>
      </c>
      <c r="P20" s="123">
        <v>37000</v>
      </c>
      <c r="Q20" s="38">
        <v>45476</v>
      </c>
      <c r="R20" s="123">
        <v>37000</v>
      </c>
      <c r="S20" s="38">
        <v>45510</v>
      </c>
      <c r="T20" s="123">
        <v>38000</v>
      </c>
      <c r="U20" s="38">
        <v>45538</v>
      </c>
      <c r="V20" s="123">
        <v>37000</v>
      </c>
      <c r="W20" s="38">
        <v>45570</v>
      </c>
      <c r="X20" s="123">
        <v>37000</v>
      </c>
      <c r="Y20" s="38">
        <v>45598</v>
      </c>
      <c r="Z20" s="123">
        <v>37000</v>
      </c>
      <c r="AA20" s="38">
        <v>45628</v>
      </c>
      <c r="AC20" s="100">
        <v>45323</v>
      </c>
      <c r="AD20" s="70"/>
      <c r="AE20" s="70"/>
      <c r="AF20" s="71">
        <f>SUM(AF14:AF18)</f>
        <v>15100</v>
      </c>
    </row>
    <row r="21" spans="2:33" x14ac:dyDescent="0.3">
      <c r="B21" s="3"/>
      <c r="C21" s="119" t="s">
        <v>1152</v>
      </c>
      <c r="D21" s="168">
        <v>23000</v>
      </c>
      <c r="E21" s="38">
        <v>45292</v>
      </c>
      <c r="F21" s="123">
        <v>23000</v>
      </c>
      <c r="G21" s="38">
        <v>45326</v>
      </c>
      <c r="H21" s="123">
        <v>23000</v>
      </c>
      <c r="I21" s="38">
        <v>45358</v>
      </c>
      <c r="J21" s="123">
        <v>23000</v>
      </c>
      <c r="K21" s="38">
        <v>45383</v>
      </c>
      <c r="L21" s="123">
        <v>23000</v>
      </c>
      <c r="M21" s="38">
        <v>45414</v>
      </c>
      <c r="N21" s="123">
        <v>23000</v>
      </c>
      <c r="O21" s="38">
        <v>45446</v>
      </c>
      <c r="P21" s="123">
        <v>8500</v>
      </c>
      <c r="Q21" s="38">
        <v>45476</v>
      </c>
      <c r="R21" s="123">
        <v>23000</v>
      </c>
      <c r="S21" s="38">
        <v>45510</v>
      </c>
      <c r="T21" s="123">
        <v>24000</v>
      </c>
      <c r="U21" s="38">
        <v>45538</v>
      </c>
      <c r="V21" s="123">
        <v>24000</v>
      </c>
      <c r="W21" s="38">
        <v>45570</v>
      </c>
      <c r="X21" s="123">
        <v>21500</v>
      </c>
      <c r="Y21" s="38">
        <v>45598</v>
      </c>
      <c r="Z21" s="123">
        <f>6599+2933</f>
        <v>9532</v>
      </c>
      <c r="AA21" s="38">
        <v>45634</v>
      </c>
    </row>
    <row r="22" spans="2:33" ht="15" thickBot="1" x14ac:dyDescent="0.35">
      <c r="B22" s="44"/>
      <c r="C22" s="118"/>
      <c r="D22" s="236">
        <f>SUM(D15:D21)</f>
        <v>148500</v>
      </c>
      <c r="E22" s="45"/>
      <c r="F22" s="235">
        <f>SUM(F15:F21)</f>
        <v>150000</v>
      </c>
      <c r="G22" s="45"/>
      <c r="H22" s="235">
        <f>SUM(H15:H21)</f>
        <v>159000</v>
      </c>
      <c r="I22" s="45"/>
      <c r="J22" s="235">
        <f>SUM(J15:J21)</f>
        <v>161000</v>
      </c>
      <c r="K22" s="45"/>
      <c r="L22" s="235">
        <f>SUM(L15:L21)</f>
        <v>160000</v>
      </c>
      <c r="M22" s="45"/>
      <c r="N22" s="235">
        <f>SUM(N15:N21)</f>
        <v>181000</v>
      </c>
      <c r="O22" s="45"/>
      <c r="P22" s="235">
        <f>SUM(P15:P21)</f>
        <v>161000</v>
      </c>
      <c r="Q22" s="45"/>
      <c r="R22" s="235">
        <f>SUM(R15:R21)</f>
        <v>165000</v>
      </c>
      <c r="S22" s="45"/>
      <c r="T22" s="235">
        <f>SUM(T15:T21)</f>
        <v>168000</v>
      </c>
      <c r="U22" s="45"/>
      <c r="V22" s="235">
        <f>SUM(V15:V21)</f>
        <v>168000</v>
      </c>
      <c r="W22" s="45"/>
      <c r="X22" s="235">
        <f>SUM(X15:X21)</f>
        <v>152854</v>
      </c>
      <c r="Y22" s="45"/>
      <c r="Z22" s="235">
        <f>SUM(Z15:Z21)</f>
        <v>152532</v>
      </c>
      <c r="AA22" s="45"/>
      <c r="AC22" s="24">
        <v>1</v>
      </c>
      <c r="AD22" s="18" t="s">
        <v>44</v>
      </c>
      <c r="AE22" s="48">
        <v>45356</v>
      </c>
      <c r="AF22" s="81">
        <v>3000</v>
      </c>
    </row>
    <row r="23" spans="2:33" ht="15" thickTop="1" x14ac:dyDescent="0.3">
      <c r="B23" s="3" t="s">
        <v>17</v>
      </c>
      <c r="C23" s="119" t="s">
        <v>18</v>
      </c>
      <c r="D23" s="39">
        <v>25000</v>
      </c>
      <c r="E23" s="38">
        <v>45299</v>
      </c>
      <c r="F23" s="39">
        <v>25000</v>
      </c>
      <c r="G23" s="38">
        <v>45332</v>
      </c>
      <c r="H23" s="282">
        <v>25000</v>
      </c>
      <c r="I23" s="273">
        <v>45356</v>
      </c>
      <c r="J23" s="39">
        <v>25000</v>
      </c>
      <c r="K23" s="38">
        <v>45384</v>
      </c>
      <c r="L23" s="39">
        <v>25000</v>
      </c>
      <c r="M23" s="38">
        <v>45430</v>
      </c>
      <c r="N23" s="39">
        <v>25000</v>
      </c>
      <c r="O23" s="38">
        <v>45453</v>
      </c>
      <c r="P23" s="39">
        <v>25000</v>
      </c>
      <c r="Q23" s="38">
        <v>45478</v>
      </c>
      <c r="R23" s="39">
        <v>25000</v>
      </c>
      <c r="S23" s="38">
        <v>45514</v>
      </c>
      <c r="T23" s="39">
        <v>25000</v>
      </c>
      <c r="U23" s="38">
        <v>45541</v>
      </c>
      <c r="V23" s="39">
        <v>25000</v>
      </c>
      <c r="W23" s="38">
        <v>45570</v>
      </c>
      <c r="X23" s="39">
        <v>25000</v>
      </c>
      <c r="Y23" s="38">
        <v>45599</v>
      </c>
      <c r="Z23" s="39">
        <v>25000</v>
      </c>
      <c r="AA23" s="38">
        <v>45645</v>
      </c>
      <c r="AC23" s="24">
        <v>2</v>
      </c>
      <c r="AD23" s="18" t="s">
        <v>89</v>
      </c>
      <c r="AE23" s="48">
        <v>45362</v>
      </c>
      <c r="AF23" s="81">
        <v>7000</v>
      </c>
    </row>
    <row r="24" spans="2:33" x14ac:dyDescent="0.3">
      <c r="B24" s="3"/>
      <c r="C24" s="119" t="s">
        <v>19</v>
      </c>
      <c r="D24" s="39">
        <v>25000</v>
      </c>
      <c r="E24" s="38">
        <v>45299</v>
      </c>
      <c r="F24" s="39">
        <v>25000</v>
      </c>
      <c r="G24" s="38">
        <v>45332</v>
      </c>
      <c r="H24" s="282">
        <v>25000</v>
      </c>
      <c r="I24" s="273">
        <v>45356</v>
      </c>
      <c r="J24" s="39">
        <v>25000</v>
      </c>
      <c r="K24" s="38">
        <v>45384</v>
      </c>
      <c r="L24" s="39">
        <v>25000</v>
      </c>
      <c r="M24" s="38">
        <v>45430</v>
      </c>
      <c r="N24" s="39">
        <v>25000</v>
      </c>
      <c r="O24" s="38">
        <v>45453</v>
      </c>
      <c r="P24" s="39">
        <v>25000</v>
      </c>
      <c r="Q24" s="38">
        <v>45478</v>
      </c>
      <c r="R24" s="39">
        <v>25000</v>
      </c>
      <c r="S24" s="38">
        <v>45514</v>
      </c>
      <c r="T24" s="39">
        <v>25000</v>
      </c>
      <c r="U24" s="38">
        <v>45541</v>
      </c>
      <c r="V24" s="39">
        <v>25000</v>
      </c>
      <c r="W24" s="38">
        <v>45570</v>
      </c>
      <c r="X24" s="39">
        <v>25000</v>
      </c>
      <c r="Y24" s="38">
        <v>45599</v>
      </c>
      <c r="Z24" s="39">
        <v>25000</v>
      </c>
      <c r="AA24" s="38">
        <v>45645</v>
      </c>
      <c r="AC24" s="24">
        <v>3</v>
      </c>
      <c r="AD24" s="18" t="s">
        <v>115</v>
      </c>
      <c r="AE24" s="48">
        <v>45371</v>
      </c>
      <c r="AF24" s="203">
        <v>5000</v>
      </c>
    </row>
    <row r="25" spans="2:33" ht="15" thickBot="1" x14ac:dyDescent="0.35">
      <c r="B25" s="44"/>
      <c r="C25" s="118"/>
      <c r="D25" s="236">
        <f>SUM(D23:D24)</f>
        <v>50000</v>
      </c>
      <c r="E25" s="269"/>
      <c r="F25" s="235">
        <f>SUM(F23:F24)</f>
        <v>50000</v>
      </c>
      <c r="G25" s="269"/>
      <c r="H25" s="235">
        <f>SUM(H23:H24)</f>
        <v>50000</v>
      </c>
      <c r="I25" s="269"/>
      <c r="J25" s="235">
        <f>SUM(J23:J24)</f>
        <v>50000</v>
      </c>
      <c r="K25" s="269"/>
      <c r="L25" s="235">
        <f>SUM(L23:L24)</f>
        <v>50000</v>
      </c>
      <c r="M25" s="269"/>
      <c r="N25" s="235">
        <f>SUM(N23:N24)</f>
        <v>50000</v>
      </c>
      <c r="O25" s="269"/>
      <c r="P25" s="235">
        <f>SUM(P23:P24)</f>
        <v>50000</v>
      </c>
      <c r="Q25" s="269"/>
      <c r="R25" s="235">
        <f>SUM(R23:R24)</f>
        <v>50000</v>
      </c>
      <c r="S25" s="269"/>
      <c r="T25" s="235">
        <f>SUM(T23:T24)</f>
        <v>50000</v>
      </c>
      <c r="U25" s="269"/>
      <c r="V25" s="235">
        <f>SUM(V23:V24)</f>
        <v>50000</v>
      </c>
      <c r="W25" s="269"/>
      <c r="X25" s="235">
        <f>SUM(X23:X24)</f>
        <v>50000</v>
      </c>
      <c r="Y25" s="269"/>
      <c r="Z25" s="235">
        <f>SUM(Z23:Z24)</f>
        <v>50000</v>
      </c>
      <c r="AA25" s="269"/>
      <c r="AC25" s="24">
        <v>4</v>
      </c>
      <c r="AD25" s="213" t="s">
        <v>833</v>
      </c>
      <c r="AE25" s="48">
        <v>45371</v>
      </c>
      <c r="AF25" s="81">
        <v>1000</v>
      </c>
    </row>
    <row r="26" spans="2:33" ht="15" thickTop="1" x14ac:dyDescent="0.3">
      <c r="B26" s="3" t="s">
        <v>62</v>
      </c>
      <c r="C26" s="120" t="s">
        <v>61</v>
      </c>
      <c r="D26" s="39">
        <v>9600</v>
      </c>
      <c r="E26" s="38">
        <v>45292</v>
      </c>
      <c r="F26" s="42">
        <v>9500</v>
      </c>
      <c r="G26" s="38">
        <v>45330</v>
      </c>
      <c r="H26" s="42">
        <v>9500</v>
      </c>
      <c r="I26" s="38">
        <v>45376</v>
      </c>
      <c r="J26" s="42">
        <v>9500</v>
      </c>
      <c r="K26" s="38">
        <v>45412</v>
      </c>
      <c r="L26" s="42">
        <v>9500</v>
      </c>
      <c r="M26" s="38">
        <v>45443</v>
      </c>
      <c r="N26" s="42"/>
      <c r="O26" s="38"/>
      <c r="P26" s="42">
        <v>9500</v>
      </c>
      <c r="Q26" s="38">
        <v>45478</v>
      </c>
      <c r="R26" s="42">
        <v>10900</v>
      </c>
      <c r="S26" s="38">
        <v>45509</v>
      </c>
      <c r="T26" s="42">
        <v>9500</v>
      </c>
      <c r="U26" s="38">
        <v>45541</v>
      </c>
      <c r="V26" s="42">
        <v>9500</v>
      </c>
      <c r="W26" s="38">
        <v>45585</v>
      </c>
      <c r="X26" s="42">
        <v>9500</v>
      </c>
      <c r="Y26" s="38">
        <v>45599</v>
      </c>
      <c r="Z26" s="42">
        <f>9500+1200</f>
        <v>10700</v>
      </c>
      <c r="AA26" s="38"/>
      <c r="AC26" s="24">
        <v>5</v>
      </c>
      <c r="AD26" s="18" t="s">
        <v>834</v>
      </c>
      <c r="AE26" s="48">
        <v>45376</v>
      </c>
      <c r="AF26" s="81">
        <v>1500</v>
      </c>
      <c r="AG26" t="s">
        <v>836</v>
      </c>
    </row>
    <row r="27" spans="2:33" x14ac:dyDescent="0.3">
      <c r="B27" s="3"/>
      <c r="C27" s="120" t="s">
        <v>816</v>
      </c>
      <c r="D27" s="39">
        <v>14900</v>
      </c>
      <c r="E27" s="38">
        <v>45301</v>
      </c>
      <c r="F27" s="42"/>
      <c r="G27" s="38"/>
      <c r="H27" s="42"/>
      <c r="I27" s="38"/>
      <c r="J27" s="42"/>
      <c r="K27" s="38"/>
      <c r="L27" s="42">
        <f>1100+1100</f>
        <v>2200</v>
      </c>
      <c r="M27" s="38">
        <v>45414</v>
      </c>
      <c r="N27" s="42"/>
      <c r="O27" s="38"/>
      <c r="P27" s="42">
        <v>4800</v>
      </c>
      <c r="Q27" s="38">
        <v>45489</v>
      </c>
      <c r="R27" s="42">
        <v>1100</v>
      </c>
      <c r="S27" s="38">
        <v>45514</v>
      </c>
      <c r="T27" s="42">
        <v>7600</v>
      </c>
      <c r="U27" s="38">
        <v>45541</v>
      </c>
      <c r="V27" s="42">
        <v>2500</v>
      </c>
      <c r="W27" s="38">
        <v>45590</v>
      </c>
      <c r="X27" s="42"/>
      <c r="Y27" s="38"/>
      <c r="Z27" s="42">
        <v>8200</v>
      </c>
      <c r="AA27" s="38">
        <v>45627</v>
      </c>
      <c r="AC27" s="24"/>
      <c r="AD27" s="18"/>
      <c r="AE27" s="48"/>
      <c r="AF27" s="81"/>
    </row>
    <row r="28" spans="2:33" x14ac:dyDescent="0.3">
      <c r="B28" s="3"/>
      <c r="C28" s="120" t="s">
        <v>954</v>
      </c>
      <c r="D28" s="39"/>
      <c r="E28" s="38"/>
      <c r="F28" s="42"/>
      <c r="G28" s="38"/>
      <c r="H28" s="42"/>
      <c r="I28" s="38"/>
      <c r="J28" s="42">
        <v>6500</v>
      </c>
      <c r="K28" s="38">
        <v>45392</v>
      </c>
      <c r="L28" s="42"/>
      <c r="M28" s="38"/>
      <c r="N28" s="42"/>
      <c r="O28" s="38"/>
      <c r="P28" s="42"/>
      <c r="Q28" s="38"/>
      <c r="R28" s="42"/>
      <c r="S28" s="38"/>
      <c r="T28" s="42"/>
      <c r="U28" s="38"/>
      <c r="V28" s="42">
        <v>5200</v>
      </c>
      <c r="W28" s="38">
        <v>45585</v>
      </c>
      <c r="X28" s="42"/>
      <c r="Y28" s="38"/>
      <c r="Z28" s="42"/>
      <c r="AA28" s="38"/>
      <c r="AC28" s="100">
        <v>45352</v>
      </c>
      <c r="AD28" s="70"/>
      <c r="AE28" s="70"/>
      <c r="AF28" s="71">
        <f>SUM(AF22:AF27)</f>
        <v>17500</v>
      </c>
    </row>
    <row r="29" spans="2:33" x14ac:dyDescent="0.3">
      <c r="B29" s="3"/>
      <c r="C29" s="120" t="s">
        <v>957</v>
      </c>
      <c r="D29" s="39"/>
      <c r="E29" s="38"/>
      <c r="F29" s="42"/>
      <c r="G29" s="38"/>
      <c r="H29" s="42"/>
      <c r="I29" s="38"/>
      <c r="J29" s="42"/>
      <c r="K29" s="38"/>
      <c r="L29" s="42">
        <v>1500</v>
      </c>
      <c r="M29" s="38">
        <v>45414</v>
      </c>
      <c r="N29" s="42"/>
      <c r="O29" s="38"/>
      <c r="P29" s="42"/>
      <c r="Q29" s="38"/>
      <c r="R29" s="42"/>
      <c r="S29" s="38"/>
      <c r="T29" s="42">
        <v>950</v>
      </c>
      <c r="U29" s="38">
        <v>45549</v>
      </c>
      <c r="V29" s="42"/>
      <c r="W29" s="38"/>
      <c r="X29" s="42"/>
      <c r="Y29" s="38"/>
      <c r="Z29" s="42"/>
      <c r="AA29" s="38"/>
    </row>
    <row r="30" spans="2:33" x14ac:dyDescent="0.3">
      <c r="B30" s="3"/>
      <c r="C30" s="120" t="s">
        <v>961</v>
      </c>
      <c r="D30" s="39"/>
      <c r="E30" s="38"/>
      <c r="F30" s="42"/>
      <c r="G30" s="38"/>
      <c r="H30" s="42"/>
      <c r="I30" s="38"/>
      <c r="J30" s="42"/>
      <c r="K30" s="38"/>
      <c r="L30" s="42">
        <v>9700</v>
      </c>
      <c r="M30" s="38">
        <v>45430</v>
      </c>
      <c r="N30" s="42"/>
      <c r="O30" s="38"/>
      <c r="P30" s="42"/>
      <c r="Q30" s="38"/>
      <c r="R30" s="42"/>
      <c r="S30" s="38"/>
      <c r="T30" s="42">
        <v>2000</v>
      </c>
      <c r="U30" s="38">
        <v>45549</v>
      </c>
      <c r="V30" s="42"/>
      <c r="W30" s="38"/>
      <c r="X30" s="42"/>
      <c r="Y30" s="38"/>
      <c r="Z30" s="42">
        <v>8400</v>
      </c>
      <c r="AA30" s="38">
        <v>45633</v>
      </c>
      <c r="AC30" s="24">
        <v>1</v>
      </c>
      <c r="AD30" s="18" t="s">
        <v>952</v>
      </c>
      <c r="AE30" s="48">
        <v>45384</v>
      </c>
      <c r="AF30" s="81">
        <v>8800</v>
      </c>
    </row>
    <row r="31" spans="2:33" x14ac:dyDescent="0.3">
      <c r="B31" s="3"/>
      <c r="C31" s="120" t="s">
        <v>1156</v>
      </c>
      <c r="D31" s="159"/>
      <c r="E31" s="38"/>
      <c r="F31" s="106"/>
      <c r="G31" s="38"/>
      <c r="H31" s="106"/>
      <c r="I31" s="38"/>
      <c r="J31" s="106"/>
      <c r="K31" s="38"/>
      <c r="L31" s="106">
        <v>2200</v>
      </c>
      <c r="M31" s="38">
        <v>45443</v>
      </c>
      <c r="N31" s="106">
        <v>5300</v>
      </c>
      <c r="O31" s="38">
        <v>45452</v>
      </c>
      <c r="P31" s="106"/>
      <c r="Q31" s="38"/>
      <c r="R31" s="106"/>
      <c r="S31" s="38"/>
      <c r="T31" s="106"/>
      <c r="U31" s="38"/>
      <c r="V31" s="106"/>
      <c r="W31" s="38"/>
      <c r="X31" s="106"/>
      <c r="Y31" s="38"/>
      <c r="Z31" s="106">
        <v>85000</v>
      </c>
      <c r="AA31" s="38">
        <v>45636</v>
      </c>
      <c r="AC31" s="24">
        <v>2</v>
      </c>
      <c r="AD31" s="18" t="s">
        <v>44</v>
      </c>
      <c r="AE31" s="48">
        <v>45387</v>
      </c>
      <c r="AF31" s="81">
        <v>3000</v>
      </c>
    </row>
    <row r="32" spans="2:33" x14ac:dyDescent="0.3">
      <c r="B32" s="3"/>
      <c r="C32" s="120" t="s">
        <v>1131</v>
      </c>
      <c r="D32" s="39"/>
      <c r="E32" s="38"/>
      <c r="F32" s="42"/>
      <c r="G32" s="38"/>
      <c r="H32" s="42"/>
      <c r="I32" s="38"/>
      <c r="J32" s="42"/>
      <c r="K32" s="38"/>
      <c r="L32" s="42"/>
      <c r="M32" s="38"/>
      <c r="N32" s="42"/>
      <c r="O32" s="38"/>
      <c r="P32" s="42"/>
      <c r="Q32" s="38"/>
      <c r="R32" s="42"/>
      <c r="S32" s="38"/>
      <c r="T32" s="42">
        <v>7500</v>
      </c>
      <c r="U32" s="38">
        <v>45549</v>
      </c>
      <c r="V32" s="42"/>
      <c r="W32" s="38"/>
      <c r="X32" s="42"/>
      <c r="Y32" s="38"/>
      <c r="Z32" s="42"/>
      <c r="AA32" s="38"/>
      <c r="AC32" s="24">
        <v>3</v>
      </c>
      <c r="AD32" s="18" t="s">
        <v>89</v>
      </c>
      <c r="AE32" s="48">
        <v>45387</v>
      </c>
      <c r="AF32" s="291">
        <v>5000</v>
      </c>
    </row>
    <row r="33" spans="2:32" ht="15" thickBot="1" x14ac:dyDescent="0.35">
      <c r="B33" s="44"/>
      <c r="C33" s="118"/>
      <c r="D33" s="236">
        <f>SUM(D26:D32)</f>
        <v>24500</v>
      </c>
      <c r="E33" s="269"/>
      <c r="F33" s="235">
        <f>SUM(F26:F32)</f>
        <v>9500</v>
      </c>
      <c r="G33" s="269"/>
      <c r="H33" s="235">
        <f>SUM(H26:H32)</f>
        <v>9500</v>
      </c>
      <c r="I33" s="269"/>
      <c r="J33" s="235">
        <f>SUM(J26:J32)</f>
        <v>16000</v>
      </c>
      <c r="K33" s="269"/>
      <c r="L33" s="235">
        <f>SUM(L26:L32)</f>
        <v>25100</v>
      </c>
      <c r="M33" s="269"/>
      <c r="N33" s="235">
        <f>SUM(N26:N32)</f>
        <v>5300</v>
      </c>
      <c r="O33" s="269"/>
      <c r="P33" s="235">
        <f>SUM(P26:P32)</f>
        <v>14300</v>
      </c>
      <c r="Q33" s="269"/>
      <c r="R33" s="235">
        <f>SUM(R26:R32)</f>
        <v>12000</v>
      </c>
      <c r="S33" s="269"/>
      <c r="T33" s="235">
        <f>SUM(T26:T32)</f>
        <v>27550</v>
      </c>
      <c r="U33" s="269"/>
      <c r="V33" s="235">
        <f>SUM(V26:V32)</f>
        <v>17200</v>
      </c>
      <c r="W33" s="269"/>
      <c r="X33" s="235">
        <f>SUM(X26:X32)</f>
        <v>9500</v>
      </c>
      <c r="Y33" s="269"/>
      <c r="Z33" s="235">
        <f>SUM(Z26:Z32)</f>
        <v>112300</v>
      </c>
      <c r="AA33" s="269"/>
      <c r="AC33" s="24">
        <v>4</v>
      </c>
      <c r="AD33" s="18" t="s">
        <v>955</v>
      </c>
      <c r="AE33" s="48">
        <v>45406</v>
      </c>
      <c r="AF33" s="81">
        <v>2500</v>
      </c>
    </row>
    <row r="34" spans="2:32" ht="15" thickTop="1" x14ac:dyDescent="0.3">
      <c r="B34" s="6" t="s">
        <v>21</v>
      </c>
      <c r="C34" s="80"/>
      <c r="D34" s="170">
        <f>+AF12</f>
        <v>14850</v>
      </c>
      <c r="E34" s="292" t="s">
        <v>754</v>
      </c>
      <c r="F34" s="91">
        <f>+AF20</f>
        <v>15100</v>
      </c>
      <c r="G34" s="292" t="s">
        <v>754</v>
      </c>
      <c r="H34" s="91">
        <f>+AF28</f>
        <v>17500</v>
      </c>
      <c r="I34" s="292" t="s">
        <v>754</v>
      </c>
      <c r="J34" s="91">
        <f>+AF35</f>
        <v>19300</v>
      </c>
      <c r="K34" s="292" t="s">
        <v>754</v>
      </c>
      <c r="L34" s="91">
        <f>+AF41</f>
        <v>10200</v>
      </c>
      <c r="M34" s="292" t="s">
        <v>754</v>
      </c>
      <c r="N34" s="91">
        <f>+AF48</f>
        <v>19257</v>
      </c>
      <c r="O34" s="292" t="s">
        <v>754</v>
      </c>
      <c r="P34" s="91">
        <f>+AF55</f>
        <v>24890</v>
      </c>
      <c r="Q34" s="292" t="s">
        <v>754</v>
      </c>
      <c r="R34" s="91">
        <f>+AF65</f>
        <v>41230</v>
      </c>
      <c r="S34" s="292" t="s">
        <v>754</v>
      </c>
      <c r="T34" s="91">
        <f>+AF73</f>
        <v>24530</v>
      </c>
      <c r="U34" s="292" t="s">
        <v>754</v>
      </c>
      <c r="V34" s="91">
        <f>+AF81</f>
        <v>21500</v>
      </c>
      <c r="W34" s="292" t="s">
        <v>754</v>
      </c>
      <c r="X34" s="91">
        <f>+AF89</f>
        <v>15600</v>
      </c>
      <c r="Y34" s="292" t="s">
        <v>754</v>
      </c>
      <c r="Z34" s="91">
        <f>+AF97</f>
        <v>20610</v>
      </c>
      <c r="AA34" s="292" t="s">
        <v>754</v>
      </c>
      <c r="AC34" s="18"/>
      <c r="AD34" s="18"/>
      <c r="AE34" s="18"/>
      <c r="AF34" s="18"/>
    </row>
    <row r="35" spans="2:32" x14ac:dyDescent="0.3">
      <c r="B35" s="3"/>
      <c r="C35" s="80"/>
      <c r="D35" s="39"/>
      <c r="E35" s="2"/>
      <c r="F35" s="42"/>
      <c r="G35" s="2"/>
      <c r="H35" s="42"/>
      <c r="I35" s="2"/>
      <c r="J35" s="42"/>
      <c r="K35" s="2"/>
      <c r="L35" s="42"/>
      <c r="M35" s="2"/>
      <c r="N35" s="42"/>
      <c r="O35" s="2"/>
      <c r="P35" s="42"/>
      <c r="Q35" s="2"/>
      <c r="R35" s="42"/>
      <c r="S35" s="2"/>
      <c r="T35" s="42"/>
      <c r="U35" s="2"/>
      <c r="V35" s="42"/>
      <c r="W35" s="2"/>
      <c r="X35" s="42"/>
      <c r="Y35" s="2"/>
      <c r="Z35" s="42"/>
      <c r="AA35" s="2"/>
      <c r="AC35" s="100">
        <v>45383</v>
      </c>
      <c r="AD35" s="70"/>
      <c r="AE35" s="70"/>
      <c r="AF35" s="71">
        <f>SUM(AF30:AF33)</f>
        <v>19300</v>
      </c>
    </row>
    <row r="36" spans="2:32" ht="15" thickBot="1" x14ac:dyDescent="0.35">
      <c r="B36" s="44"/>
      <c r="C36" s="118"/>
      <c r="D36" s="236">
        <f>SUM(D34:D35)</f>
        <v>14850</v>
      </c>
      <c r="E36" s="269"/>
      <c r="F36" s="235">
        <f>+AF20</f>
        <v>15100</v>
      </c>
      <c r="G36" s="269"/>
      <c r="H36" s="235">
        <f>SUM(H34:H35)</f>
        <v>17500</v>
      </c>
      <c r="I36" s="269"/>
      <c r="J36" s="235">
        <f>SUM(J34:J35)</f>
        <v>19300</v>
      </c>
      <c r="K36" s="269"/>
      <c r="L36" s="235">
        <f>SUM(L34:L35)</f>
        <v>10200</v>
      </c>
      <c r="M36" s="269"/>
      <c r="N36" s="235">
        <f>SUM(N34:N35)</f>
        <v>19257</v>
      </c>
      <c r="O36" s="269"/>
      <c r="P36" s="235">
        <f>SUM(P34:P35)</f>
        <v>24890</v>
      </c>
      <c r="Q36" s="269"/>
      <c r="R36" s="235">
        <f>SUM(R34:R35)</f>
        <v>41230</v>
      </c>
      <c r="S36" s="269"/>
      <c r="T36" s="235">
        <f>SUM(T34:T35)</f>
        <v>24530</v>
      </c>
      <c r="U36" s="269"/>
      <c r="V36" s="235">
        <f>SUM(V34:V35)</f>
        <v>21500</v>
      </c>
      <c r="W36" s="269"/>
      <c r="X36" s="235">
        <f>SUM(X34:X35)</f>
        <v>15600</v>
      </c>
      <c r="Y36" s="269"/>
      <c r="Z36" s="235">
        <f>SUM(Z34:Z35)</f>
        <v>20610</v>
      </c>
      <c r="AA36" s="269"/>
    </row>
    <row r="37" spans="2:32" ht="15" thickTop="1" x14ac:dyDescent="0.3">
      <c r="B37" s="3" t="s">
        <v>33</v>
      </c>
      <c r="C37" s="117" t="s">
        <v>34</v>
      </c>
      <c r="D37" s="39">
        <v>199495</v>
      </c>
      <c r="E37" s="38">
        <v>45321</v>
      </c>
      <c r="F37" s="42">
        <v>182471</v>
      </c>
      <c r="G37" s="38">
        <v>45351</v>
      </c>
      <c r="H37" s="42">
        <v>182901</v>
      </c>
      <c r="I37" s="38">
        <v>45382</v>
      </c>
      <c r="J37" s="42">
        <v>253462</v>
      </c>
      <c r="K37" s="38">
        <v>45418</v>
      </c>
      <c r="L37" s="42">
        <v>271300</v>
      </c>
      <c r="M37" s="38">
        <v>45470</v>
      </c>
      <c r="N37" s="42">
        <v>245427</v>
      </c>
      <c r="O37" s="38">
        <v>45477</v>
      </c>
      <c r="P37" s="42">
        <v>283531</v>
      </c>
      <c r="Q37" s="38">
        <v>45504</v>
      </c>
      <c r="R37" s="42">
        <v>281334</v>
      </c>
      <c r="S37" s="38">
        <v>45546</v>
      </c>
      <c r="T37" s="42">
        <v>236550</v>
      </c>
      <c r="U37" s="38">
        <v>45566</v>
      </c>
      <c r="V37" s="42">
        <v>260098</v>
      </c>
      <c r="W37" s="38">
        <v>45597</v>
      </c>
      <c r="X37" s="42">
        <v>267330</v>
      </c>
      <c r="Y37" s="38">
        <v>45628</v>
      </c>
      <c r="Z37" s="42">
        <v>255800</v>
      </c>
      <c r="AA37" s="38">
        <v>45657</v>
      </c>
      <c r="AC37" s="24">
        <v>1</v>
      </c>
      <c r="AD37" s="18" t="s">
        <v>44</v>
      </c>
      <c r="AE37" s="48">
        <v>45414</v>
      </c>
      <c r="AF37" s="81">
        <v>3000</v>
      </c>
    </row>
    <row r="38" spans="2:32" x14ac:dyDescent="0.3">
      <c r="B38" s="3"/>
      <c r="C38" s="117"/>
      <c r="D38" s="3"/>
      <c r="E38" s="2"/>
      <c r="F38" s="4"/>
      <c r="G38" s="2"/>
      <c r="H38" s="4"/>
      <c r="I38" s="2"/>
      <c r="J38" s="4"/>
      <c r="K38" s="2"/>
      <c r="L38" s="4"/>
      <c r="M38" s="2"/>
      <c r="N38" s="4"/>
      <c r="O38" s="2"/>
      <c r="P38" s="4"/>
      <c r="Q38" s="2"/>
      <c r="R38" s="4"/>
      <c r="S38" s="2"/>
      <c r="T38" s="4"/>
      <c r="U38" s="2"/>
      <c r="V38" s="4"/>
      <c r="W38" s="2"/>
      <c r="X38" s="4"/>
      <c r="Y38" s="2"/>
      <c r="Z38" s="4"/>
      <c r="AA38" s="2"/>
      <c r="AC38" s="24">
        <v>2</v>
      </c>
      <c r="AD38" s="18" t="s">
        <v>89</v>
      </c>
      <c r="AE38" s="48">
        <v>45414</v>
      </c>
      <c r="AF38" s="291">
        <v>6500</v>
      </c>
    </row>
    <row r="39" spans="2:32" ht="15" thickBot="1" x14ac:dyDescent="0.35">
      <c r="B39" s="44"/>
      <c r="C39" s="118"/>
      <c r="D39" s="236">
        <f>SUM(D37:D38)</f>
        <v>199495</v>
      </c>
      <c r="E39" s="269"/>
      <c r="F39" s="235">
        <f>SUM(F37:F38)</f>
        <v>182471</v>
      </c>
      <c r="G39" s="269"/>
      <c r="H39" s="235">
        <f>SUM(H37:H38)</f>
        <v>182901</v>
      </c>
      <c r="I39" s="269"/>
      <c r="J39" s="235">
        <f>SUM(J37:J38)</f>
        <v>253462</v>
      </c>
      <c r="K39" s="269"/>
      <c r="L39" s="235">
        <f>SUM(L37:L38)</f>
        <v>271300</v>
      </c>
      <c r="M39" s="269"/>
      <c r="N39" s="235">
        <f>SUM(N37:N38)</f>
        <v>245427</v>
      </c>
      <c r="O39" s="269"/>
      <c r="P39" s="235">
        <f>SUM(P37:P38)</f>
        <v>283531</v>
      </c>
      <c r="Q39" s="269"/>
      <c r="R39" s="235">
        <f>SUM(R37:R38)</f>
        <v>281334</v>
      </c>
      <c r="S39" s="269"/>
      <c r="T39" s="235">
        <f>SUM(T37:T38)</f>
        <v>236550</v>
      </c>
      <c r="U39" s="269"/>
      <c r="V39" s="235">
        <f>SUM(V37:V38)</f>
        <v>260098</v>
      </c>
      <c r="W39" s="269"/>
      <c r="X39" s="235">
        <f>SUM(X37:X38)</f>
        <v>267330</v>
      </c>
      <c r="Y39" s="269"/>
      <c r="Z39" s="235">
        <f>SUM(Z37:Z38)</f>
        <v>255800</v>
      </c>
      <c r="AA39" s="269"/>
      <c r="AC39" s="24">
        <v>3</v>
      </c>
      <c r="AD39" s="18" t="s">
        <v>958</v>
      </c>
      <c r="AE39" s="48">
        <v>45414</v>
      </c>
      <c r="AF39" s="81">
        <v>700</v>
      </c>
    </row>
    <row r="40" spans="2:32" ht="15" thickTop="1" x14ac:dyDescent="0.3">
      <c r="B40" s="3" t="s">
        <v>143</v>
      </c>
      <c r="C40" s="117" t="s">
        <v>832</v>
      </c>
      <c r="D40" s="39"/>
      <c r="E40" s="38"/>
      <c r="F40" s="39"/>
      <c r="G40" s="38"/>
      <c r="H40" s="39">
        <v>700</v>
      </c>
      <c r="I40" s="38">
        <v>45371</v>
      </c>
      <c r="J40" s="39">
        <v>1000</v>
      </c>
      <c r="K40" s="38">
        <v>45406</v>
      </c>
      <c r="L40" s="39"/>
      <c r="M40" s="38"/>
      <c r="N40" s="39">
        <v>1600</v>
      </c>
      <c r="O40" s="38">
        <v>45463</v>
      </c>
      <c r="P40" s="39"/>
      <c r="Q40" s="38"/>
      <c r="R40" s="39"/>
      <c r="S40" s="38"/>
      <c r="T40" s="39"/>
      <c r="U40" s="38"/>
      <c r="V40" s="39"/>
      <c r="W40" s="38"/>
      <c r="X40" s="39"/>
      <c r="Y40" s="38"/>
      <c r="Z40" s="39"/>
      <c r="AA40" s="38"/>
      <c r="AC40" s="24"/>
      <c r="AD40" s="18"/>
      <c r="AE40" s="48"/>
      <c r="AF40" s="81"/>
    </row>
    <row r="41" spans="2:32" x14ac:dyDescent="0.3">
      <c r="B41" s="3"/>
      <c r="C41" s="117" t="s">
        <v>1154</v>
      </c>
      <c r="D41" s="39"/>
      <c r="E41" s="38"/>
      <c r="F41" s="39"/>
      <c r="G41" s="38"/>
      <c r="H41" s="39">
        <v>19200</v>
      </c>
      <c r="I41" s="38">
        <v>45381</v>
      </c>
      <c r="J41" s="39"/>
      <c r="K41" s="38"/>
      <c r="L41" s="39"/>
      <c r="M41" s="38"/>
      <c r="N41" s="39"/>
      <c r="O41" s="38"/>
      <c r="P41" s="39"/>
      <c r="Q41" s="38"/>
      <c r="R41" s="39">
        <v>6600</v>
      </c>
      <c r="S41" s="38">
        <v>45535</v>
      </c>
      <c r="T41" s="39"/>
      <c r="U41" s="38"/>
      <c r="V41" s="39"/>
      <c r="W41" s="38"/>
      <c r="X41" s="39">
        <f>23800+900</f>
        <v>24700</v>
      </c>
      <c r="Y41" s="38">
        <v>45612</v>
      </c>
      <c r="Z41" s="39">
        <f>-Naveed!AT125</f>
        <v>20000</v>
      </c>
      <c r="AA41" s="38"/>
      <c r="AC41" s="324">
        <v>45413</v>
      </c>
      <c r="AD41" s="325"/>
      <c r="AE41" s="325"/>
      <c r="AF41" s="326">
        <f>SUM(AF37:AF40)</f>
        <v>10200</v>
      </c>
    </row>
    <row r="42" spans="2:32" x14ac:dyDescent="0.3">
      <c r="B42" s="3"/>
      <c r="C42" s="117" t="s">
        <v>963</v>
      </c>
      <c r="D42" s="39"/>
      <c r="E42" s="38"/>
      <c r="F42" s="39"/>
      <c r="G42" s="38"/>
      <c r="H42" s="39">
        <v>2000</v>
      </c>
      <c r="I42" s="38">
        <v>45382</v>
      </c>
      <c r="J42" s="39"/>
      <c r="K42" s="38"/>
      <c r="L42" s="39"/>
      <c r="M42" s="38"/>
      <c r="N42" s="39">
        <v>8000</v>
      </c>
      <c r="O42" s="38">
        <v>45458</v>
      </c>
      <c r="P42" s="39"/>
      <c r="Q42" s="38"/>
      <c r="R42" s="39">
        <v>2600</v>
      </c>
      <c r="S42" s="77">
        <v>45535</v>
      </c>
      <c r="T42" s="39"/>
      <c r="U42" s="38"/>
      <c r="V42" s="39"/>
      <c r="W42" s="38"/>
      <c r="X42" s="39">
        <v>6000</v>
      </c>
      <c r="Y42" s="38">
        <v>45612</v>
      </c>
      <c r="Z42" s="39"/>
      <c r="AA42" s="38"/>
    </row>
    <row r="43" spans="2:32" x14ac:dyDescent="0.3">
      <c r="B43" s="3"/>
      <c r="C43" s="293" t="s">
        <v>959</v>
      </c>
      <c r="D43" s="282"/>
      <c r="E43" s="38"/>
      <c r="F43" s="204"/>
      <c r="G43" s="38"/>
      <c r="H43" s="204"/>
      <c r="I43" s="38"/>
      <c r="J43" s="204"/>
      <c r="K43" s="38"/>
      <c r="L43" s="204">
        <v>2500</v>
      </c>
      <c r="M43" s="38">
        <v>45430</v>
      </c>
      <c r="N43" s="204"/>
      <c r="O43" s="38"/>
      <c r="P43" s="204"/>
      <c r="Q43" s="38"/>
      <c r="R43" s="204"/>
      <c r="S43" s="38"/>
      <c r="T43" s="204"/>
      <c r="U43" s="38"/>
      <c r="V43" s="204"/>
      <c r="W43" s="38"/>
      <c r="X43" s="204"/>
      <c r="Y43" s="38"/>
      <c r="Z43" s="204"/>
      <c r="AA43" s="38"/>
      <c r="AC43" s="24">
        <v>1</v>
      </c>
      <c r="AD43" s="18" t="s">
        <v>236</v>
      </c>
      <c r="AE43" s="48">
        <v>45452</v>
      </c>
      <c r="AF43" s="81">
        <v>3500</v>
      </c>
    </row>
    <row r="44" spans="2:32" x14ac:dyDescent="0.3">
      <c r="B44" s="3"/>
      <c r="C44" s="117" t="s">
        <v>960</v>
      </c>
      <c r="D44" s="39"/>
      <c r="E44" s="38"/>
      <c r="F44" s="42"/>
      <c r="G44" s="38"/>
      <c r="H44" s="42"/>
      <c r="I44" s="38"/>
      <c r="J44" s="42"/>
      <c r="K44" s="38"/>
      <c r="L44" s="42">
        <v>5000</v>
      </c>
      <c r="M44" s="38">
        <v>45437</v>
      </c>
      <c r="N44" s="42"/>
      <c r="O44" s="38"/>
      <c r="P44" s="42"/>
      <c r="Q44" s="38"/>
      <c r="R44" s="42"/>
      <c r="S44" s="38"/>
      <c r="T44" s="42"/>
      <c r="U44" s="38"/>
      <c r="V44" s="42"/>
      <c r="W44" s="38"/>
      <c r="X44" s="42"/>
      <c r="Y44" s="38"/>
      <c r="Z44" s="42"/>
      <c r="AA44" s="38"/>
      <c r="AC44" s="24">
        <v>2</v>
      </c>
      <c r="AD44" s="18" t="s">
        <v>44</v>
      </c>
      <c r="AE44" s="48">
        <v>45453</v>
      </c>
      <c r="AF44" s="81">
        <v>4000</v>
      </c>
    </row>
    <row r="45" spans="2:32" x14ac:dyDescent="0.3">
      <c r="B45" s="78"/>
      <c r="C45" s="117" t="s">
        <v>1155</v>
      </c>
      <c r="D45" s="169"/>
      <c r="E45" s="138"/>
      <c r="F45" s="79"/>
      <c r="G45" s="138"/>
      <c r="H45" s="79"/>
      <c r="I45" s="138"/>
      <c r="J45" s="79"/>
      <c r="K45" s="138"/>
      <c r="L45" s="79"/>
      <c r="M45" s="138"/>
      <c r="N45" s="79"/>
      <c r="O45" s="138"/>
      <c r="P45" s="79"/>
      <c r="Q45" s="138"/>
      <c r="R45" s="79"/>
      <c r="S45" s="138"/>
      <c r="T45" s="79"/>
      <c r="U45" s="138"/>
      <c r="V45" s="79"/>
      <c r="W45" s="138"/>
      <c r="X45" s="79">
        <v>31000</v>
      </c>
      <c r="Y45" s="38">
        <v>45612</v>
      </c>
      <c r="Z45" s="79"/>
      <c r="AA45" s="138"/>
      <c r="AC45" s="24">
        <v>3</v>
      </c>
      <c r="AD45" s="18" t="s">
        <v>89</v>
      </c>
      <c r="AE45" s="48">
        <v>45453</v>
      </c>
      <c r="AF45" s="81">
        <v>7000</v>
      </c>
    </row>
    <row r="46" spans="2:32" ht="15" thickBot="1" x14ac:dyDescent="0.35">
      <c r="B46" s="44"/>
      <c r="C46" s="118"/>
      <c r="D46" s="236">
        <f>SUM(D40:D45)</f>
        <v>0</v>
      </c>
      <c r="E46" s="269"/>
      <c r="F46" s="235">
        <f>SUM(F40:F45)</f>
        <v>0</v>
      </c>
      <c r="G46" s="269"/>
      <c r="H46" s="235">
        <f>SUM(H40:H45)</f>
        <v>21900</v>
      </c>
      <c r="I46" s="269"/>
      <c r="J46" s="235">
        <f>SUM(J40:J45)</f>
        <v>1000</v>
      </c>
      <c r="K46" s="269"/>
      <c r="L46" s="235">
        <f>SUM(L40:L45)</f>
        <v>7500</v>
      </c>
      <c r="M46" s="269"/>
      <c r="N46" s="235">
        <f>SUM(N40:N45)</f>
        <v>9600</v>
      </c>
      <c r="O46" s="269"/>
      <c r="P46" s="235">
        <f>SUM(P40:P45)</f>
        <v>0</v>
      </c>
      <c r="Q46" s="269"/>
      <c r="R46" s="235">
        <f>SUM(R40:R45)</f>
        <v>9200</v>
      </c>
      <c r="S46" s="269"/>
      <c r="T46" s="235">
        <f>SUM(T40:T45)</f>
        <v>0</v>
      </c>
      <c r="U46" s="269"/>
      <c r="V46" s="235">
        <f>SUM(V40:V45)</f>
        <v>0</v>
      </c>
      <c r="W46" s="269"/>
      <c r="X46" s="235">
        <f>SUM(X40:X45)</f>
        <v>61700</v>
      </c>
      <c r="Y46" s="269"/>
      <c r="Z46" s="235">
        <f>SUM(Z40:Z45)</f>
        <v>20000</v>
      </c>
      <c r="AA46" s="269"/>
      <c r="AC46" s="24">
        <v>4</v>
      </c>
      <c r="AD46" s="18" t="s">
        <v>962</v>
      </c>
      <c r="AE46" s="48">
        <v>45453</v>
      </c>
      <c r="AF46" s="81">
        <v>3000</v>
      </c>
    </row>
    <row r="47" spans="2:32" ht="15" thickTop="1" x14ac:dyDescent="0.3">
      <c r="B47" s="3" t="s">
        <v>83</v>
      </c>
      <c r="C47" s="117" t="s">
        <v>75</v>
      </c>
      <c r="D47" s="136"/>
      <c r="E47" s="38"/>
      <c r="F47" s="136"/>
      <c r="G47" s="38"/>
      <c r="H47" s="136"/>
      <c r="I47" s="38"/>
      <c r="J47" s="136"/>
      <c r="K47" s="38"/>
      <c r="L47" s="136"/>
      <c r="M47" s="38"/>
      <c r="N47" s="136"/>
      <c r="O47" s="38"/>
      <c r="P47" s="136"/>
      <c r="Q47" s="38"/>
      <c r="R47" s="136"/>
      <c r="S47" s="38"/>
      <c r="T47" s="136"/>
      <c r="U47" s="38"/>
      <c r="V47" s="136"/>
      <c r="W47" s="38"/>
      <c r="X47" s="136"/>
      <c r="Y47" s="38"/>
      <c r="Z47" s="136"/>
      <c r="AA47" s="38"/>
      <c r="AC47" s="24">
        <v>5</v>
      </c>
      <c r="AD47" s="18" t="s">
        <v>886</v>
      </c>
      <c r="AE47" s="77">
        <v>45410</v>
      </c>
      <c r="AF47" s="81">
        <v>1757</v>
      </c>
    </row>
    <row r="48" spans="2:32" x14ac:dyDescent="0.3">
      <c r="B48" s="3"/>
      <c r="C48" s="117" t="s">
        <v>76</v>
      </c>
      <c r="D48" s="136">
        <v>5000</v>
      </c>
      <c r="E48" s="38">
        <v>45304</v>
      </c>
      <c r="F48" s="136">
        <v>5000</v>
      </c>
      <c r="G48" s="38">
        <v>45330</v>
      </c>
      <c r="H48" s="136">
        <v>5000</v>
      </c>
      <c r="I48" s="38">
        <v>45362</v>
      </c>
      <c r="J48" s="136"/>
      <c r="K48" s="38"/>
      <c r="L48" s="136">
        <v>5000</v>
      </c>
      <c r="M48" s="38">
        <v>45437</v>
      </c>
      <c r="N48" s="136">
        <f>5000+5000+5000</f>
        <v>15000</v>
      </c>
      <c r="O48" s="38">
        <v>45448</v>
      </c>
      <c r="P48" s="136">
        <v>5000</v>
      </c>
      <c r="Q48" s="38">
        <v>45476</v>
      </c>
      <c r="R48" s="136">
        <v>15000</v>
      </c>
      <c r="S48" s="38">
        <v>45505</v>
      </c>
      <c r="T48" s="136">
        <f>5000+5000</f>
        <v>10000</v>
      </c>
      <c r="U48" s="38">
        <v>45541</v>
      </c>
      <c r="V48" s="136">
        <v>10000</v>
      </c>
      <c r="W48" s="38">
        <v>45566</v>
      </c>
      <c r="X48" s="136">
        <v>5000</v>
      </c>
      <c r="Y48" s="38">
        <v>45621</v>
      </c>
      <c r="Z48" s="136"/>
      <c r="AA48" s="38"/>
      <c r="AC48" s="100">
        <v>45444</v>
      </c>
      <c r="AD48" s="70"/>
      <c r="AE48" s="70"/>
      <c r="AF48" s="71">
        <f>SUM(AF43:AF47)</f>
        <v>19257</v>
      </c>
    </row>
    <row r="49" spans="2:32" x14ac:dyDescent="0.3">
      <c r="B49" s="3"/>
      <c r="C49" s="117" t="s">
        <v>76</v>
      </c>
      <c r="D49" s="136">
        <f>5000+5000</f>
        <v>10000</v>
      </c>
      <c r="E49" s="38">
        <v>45306</v>
      </c>
      <c r="F49" s="136"/>
      <c r="G49" s="38"/>
      <c r="H49" s="136">
        <v>5000</v>
      </c>
      <c r="I49" s="38">
        <v>45376</v>
      </c>
      <c r="J49" s="136"/>
      <c r="K49" s="38"/>
      <c r="L49" s="136">
        <v>5000</v>
      </c>
      <c r="M49" s="38">
        <v>45437</v>
      </c>
      <c r="N49" s="136">
        <v>5000</v>
      </c>
      <c r="O49" s="38">
        <v>45452</v>
      </c>
      <c r="P49" s="136">
        <v>5000</v>
      </c>
      <c r="Q49" s="38">
        <v>45480</v>
      </c>
      <c r="R49" s="136">
        <v>5000</v>
      </c>
      <c r="S49" s="38">
        <v>45505</v>
      </c>
      <c r="T49" s="136">
        <v>4500</v>
      </c>
      <c r="U49" s="38">
        <v>45541</v>
      </c>
      <c r="V49" s="136">
        <v>15000</v>
      </c>
      <c r="W49" s="38">
        <v>45590</v>
      </c>
      <c r="X49" s="136"/>
      <c r="Y49" s="38"/>
      <c r="Z49" s="136"/>
      <c r="AA49" s="38"/>
    </row>
    <row r="50" spans="2:32" x14ac:dyDescent="0.3">
      <c r="B50" s="3"/>
      <c r="C50" s="117" t="s">
        <v>76</v>
      </c>
      <c r="D50" s="136">
        <v>5000</v>
      </c>
      <c r="E50" s="38">
        <v>45318</v>
      </c>
      <c r="F50" s="136"/>
      <c r="G50" s="38"/>
      <c r="H50" s="136"/>
      <c r="I50" s="38"/>
      <c r="J50" s="136"/>
      <c r="K50" s="38"/>
      <c r="L50" s="136"/>
      <c r="M50" s="38"/>
      <c r="N50" s="136">
        <v>5000</v>
      </c>
      <c r="O50" s="38">
        <v>45453</v>
      </c>
      <c r="P50" s="136">
        <v>5000</v>
      </c>
      <c r="Q50" s="38">
        <v>45483</v>
      </c>
      <c r="R50" s="136">
        <v>5000</v>
      </c>
      <c r="S50" s="38">
        <v>45514</v>
      </c>
      <c r="T50" s="136">
        <v>5000</v>
      </c>
      <c r="U50" s="38">
        <v>45550</v>
      </c>
      <c r="V50" s="136"/>
      <c r="W50" s="38"/>
      <c r="X50" s="136"/>
      <c r="Y50" s="38"/>
      <c r="Z50" s="136"/>
      <c r="AA50" s="38"/>
      <c r="AC50" s="24">
        <v>1</v>
      </c>
      <c r="AD50" s="18" t="s">
        <v>965</v>
      </c>
      <c r="AE50" s="48">
        <v>45476</v>
      </c>
      <c r="AF50" s="81">
        <v>3500</v>
      </c>
    </row>
    <row r="51" spans="2:32" x14ac:dyDescent="0.3">
      <c r="B51" s="3"/>
      <c r="C51" s="117" t="s">
        <v>76</v>
      </c>
      <c r="D51" s="136">
        <v>5000</v>
      </c>
      <c r="E51" s="38">
        <v>45322</v>
      </c>
      <c r="F51" s="136"/>
      <c r="G51" s="38"/>
      <c r="H51" s="136"/>
      <c r="I51" s="38"/>
      <c r="J51" s="136"/>
      <c r="K51" s="38"/>
      <c r="L51" s="136"/>
      <c r="M51" s="38"/>
      <c r="N51" s="136">
        <v>5000</v>
      </c>
      <c r="O51" s="38">
        <v>45453</v>
      </c>
      <c r="P51" s="136">
        <v>5000</v>
      </c>
      <c r="Q51" s="38">
        <v>45483</v>
      </c>
      <c r="R51" s="136">
        <v>5000</v>
      </c>
      <c r="S51" s="38">
        <v>45530</v>
      </c>
      <c r="T51" s="136"/>
      <c r="U51" s="38"/>
      <c r="V51" s="136"/>
      <c r="W51" s="38"/>
      <c r="X51" s="136"/>
      <c r="Y51" s="38"/>
      <c r="Z51" s="136"/>
      <c r="AA51" s="38"/>
      <c r="AC51" s="24">
        <v>2</v>
      </c>
      <c r="AD51" s="18" t="s">
        <v>44</v>
      </c>
      <c r="AE51" s="48">
        <v>45480</v>
      </c>
      <c r="AF51" s="81">
        <v>3000</v>
      </c>
    </row>
    <row r="52" spans="2:32" x14ac:dyDescent="0.3">
      <c r="B52" s="3"/>
      <c r="C52" s="117" t="s">
        <v>76</v>
      </c>
      <c r="D52" s="136"/>
      <c r="E52" s="38"/>
      <c r="F52" s="136"/>
      <c r="G52" s="38"/>
      <c r="H52" s="136"/>
      <c r="I52" s="38"/>
      <c r="J52" s="136"/>
      <c r="K52" s="38"/>
      <c r="L52" s="136"/>
      <c r="M52" s="38"/>
      <c r="N52" s="136">
        <v>15000</v>
      </c>
      <c r="O52" s="38">
        <v>45468</v>
      </c>
      <c r="P52" s="136"/>
      <c r="Q52" s="38"/>
      <c r="R52" s="136"/>
      <c r="S52" s="38"/>
      <c r="T52" s="136"/>
      <c r="U52" s="38"/>
      <c r="V52" s="136"/>
      <c r="W52" s="38"/>
      <c r="X52" s="136"/>
      <c r="Y52" s="38"/>
      <c r="Z52" s="136"/>
      <c r="AA52" s="38"/>
      <c r="AC52" s="24">
        <v>3</v>
      </c>
      <c r="AD52" s="18" t="s">
        <v>89</v>
      </c>
      <c r="AE52" s="48">
        <v>45483</v>
      </c>
      <c r="AF52" s="81">
        <v>6100</v>
      </c>
    </row>
    <row r="53" spans="2:32" x14ac:dyDescent="0.3">
      <c r="B53" s="3"/>
      <c r="C53" s="117" t="s">
        <v>75</v>
      </c>
      <c r="D53" s="136"/>
      <c r="E53" s="38"/>
      <c r="F53" s="136"/>
      <c r="G53" s="38"/>
      <c r="H53" s="136"/>
      <c r="I53" s="38"/>
      <c r="J53" s="136"/>
      <c r="K53" s="38"/>
      <c r="L53" s="136"/>
      <c r="M53" s="38"/>
      <c r="N53" s="136"/>
      <c r="O53" s="38"/>
      <c r="P53" s="136"/>
      <c r="Q53" s="38"/>
      <c r="R53" s="136"/>
      <c r="S53" s="38"/>
      <c r="T53" s="136"/>
      <c r="U53" s="38"/>
      <c r="V53" s="136"/>
      <c r="W53" s="38"/>
      <c r="X53" s="136"/>
      <c r="Y53" s="38"/>
      <c r="Z53" s="136"/>
      <c r="AA53" s="38"/>
      <c r="AC53" s="24">
        <v>4</v>
      </c>
      <c r="AD53" s="18" t="s">
        <v>115</v>
      </c>
      <c r="AE53" s="48">
        <v>45480</v>
      </c>
      <c r="AF53" s="81">
        <v>2500</v>
      </c>
    </row>
    <row r="54" spans="2:32" x14ac:dyDescent="0.3">
      <c r="B54" s="3"/>
      <c r="C54" s="117" t="s">
        <v>76</v>
      </c>
      <c r="D54" s="136"/>
      <c r="E54" s="38"/>
      <c r="F54" s="136"/>
      <c r="G54" s="38"/>
      <c r="H54" s="136"/>
      <c r="I54" s="38"/>
      <c r="J54" s="136"/>
      <c r="K54" s="38"/>
      <c r="L54" s="136"/>
      <c r="M54" s="38"/>
      <c r="N54" s="136"/>
      <c r="O54" s="38"/>
      <c r="P54" s="136"/>
      <c r="Q54" s="38"/>
      <c r="R54" s="136"/>
      <c r="S54" s="38"/>
      <c r="T54" s="136"/>
      <c r="U54" s="38"/>
      <c r="V54" s="136"/>
      <c r="W54" s="38"/>
      <c r="X54" s="136"/>
      <c r="Y54" s="38"/>
      <c r="Z54" s="136"/>
      <c r="AA54" s="38"/>
      <c r="AC54" s="24">
        <v>5</v>
      </c>
      <c r="AD54" s="18" t="s">
        <v>952</v>
      </c>
      <c r="AE54" s="48">
        <v>45480</v>
      </c>
      <c r="AF54" s="81">
        <v>9790</v>
      </c>
    </row>
    <row r="55" spans="2:32" x14ac:dyDescent="0.3">
      <c r="B55" s="78"/>
      <c r="C55" s="117" t="s">
        <v>76</v>
      </c>
      <c r="D55" s="136"/>
      <c r="E55" s="38"/>
      <c r="F55" s="136"/>
      <c r="G55" s="38"/>
      <c r="H55" s="136"/>
      <c r="I55" s="38"/>
      <c r="J55" s="136"/>
      <c r="K55" s="38"/>
      <c r="L55" s="136"/>
      <c r="M55" s="38"/>
      <c r="N55" s="136"/>
      <c r="O55" s="38"/>
      <c r="P55" s="136"/>
      <c r="Q55" s="38"/>
      <c r="R55" s="136"/>
      <c r="S55" s="38"/>
      <c r="T55" s="136"/>
      <c r="U55" s="38"/>
      <c r="V55" s="136"/>
      <c r="W55" s="38"/>
      <c r="X55" s="136"/>
      <c r="Y55" s="38"/>
      <c r="Z55" s="136"/>
      <c r="AA55" s="38"/>
      <c r="AC55" s="100">
        <v>45474</v>
      </c>
      <c r="AD55" s="70"/>
      <c r="AE55" s="70"/>
      <c r="AF55" s="71">
        <f>SUM(AF50:AF54)</f>
        <v>24890</v>
      </c>
    </row>
    <row r="56" spans="2:32" ht="15" thickBot="1" x14ac:dyDescent="0.35">
      <c r="B56" s="44"/>
      <c r="C56" s="118"/>
      <c r="D56" s="126">
        <f>SUM(D47:D55)</f>
        <v>25000</v>
      </c>
      <c r="E56" s="45"/>
      <c r="F56" s="126">
        <f>SUM(F47:F55)</f>
        <v>5000</v>
      </c>
      <c r="G56" s="45"/>
      <c r="H56" s="126">
        <f>SUM(H47:H55)</f>
        <v>10000</v>
      </c>
      <c r="I56" s="45"/>
      <c r="J56" s="126">
        <f>SUM(J47:J55)</f>
        <v>0</v>
      </c>
      <c r="K56" s="45"/>
      <c r="L56" s="126">
        <f>SUM(L47:L55)</f>
        <v>10000</v>
      </c>
      <c r="M56" s="45"/>
      <c r="N56" s="126">
        <f>SUM(N47:N55)</f>
        <v>45000</v>
      </c>
      <c r="O56" s="45"/>
      <c r="P56" s="126">
        <f>SUM(P47:P55)</f>
        <v>20000</v>
      </c>
      <c r="Q56" s="45"/>
      <c r="R56" s="126">
        <f>SUM(R47:R55)</f>
        <v>30000</v>
      </c>
      <c r="S56" s="45"/>
      <c r="T56" s="126">
        <f>SUM(T47:T55)</f>
        <v>19500</v>
      </c>
      <c r="U56" s="45"/>
      <c r="V56" s="126">
        <f>SUM(V47:V55)</f>
        <v>25000</v>
      </c>
      <c r="W56" s="45"/>
      <c r="X56" s="126">
        <f>SUM(X47:X55)</f>
        <v>5000</v>
      </c>
      <c r="Y56" s="45"/>
      <c r="Z56" s="126">
        <f>SUM(Z47:Z55)</f>
        <v>0</v>
      </c>
      <c r="AA56" s="45"/>
    </row>
    <row r="57" spans="2:32" ht="15" thickTop="1" x14ac:dyDescent="0.3">
      <c r="B57" s="78" t="s">
        <v>527</v>
      </c>
      <c r="C57" s="117" t="s">
        <v>526</v>
      </c>
      <c r="D57" s="136"/>
      <c r="E57" s="214"/>
      <c r="F57" s="136"/>
      <c r="G57" s="214"/>
      <c r="H57" s="136"/>
      <c r="I57" s="214"/>
      <c r="J57" s="136"/>
      <c r="K57" s="214"/>
      <c r="L57" s="136"/>
      <c r="M57" s="214"/>
      <c r="N57" s="136"/>
      <c r="O57" s="214"/>
      <c r="P57" s="136"/>
      <c r="Q57" s="214"/>
      <c r="R57" s="136"/>
      <c r="S57" s="214"/>
      <c r="T57" s="136"/>
      <c r="U57" s="214"/>
      <c r="V57" s="136"/>
      <c r="W57" s="214"/>
      <c r="X57" s="136"/>
      <c r="Y57" s="214"/>
      <c r="Z57" s="136">
        <f>-Naveed!AT92-Naveed!AT93</f>
        <v>77540</v>
      </c>
      <c r="AA57" s="214"/>
      <c r="AC57" s="24">
        <v>1</v>
      </c>
      <c r="AD57" s="18" t="s">
        <v>1125</v>
      </c>
      <c r="AE57" s="48">
        <v>45505</v>
      </c>
      <c r="AF57" s="81">
        <v>470</v>
      </c>
    </row>
    <row r="58" spans="2:32" x14ac:dyDescent="0.3">
      <c r="B58" s="78"/>
      <c r="C58" s="117" t="s">
        <v>417</v>
      </c>
      <c r="D58" s="136"/>
      <c r="E58" s="214"/>
      <c r="F58" s="136"/>
      <c r="G58" s="214"/>
      <c r="H58" s="136"/>
      <c r="I58" s="214"/>
      <c r="J58" s="136"/>
      <c r="K58" s="214"/>
      <c r="L58" s="136"/>
      <c r="M58" s="214"/>
      <c r="N58" s="136"/>
      <c r="O58" s="214"/>
      <c r="P58" s="136"/>
      <c r="Q58" s="214"/>
      <c r="R58" s="136"/>
      <c r="S58" s="214"/>
      <c r="T58" s="136"/>
      <c r="U58" s="214"/>
      <c r="V58" s="136"/>
      <c r="W58" s="214"/>
      <c r="X58" s="136"/>
      <c r="Y58" s="214"/>
      <c r="Z58" s="136">
        <f>-Naveed!AT107-Naveed!AT108-Naveed!AT109</f>
        <v>51000</v>
      </c>
      <c r="AA58" s="214"/>
      <c r="AC58" s="24">
        <v>2</v>
      </c>
      <c r="AD58" s="18" t="s">
        <v>44</v>
      </c>
      <c r="AE58" s="48">
        <v>45514</v>
      </c>
      <c r="AF58" s="81">
        <v>3000</v>
      </c>
    </row>
    <row r="59" spans="2:32" x14ac:dyDescent="0.3">
      <c r="B59" s="78" t="s">
        <v>1128</v>
      </c>
      <c r="C59" s="117" t="s">
        <v>1129</v>
      </c>
      <c r="D59" s="136"/>
      <c r="E59" s="214"/>
      <c r="F59" s="136"/>
      <c r="G59" s="214"/>
      <c r="H59" s="136"/>
      <c r="I59" s="214"/>
      <c r="J59" s="136"/>
      <c r="K59" s="214"/>
      <c r="L59" s="136"/>
      <c r="M59" s="214"/>
      <c r="N59" s="136"/>
      <c r="O59" s="214"/>
      <c r="P59" s="136"/>
      <c r="Q59" s="214"/>
      <c r="R59" s="136">
        <v>100000</v>
      </c>
      <c r="S59" s="38">
        <v>45514</v>
      </c>
      <c r="T59" s="136"/>
      <c r="U59" s="38"/>
      <c r="V59" s="136">
        <v>80000</v>
      </c>
      <c r="W59" s="38">
        <v>45596</v>
      </c>
      <c r="X59" s="136"/>
      <c r="Y59" s="38"/>
      <c r="Z59" s="136">
        <v>12000</v>
      </c>
      <c r="AA59" s="38">
        <v>45645</v>
      </c>
      <c r="AC59" s="24">
        <v>3</v>
      </c>
      <c r="AD59" s="18" t="s">
        <v>89</v>
      </c>
      <c r="AE59" s="48">
        <v>45529</v>
      </c>
      <c r="AF59" s="81">
        <f>7000+460</f>
        <v>7460</v>
      </c>
    </row>
    <row r="60" spans="2:32" x14ac:dyDescent="0.3">
      <c r="B60" s="78" t="s">
        <v>1133</v>
      </c>
      <c r="C60" s="117"/>
      <c r="D60" s="136"/>
      <c r="E60" s="214"/>
      <c r="F60" s="136"/>
      <c r="G60" s="214"/>
      <c r="H60" s="136"/>
      <c r="I60" s="214"/>
      <c r="J60" s="136"/>
      <c r="K60" s="214"/>
      <c r="L60" s="136"/>
      <c r="M60" s="214"/>
      <c r="N60" s="136"/>
      <c r="O60" s="214"/>
      <c r="P60" s="136"/>
      <c r="Q60" s="214"/>
      <c r="R60" s="136">
        <f>66500+4500</f>
        <v>71000</v>
      </c>
      <c r="S60" s="38">
        <v>45529</v>
      </c>
      <c r="T60" s="136">
        <f>5000+1500</f>
        <v>6500</v>
      </c>
      <c r="U60" s="38">
        <v>45555</v>
      </c>
      <c r="V60" s="136"/>
      <c r="W60" s="38"/>
      <c r="X60" s="136"/>
      <c r="Y60" s="38"/>
      <c r="Z60" s="136"/>
      <c r="AA60" s="38"/>
      <c r="AC60" s="24">
        <v>4</v>
      </c>
      <c r="AD60" s="18" t="s">
        <v>115</v>
      </c>
      <c r="AE60" s="48">
        <v>45509</v>
      </c>
      <c r="AF60" s="81">
        <v>2500</v>
      </c>
    </row>
    <row r="61" spans="2:32" ht="15" thickBot="1" x14ac:dyDescent="0.35">
      <c r="B61" s="44"/>
      <c r="C61" s="118"/>
      <c r="D61" s="139">
        <f>SUM(D57:D60)</f>
        <v>0</v>
      </c>
      <c r="E61" s="45"/>
      <c r="F61" s="139">
        <f>SUM(F57:F60)</f>
        <v>0</v>
      </c>
      <c r="G61" s="45"/>
      <c r="H61" s="139">
        <f>SUM(H57:H60)</f>
        <v>0</v>
      </c>
      <c r="I61" s="45"/>
      <c r="J61" s="139">
        <f>SUM(J57:J60)</f>
        <v>0</v>
      </c>
      <c r="K61" s="45"/>
      <c r="L61" s="139">
        <f>SUM(L57:L60)</f>
        <v>0</v>
      </c>
      <c r="M61" s="45"/>
      <c r="N61" s="139">
        <f>SUM(N57:N60)</f>
        <v>0</v>
      </c>
      <c r="O61" s="45"/>
      <c r="P61" s="139">
        <f>SUM(P57:P60)</f>
        <v>0</v>
      </c>
      <c r="Q61" s="45"/>
      <c r="R61" s="139">
        <f>SUM(R57:R60)</f>
        <v>171000</v>
      </c>
      <c r="S61" s="45"/>
      <c r="T61" s="139">
        <f>SUM(T57:T60)</f>
        <v>6500</v>
      </c>
      <c r="U61" s="45"/>
      <c r="V61" s="139">
        <f>SUM(V57:V60)</f>
        <v>80000</v>
      </c>
      <c r="W61" s="45"/>
      <c r="X61" s="139">
        <f>SUM(X57:X60)</f>
        <v>0</v>
      </c>
      <c r="Y61" s="45"/>
      <c r="Z61" s="139">
        <f>SUM(Z57:Z60)</f>
        <v>140540</v>
      </c>
      <c r="AA61" s="45"/>
      <c r="AC61" s="24">
        <v>5</v>
      </c>
      <c r="AD61" s="18" t="s">
        <v>952</v>
      </c>
      <c r="AE61" s="48">
        <v>45514</v>
      </c>
      <c r="AF61" s="81">
        <v>13000</v>
      </c>
    </row>
    <row r="62" spans="2:32" ht="15" thickTop="1" x14ac:dyDescent="0.3">
      <c r="B62" s="78" t="s">
        <v>1153</v>
      </c>
      <c r="C62" s="117"/>
      <c r="D62" s="136"/>
      <c r="E62" s="214"/>
      <c r="F62" s="136">
        <v>44000</v>
      </c>
      <c r="G62" s="38">
        <v>45347</v>
      </c>
      <c r="H62" s="136">
        <v>0</v>
      </c>
      <c r="I62" s="214"/>
      <c r="J62" s="136"/>
      <c r="K62" s="214"/>
      <c r="L62" s="136"/>
      <c r="M62" s="214"/>
      <c r="N62" s="136"/>
      <c r="O62" s="214"/>
      <c r="P62" s="136"/>
      <c r="Q62" s="214"/>
      <c r="R62" s="136"/>
      <c r="S62" s="214"/>
      <c r="T62" s="136"/>
      <c r="U62" s="214"/>
      <c r="V62" s="136">
        <v>5300</v>
      </c>
      <c r="W62" s="38">
        <v>45566</v>
      </c>
      <c r="X62" s="136">
        <v>5600</v>
      </c>
      <c r="Y62" s="38">
        <v>45599</v>
      </c>
      <c r="Z62" s="136">
        <f>1000+45000</f>
        <v>46000</v>
      </c>
      <c r="AA62" s="38">
        <v>45634</v>
      </c>
      <c r="AC62" s="24">
        <v>6</v>
      </c>
      <c r="AD62" s="18" t="s">
        <v>1137</v>
      </c>
      <c r="AE62" s="48">
        <v>45514</v>
      </c>
      <c r="AF62" s="81">
        <v>6500</v>
      </c>
    </row>
    <row r="63" spans="2:32" x14ac:dyDescent="0.3">
      <c r="B63" s="78" t="s">
        <v>845</v>
      </c>
      <c r="C63" s="117"/>
      <c r="D63" s="136"/>
      <c r="E63" s="214"/>
      <c r="F63" s="136"/>
      <c r="G63" s="214"/>
      <c r="H63" s="136">
        <v>15900</v>
      </c>
      <c r="I63" s="38">
        <v>45368</v>
      </c>
      <c r="J63" s="136"/>
      <c r="K63" s="214"/>
      <c r="L63" s="136"/>
      <c r="M63" s="214"/>
      <c r="N63" s="136"/>
      <c r="O63" s="214"/>
      <c r="P63" s="136"/>
      <c r="Q63" s="214"/>
      <c r="R63" s="136"/>
      <c r="S63" s="214"/>
      <c r="T63" s="136"/>
      <c r="U63" s="214"/>
      <c r="V63" s="136"/>
      <c r="W63" s="214"/>
      <c r="X63" s="136"/>
      <c r="Y63" s="214"/>
      <c r="Z63" s="136"/>
      <c r="AA63" s="214"/>
      <c r="AC63" s="24">
        <v>7</v>
      </c>
      <c r="AD63" s="18" t="s">
        <v>1134</v>
      </c>
      <c r="AE63" s="48">
        <v>45514</v>
      </c>
      <c r="AF63" s="81">
        <v>300</v>
      </c>
    </row>
    <row r="64" spans="2:32" x14ac:dyDescent="0.3">
      <c r="B64" s="78" t="s">
        <v>976</v>
      </c>
      <c r="C64" s="117"/>
      <c r="D64" s="136"/>
      <c r="E64" s="214"/>
      <c r="F64" s="136"/>
      <c r="G64" s="214"/>
      <c r="H64" s="136"/>
      <c r="I64" s="38"/>
      <c r="J64" s="136"/>
      <c r="K64" s="214"/>
      <c r="L64" s="136"/>
      <c r="M64" s="214"/>
      <c r="N64" s="136"/>
      <c r="O64" s="214"/>
      <c r="P64" s="136"/>
      <c r="Q64" s="214"/>
      <c r="R64" s="136">
        <v>32000</v>
      </c>
      <c r="S64" s="214">
        <v>45535</v>
      </c>
      <c r="T64" s="136"/>
      <c r="U64" s="214"/>
      <c r="V64" s="136"/>
      <c r="W64" s="214"/>
      <c r="X64" s="136"/>
      <c r="Y64" s="214"/>
      <c r="Z64" s="136"/>
      <c r="AA64" s="214"/>
      <c r="AC64" s="24">
        <v>8</v>
      </c>
      <c r="AD64" s="18" t="s">
        <v>1135</v>
      </c>
      <c r="AE64" s="48">
        <v>45535</v>
      </c>
      <c r="AF64" s="81">
        <v>8000</v>
      </c>
    </row>
    <row r="65" spans="2:32" x14ac:dyDescent="0.3">
      <c r="B65" s="78" t="s">
        <v>990</v>
      </c>
      <c r="C65" s="122"/>
      <c r="D65" s="238"/>
      <c r="E65" s="334"/>
      <c r="F65" s="238"/>
      <c r="G65" s="334"/>
      <c r="H65" s="238"/>
      <c r="I65" s="94"/>
      <c r="J65" s="238"/>
      <c r="K65" s="334"/>
      <c r="L65" s="238"/>
      <c r="M65" s="334"/>
      <c r="N65" s="238">
        <v>34500</v>
      </c>
      <c r="O65" s="38">
        <v>45451</v>
      </c>
      <c r="P65" s="238"/>
      <c r="Q65" s="334"/>
      <c r="R65" s="238"/>
      <c r="S65" s="334"/>
      <c r="T65" s="238"/>
      <c r="U65" s="334"/>
      <c r="V65" s="238"/>
      <c r="W65" s="334"/>
      <c r="X65" s="238"/>
      <c r="Y65" s="334"/>
      <c r="Z65" s="238"/>
      <c r="AA65" s="334"/>
      <c r="AC65" s="100">
        <v>45505</v>
      </c>
      <c r="AD65" s="70"/>
      <c r="AE65" s="70"/>
      <c r="AF65" s="71">
        <f>SUM(AF57:AF64)</f>
        <v>41230</v>
      </c>
    </row>
    <row r="66" spans="2:32" ht="15" thickBot="1" x14ac:dyDescent="0.35">
      <c r="B66" s="44"/>
      <c r="C66" s="118"/>
      <c r="D66" s="139">
        <f>SUM(D62:D63)</f>
        <v>0</v>
      </c>
      <c r="E66" s="45"/>
      <c r="F66" s="139">
        <f>SUM(F62:F63)</f>
        <v>44000</v>
      </c>
      <c r="G66" s="45"/>
      <c r="H66" s="139">
        <f>SUM(H62:H63)</f>
        <v>15900</v>
      </c>
      <c r="I66" s="45"/>
      <c r="J66" s="139">
        <f>SUM(J62:J63)</f>
        <v>0</v>
      </c>
      <c r="K66" s="45"/>
      <c r="L66" s="139">
        <f>SUM(L62:L63)</f>
        <v>0</v>
      </c>
      <c r="M66" s="45"/>
      <c r="N66" s="139">
        <f>SUM(N62:N65)</f>
        <v>34500</v>
      </c>
      <c r="O66" s="45"/>
      <c r="P66" s="139">
        <f>SUM(P62:P65)</f>
        <v>0</v>
      </c>
      <c r="Q66" s="45"/>
      <c r="R66" s="139">
        <f>SUM(R62:R65)</f>
        <v>32000</v>
      </c>
      <c r="S66" s="45"/>
      <c r="T66" s="139">
        <f>SUM(T62:T65)</f>
        <v>0</v>
      </c>
      <c r="U66" s="45"/>
      <c r="V66" s="139">
        <f>SUM(V62:V65)</f>
        <v>5300</v>
      </c>
      <c r="W66" s="45"/>
      <c r="X66" s="139">
        <f>SUM(X62:X65)</f>
        <v>5600</v>
      </c>
      <c r="Y66" s="45"/>
      <c r="Z66" s="139">
        <f>SUM(Z62:Z65)</f>
        <v>46000</v>
      </c>
      <c r="AA66" s="45"/>
    </row>
    <row r="67" spans="2:32" ht="15" thickTop="1" x14ac:dyDescent="0.3">
      <c r="B67" s="78" t="s">
        <v>843</v>
      </c>
      <c r="C67" t="s">
        <v>742</v>
      </c>
      <c r="D67" s="136"/>
      <c r="E67" s="214"/>
      <c r="F67" s="136">
        <v>0</v>
      </c>
      <c r="G67" s="214"/>
      <c r="H67" s="136">
        <v>7000</v>
      </c>
      <c r="I67" s="214"/>
      <c r="J67" s="136"/>
      <c r="K67" s="214"/>
      <c r="L67" s="136"/>
      <c r="M67" s="214"/>
      <c r="N67" s="136"/>
      <c r="O67" s="214"/>
      <c r="P67" s="136"/>
      <c r="Q67" s="214"/>
      <c r="R67" s="136"/>
      <c r="S67" s="214"/>
      <c r="T67" s="136"/>
      <c r="U67" s="214"/>
      <c r="V67" s="136"/>
      <c r="W67" s="214"/>
      <c r="X67" s="136"/>
      <c r="Y67" s="214"/>
      <c r="Z67" s="136"/>
      <c r="AA67" s="214"/>
      <c r="AC67" s="24">
        <v>1</v>
      </c>
      <c r="AD67" s="18" t="s">
        <v>44</v>
      </c>
      <c r="AE67" s="48">
        <v>45538</v>
      </c>
      <c r="AF67" s="81">
        <v>3000</v>
      </c>
    </row>
    <row r="68" spans="2:32" x14ac:dyDescent="0.3">
      <c r="B68" s="78"/>
      <c r="C68" t="s">
        <v>758</v>
      </c>
      <c r="D68" s="136"/>
      <c r="E68" s="214"/>
      <c r="F68" s="136"/>
      <c r="G68" s="214"/>
      <c r="H68" s="136"/>
      <c r="I68" s="214"/>
      <c r="J68" s="136">
        <v>8500</v>
      </c>
      <c r="K68" s="38">
        <v>45388</v>
      </c>
      <c r="L68" s="136"/>
      <c r="M68" s="38"/>
      <c r="N68" s="136"/>
      <c r="O68" s="38"/>
      <c r="P68" s="136"/>
      <c r="Q68" s="38"/>
      <c r="R68" s="136"/>
      <c r="S68" s="38"/>
      <c r="T68" s="136"/>
      <c r="U68" s="38"/>
      <c r="V68" s="136"/>
      <c r="W68" s="38"/>
      <c r="X68" s="136"/>
      <c r="Y68" s="38"/>
      <c r="Z68" s="136"/>
      <c r="AA68" s="38"/>
      <c r="AC68" s="24">
        <v>2</v>
      </c>
      <c r="AD68" s="18" t="s">
        <v>89</v>
      </c>
      <c r="AE68" s="48">
        <v>45549</v>
      </c>
      <c r="AF68" s="81">
        <v>7000</v>
      </c>
    </row>
    <row r="69" spans="2:32" ht="15" thickBot="1" x14ac:dyDescent="0.35">
      <c r="B69" s="44"/>
      <c r="C69" s="118"/>
      <c r="D69" s="139">
        <f>SUM(D67:D68)</f>
        <v>0</v>
      </c>
      <c r="E69" s="45"/>
      <c r="F69" s="139">
        <f>SUM(F67:F68)</f>
        <v>0</v>
      </c>
      <c r="G69" s="45"/>
      <c r="H69" s="139">
        <f>SUM(H67:H68)</f>
        <v>7000</v>
      </c>
      <c r="I69" s="45"/>
      <c r="J69" s="139">
        <f>SUM(J67:J68)</f>
        <v>8500</v>
      </c>
      <c r="K69" s="45"/>
      <c r="L69" s="139">
        <f>SUM(L67:L68)</f>
        <v>0</v>
      </c>
      <c r="M69" s="45"/>
      <c r="N69" s="139">
        <f>SUM(N67:N68)</f>
        <v>0</v>
      </c>
      <c r="O69" s="45"/>
      <c r="P69" s="139">
        <f>SUM(P67:P68)</f>
        <v>0</v>
      </c>
      <c r="Q69" s="45"/>
      <c r="R69" s="139">
        <f>SUM(R67:R68)</f>
        <v>0</v>
      </c>
      <c r="S69" s="45"/>
      <c r="T69" s="139">
        <f>SUM(T67:T68)</f>
        <v>0</v>
      </c>
      <c r="U69" s="45"/>
      <c r="V69" s="139">
        <f>SUM(V67:V68)</f>
        <v>0</v>
      </c>
      <c r="W69" s="45"/>
      <c r="X69" s="139">
        <f>SUM(X67:X68)</f>
        <v>0</v>
      </c>
      <c r="Y69" s="45"/>
      <c r="Z69" s="139">
        <f>SUM(Z67:Z68)</f>
        <v>0</v>
      </c>
      <c r="AA69" s="45"/>
      <c r="AC69" s="24">
        <v>3</v>
      </c>
      <c r="AD69" s="18" t="s">
        <v>115</v>
      </c>
      <c r="AE69" s="48">
        <v>45550</v>
      </c>
      <c r="AF69" s="81">
        <v>2500</v>
      </c>
    </row>
    <row r="70" spans="2:32" ht="15" thickTop="1" x14ac:dyDescent="0.3">
      <c r="B70" s="3" t="s">
        <v>77</v>
      </c>
      <c r="C70" s="117" t="s">
        <v>225</v>
      </c>
      <c r="D70" s="39"/>
      <c r="E70" s="38"/>
      <c r="F70" s="42"/>
      <c r="G70" s="38"/>
      <c r="H70" s="42"/>
      <c r="I70" s="38"/>
      <c r="J70" s="42"/>
      <c r="K70" s="38"/>
      <c r="L70" s="42"/>
      <c r="M70" s="38"/>
      <c r="N70" s="42"/>
      <c r="O70" s="38"/>
      <c r="P70" s="42"/>
      <c r="Q70" s="38"/>
      <c r="R70" s="42"/>
      <c r="S70" s="38"/>
      <c r="T70" s="42"/>
      <c r="U70" s="38"/>
      <c r="V70" s="42"/>
      <c r="W70" s="38"/>
      <c r="X70" s="42">
        <f>110000+13000</f>
        <v>123000</v>
      </c>
      <c r="Y70" s="38">
        <v>45621</v>
      </c>
      <c r="Z70" s="42"/>
      <c r="AA70" s="38"/>
      <c r="AC70" s="24">
        <v>4</v>
      </c>
      <c r="AD70" s="18" t="s">
        <v>952</v>
      </c>
      <c r="AE70" s="48">
        <v>45550</v>
      </c>
      <c r="AF70" s="81">
        <v>4030</v>
      </c>
    </row>
    <row r="71" spans="2:32" x14ac:dyDescent="0.3">
      <c r="B71" s="3"/>
      <c r="C71" s="122" t="s">
        <v>151</v>
      </c>
      <c r="D71" s="39"/>
      <c r="E71" s="38"/>
      <c r="F71" s="42"/>
      <c r="G71" s="38"/>
      <c r="H71" s="42"/>
      <c r="I71" s="38"/>
      <c r="J71" s="42"/>
      <c r="K71" s="38"/>
      <c r="L71" s="42"/>
      <c r="M71" s="38"/>
      <c r="N71" s="42"/>
      <c r="O71" s="38"/>
      <c r="P71" s="42"/>
      <c r="Q71" s="38"/>
      <c r="R71" s="42"/>
      <c r="S71" s="38"/>
      <c r="T71" s="42"/>
      <c r="U71" s="38"/>
      <c r="V71" s="42"/>
      <c r="W71" s="38"/>
      <c r="X71" s="42"/>
      <c r="Y71" s="38"/>
      <c r="Z71" s="42"/>
      <c r="AA71" s="38"/>
      <c r="AC71" s="24">
        <v>5</v>
      </c>
      <c r="AD71" s="18" t="s">
        <v>1132</v>
      </c>
      <c r="AE71" s="48">
        <v>45550</v>
      </c>
      <c r="AF71" s="81">
        <v>6000</v>
      </c>
    </row>
    <row r="72" spans="2:32" x14ac:dyDescent="0.3">
      <c r="B72" s="3"/>
      <c r="C72" s="122" t="s">
        <v>296</v>
      </c>
      <c r="D72" s="39"/>
      <c r="E72" s="38"/>
      <c r="F72" s="42"/>
      <c r="G72" s="38"/>
      <c r="H72" s="42">
        <v>17000</v>
      </c>
      <c r="I72" s="38">
        <v>45374</v>
      </c>
      <c r="J72" s="42"/>
      <c r="K72" s="38"/>
      <c r="L72" s="42"/>
      <c r="M72" s="38"/>
      <c r="N72" s="42"/>
      <c r="O72" s="38"/>
      <c r="P72" s="42"/>
      <c r="Q72" s="38"/>
      <c r="R72" s="42"/>
      <c r="S72" s="38"/>
      <c r="T72" s="42"/>
      <c r="U72" s="38"/>
      <c r="V72" s="42"/>
      <c r="W72" s="38"/>
      <c r="X72" s="42"/>
      <c r="Y72" s="38"/>
      <c r="Z72" s="42"/>
      <c r="AA72" s="38"/>
      <c r="AC72" s="24">
        <v>6</v>
      </c>
      <c r="AD72" s="18" t="s">
        <v>1136</v>
      </c>
      <c r="AE72" s="77">
        <v>45536</v>
      </c>
      <c r="AF72" s="81">
        <v>2000</v>
      </c>
    </row>
    <row r="73" spans="2:32" x14ac:dyDescent="0.3">
      <c r="B73" s="78"/>
      <c r="C73" s="122" t="s">
        <v>966</v>
      </c>
      <c r="D73" s="271"/>
      <c r="E73" s="94"/>
      <c r="F73" s="75"/>
      <c r="G73" s="94"/>
      <c r="H73" s="75"/>
      <c r="I73" s="94"/>
      <c r="J73" s="75"/>
      <c r="K73" s="94"/>
      <c r="L73" s="75"/>
      <c r="M73" s="94"/>
      <c r="N73" s="75"/>
      <c r="O73" s="94"/>
      <c r="P73" s="75">
        <f>90000+160000</f>
        <v>250000</v>
      </c>
      <c r="Q73" s="38">
        <v>45480</v>
      </c>
      <c r="R73" s="75"/>
      <c r="S73" s="38"/>
      <c r="T73" s="75"/>
      <c r="U73" s="38"/>
      <c r="V73" s="75"/>
      <c r="W73" s="38"/>
      <c r="X73" s="75"/>
      <c r="Y73" s="38"/>
      <c r="Z73" s="75"/>
      <c r="AA73" s="38"/>
      <c r="AC73" s="100">
        <v>45536</v>
      </c>
      <c r="AD73" s="70"/>
      <c r="AE73" s="70"/>
      <c r="AF73" s="71">
        <f>SUM(AF67:AF72)</f>
        <v>24530</v>
      </c>
    </row>
    <row r="74" spans="2:32" ht="15" thickBot="1" x14ac:dyDescent="0.35">
      <c r="B74" s="44"/>
      <c r="C74" s="118"/>
      <c r="D74" s="139">
        <f>SUM(D70:D73)</f>
        <v>0</v>
      </c>
      <c r="E74" s="327"/>
      <c r="F74" s="139">
        <f>SUM(F70:F73)</f>
        <v>0</v>
      </c>
      <c r="G74" s="45"/>
      <c r="H74" s="139">
        <f>SUM(H70:H73)</f>
        <v>17000</v>
      </c>
      <c r="I74" s="45"/>
      <c r="J74" s="139">
        <f>SUM(J70:J73)</f>
        <v>0</v>
      </c>
      <c r="K74" s="45"/>
      <c r="L74" s="139">
        <f>SUM(L70:L73)</f>
        <v>0</v>
      </c>
      <c r="M74" s="45"/>
      <c r="N74" s="139">
        <f>SUM(N70:N73)</f>
        <v>0</v>
      </c>
      <c r="O74" s="45"/>
      <c r="P74" s="139">
        <f>SUM(P70:P73)</f>
        <v>250000</v>
      </c>
      <c r="Q74" s="45"/>
      <c r="R74" s="139">
        <f>SUM(R70:R73)</f>
        <v>0</v>
      </c>
      <c r="S74" s="45"/>
      <c r="T74" s="139">
        <f>SUM(T70:T73)</f>
        <v>0</v>
      </c>
      <c r="U74" s="45"/>
      <c r="V74" s="139">
        <f>SUM(V70:V73)</f>
        <v>0</v>
      </c>
      <c r="W74" s="45"/>
      <c r="X74" s="139">
        <f>SUM(X70:X73)</f>
        <v>123000</v>
      </c>
      <c r="Y74" s="45"/>
      <c r="Z74" s="139">
        <f>SUM(Z70:Z73)</f>
        <v>0</v>
      </c>
      <c r="AA74" s="45"/>
    </row>
    <row r="75" spans="2:32" ht="15" thickTop="1" x14ac:dyDescent="0.3">
      <c r="B75" s="3" t="s">
        <v>82</v>
      </c>
      <c r="C75" s="117" t="s">
        <v>818</v>
      </c>
      <c r="D75" s="329">
        <v>14500</v>
      </c>
      <c r="E75" s="250">
        <v>45304</v>
      </c>
      <c r="F75" s="125"/>
      <c r="G75" s="38"/>
      <c r="H75" s="125"/>
      <c r="I75" s="38"/>
      <c r="J75" s="125">
        <v>2200</v>
      </c>
      <c r="K75" s="38">
        <v>45387</v>
      </c>
      <c r="L75" s="125"/>
      <c r="M75" s="38"/>
      <c r="N75" s="125">
        <v>10000</v>
      </c>
      <c r="O75" s="38">
        <v>45458</v>
      </c>
      <c r="P75" s="125">
        <v>19700</v>
      </c>
      <c r="Q75" s="38">
        <v>45478</v>
      </c>
      <c r="R75" s="125"/>
      <c r="S75" s="38"/>
      <c r="T75" s="125"/>
      <c r="U75" s="38"/>
      <c r="V75" s="125"/>
      <c r="W75" s="38"/>
      <c r="X75" s="125"/>
      <c r="Y75" s="38"/>
      <c r="Z75" s="125"/>
      <c r="AA75" s="38"/>
      <c r="AC75" s="24">
        <v>1</v>
      </c>
      <c r="AD75" s="18" t="s">
        <v>44</v>
      </c>
      <c r="AE75" s="48">
        <v>45585</v>
      </c>
      <c r="AF75" s="81">
        <v>3000</v>
      </c>
    </row>
    <row r="76" spans="2:32" x14ac:dyDescent="0.3">
      <c r="B76" s="3"/>
      <c r="C76" s="117" t="s">
        <v>830</v>
      </c>
      <c r="D76" s="136">
        <v>15460</v>
      </c>
      <c r="E76" s="38">
        <v>45318</v>
      </c>
      <c r="F76" s="125"/>
      <c r="G76" s="38"/>
      <c r="H76" s="125"/>
      <c r="I76" s="38"/>
      <c r="J76" s="125">
        <v>2500</v>
      </c>
      <c r="K76" s="38">
        <v>45392</v>
      </c>
      <c r="L76" s="125"/>
      <c r="M76" s="38"/>
      <c r="N76" s="125"/>
      <c r="O76" s="38"/>
      <c r="P76" s="125">
        <v>2600</v>
      </c>
      <c r="Q76" s="38">
        <v>45480</v>
      </c>
      <c r="R76" s="125"/>
      <c r="S76" s="38"/>
      <c r="T76" s="125"/>
      <c r="U76" s="38"/>
      <c r="V76" s="125"/>
      <c r="W76" s="38"/>
      <c r="X76" s="125"/>
      <c r="Y76" s="38"/>
      <c r="Z76" s="125"/>
      <c r="AA76" s="38"/>
      <c r="AC76" s="24">
        <v>2</v>
      </c>
      <c r="AD76" s="18" t="s">
        <v>89</v>
      </c>
      <c r="AE76" s="48">
        <v>45590</v>
      </c>
      <c r="AF76" s="81">
        <v>7000</v>
      </c>
    </row>
    <row r="77" spans="2:32" x14ac:dyDescent="0.3">
      <c r="B77" s="43"/>
      <c r="C77" s="122" t="s">
        <v>831</v>
      </c>
      <c r="D77" s="169"/>
      <c r="E77" s="38"/>
      <c r="F77" s="79"/>
      <c r="G77" s="38"/>
      <c r="H77" s="79">
        <v>16790</v>
      </c>
      <c r="I77" s="38">
        <v>45362</v>
      </c>
      <c r="J77" s="79"/>
      <c r="K77" s="38"/>
      <c r="L77" s="79"/>
      <c r="M77" s="38"/>
      <c r="N77" s="79"/>
      <c r="O77" s="38"/>
      <c r="P77" s="79">
        <v>3100</v>
      </c>
      <c r="Q77" s="38">
        <v>45494</v>
      </c>
      <c r="R77" s="79"/>
      <c r="S77" s="38"/>
      <c r="T77" s="79"/>
      <c r="U77" s="38"/>
      <c r="V77" s="79"/>
      <c r="W77" s="38"/>
      <c r="X77" s="79"/>
      <c r="Y77" s="38"/>
      <c r="Z77" s="79"/>
      <c r="AA77" s="38"/>
      <c r="AC77" s="24">
        <v>3</v>
      </c>
      <c r="AD77" s="18" t="s">
        <v>115</v>
      </c>
      <c r="AE77" s="48">
        <v>45585</v>
      </c>
      <c r="AF77" s="81">
        <v>2500</v>
      </c>
    </row>
    <row r="78" spans="2:32" x14ac:dyDescent="0.3">
      <c r="B78" s="3"/>
      <c r="C78" s="117" t="s">
        <v>956</v>
      </c>
      <c r="D78" s="39"/>
      <c r="E78" s="38"/>
      <c r="F78" s="42"/>
      <c r="G78" s="38"/>
      <c r="H78" s="42">
        <v>21000</v>
      </c>
      <c r="I78" s="38">
        <v>45362</v>
      </c>
      <c r="J78" s="42">
        <v>10020</v>
      </c>
      <c r="K78" s="38">
        <v>45406</v>
      </c>
      <c r="L78" s="42"/>
      <c r="M78" s="38"/>
      <c r="N78" s="42">
        <v>7000</v>
      </c>
      <c r="O78" s="38">
        <v>45449</v>
      </c>
      <c r="P78" s="42">
        <v>5000</v>
      </c>
      <c r="Q78" s="38">
        <v>45494</v>
      </c>
      <c r="R78" s="42"/>
      <c r="S78" s="38"/>
      <c r="T78" s="42"/>
      <c r="U78" s="38"/>
      <c r="V78" s="42"/>
      <c r="W78" s="38"/>
      <c r="X78" s="42"/>
      <c r="Y78" s="38"/>
      <c r="Z78" s="42"/>
      <c r="AA78" s="38"/>
      <c r="AC78" s="24">
        <v>4</v>
      </c>
      <c r="AD78" s="18" t="s">
        <v>952</v>
      </c>
      <c r="AE78" s="48">
        <v>45596</v>
      </c>
      <c r="AF78" s="203">
        <v>7000</v>
      </c>
    </row>
    <row r="79" spans="2:32" x14ac:dyDescent="0.3">
      <c r="B79" s="3"/>
      <c r="C79" s="117" t="s">
        <v>953</v>
      </c>
      <c r="D79" s="39"/>
      <c r="E79" s="38"/>
      <c r="F79" s="42"/>
      <c r="G79" s="38"/>
      <c r="H79" s="42"/>
      <c r="I79" s="38"/>
      <c r="J79" s="42">
        <v>7360</v>
      </c>
      <c r="K79" s="38">
        <v>45384</v>
      </c>
      <c r="L79" s="42"/>
      <c r="M79" s="38"/>
      <c r="N79" s="42"/>
      <c r="O79" s="38"/>
      <c r="P79" s="42">
        <v>4050</v>
      </c>
      <c r="Q79" s="38">
        <v>45483</v>
      </c>
      <c r="R79" s="42"/>
      <c r="S79" s="38"/>
      <c r="T79" s="42">
        <v>1500</v>
      </c>
      <c r="U79" s="38">
        <v>45555</v>
      </c>
      <c r="V79" s="42">
        <v>15500</v>
      </c>
      <c r="W79" s="38">
        <v>45590</v>
      </c>
      <c r="X79" s="42"/>
      <c r="Y79" s="38"/>
      <c r="Z79" s="42"/>
      <c r="AA79" s="38"/>
      <c r="AC79" s="24">
        <v>5</v>
      </c>
      <c r="AD79" s="18" t="s">
        <v>1142</v>
      </c>
      <c r="AE79" s="48">
        <v>45585</v>
      </c>
      <c r="AF79" s="81">
        <v>2000</v>
      </c>
    </row>
    <row r="80" spans="2:32" x14ac:dyDescent="0.3">
      <c r="B80" s="3"/>
      <c r="C80" s="117" t="s">
        <v>967</v>
      </c>
      <c r="D80" s="39"/>
      <c r="E80" s="38"/>
      <c r="F80" s="42"/>
      <c r="G80" s="38"/>
      <c r="H80" s="42"/>
      <c r="I80" s="38"/>
      <c r="J80" s="42"/>
      <c r="K80" s="38"/>
      <c r="L80" s="42"/>
      <c r="M80" s="38"/>
      <c r="N80" s="42"/>
      <c r="O80" s="38"/>
      <c r="P80" s="42">
        <v>270</v>
      </c>
      <c r="Q80" s="38">
        <v>45498</v>
      </c>
      <c r="R80" s="42"/>
      <c r="S80" s="38"/>
      <c r="T80" s="42"/>
      <c r="U80" s="38"/>
      <c r="V80" s="42"/>
      <c r="W80" s="38"/>
      <c r="X80" s="42"/>
      <c r="Y80" s="38"/>
      <c r="Z80" s="42"/>
      <c r="AA80" s="38"/>
      <c r="AC80" s="24">
        <v>6</v>
      </c>
      <c r="AD80" s="18" t="s">
        <v>1136</v>
      </c>
      <c r="AE80" s="77"/>
      <c r="AF80" s="81"/>
    </row>
    <row r="81" spans="2:32" x14ac:dyDescent="0.3">
      <c r="B81" s="3"/>
      <c r="C81" s="117" t="s">
        <v>1126</v>
      </c>
      <c r="D81" s="39"/>
      <c r="E81" s="38"/>
      <c r="F81" s="42"/>
      <c r="G81" s="38"/>
      <c r="H81" s="42"/>
      <c r="I81" s="38"/>
      <c r="J81" s="42"/>
      <c r="K81" s="38"/>
      <c r="L81" s="42"/>
      <c r="M81" s="38"/>
      <c r="N81" s="42"/>
      <c r="O81" s="38"/>
      <c r="P81" s="42">
        <v>35500</v>
      </c>
      <c r="Q81" s="38">
        <v>45498</v>
      </c>
      <c r="R81" s="42"/>
      <c r="S81" s="38"/>
      <c r="T81" s="42"/>
      <c r="U81" s="38"/>
      <c r="V81" s="42"/>
      <c r="W81" s="38"/>
      <c r="X81" s="42"/>
      <c r="Y81" s="38"/>
      <c r="Z81" s="42"/>
      <c r="AA81" s="38"/>
      <c r="AC81" s="100">
        <v>45566</v>
      </c>
      <c r="AD81" s="70"/>
      <c r="AE81" s="70"/>
      <c r="AF81" s="71">
        <f>SUM(AF75:AF80)</f>
        <v>21500</v>
      </c>
    </row>
    <row r="82" spans="2:32" x14ac:dyDescent="0.3">
      <c r="B82" s="3"/>
      <c r="C82" s="117" t="s">
        <v>968</v>
      </c>
      <c r="D82" s="39"/>
      <c r="E82" s="38"/>
      <c r="F82" s="42"/>
      <c r="G82" s="38"/>
      <c r="H82" s="42"/>
      <c r="I82" s="38"/>
      <c r="J82" s="42"/>
      <c r="K82" s="38"/>
      <c r="L82" s="42"/>
      <c r="M82" s="38"/>
      <c r="N82" s="42"/>
      <c r="O82" s="38"/>
      <c r="P82" s="42">
        <v>10950</v>
      </c>
      <c r="Q82" s="38">
        <v>45498</v>
      </c>
      <c r="R82" s="42"/>
      <c r="S82" s="38"/>
      <c r="T82" s="42"/>
      <c r="U82" s="38"/>
      <c r="V82" s="42">
        <v>8400</v>
      </c>
      <c r="W82" s="38">
        <v>45566</v>
      </c>
      <c r="X82" s="42">
        <v>500</v>
      </c>
      <c r="Y82" s="38">
        <v>45626</v>
      </c>
      <c r="Z82" s="42"/>
      <c r="AA82" s="38"/>
    </row>
    <row r="83" spans="2:32" x14ac:dyDescent="0.3">
      <c r="B83" s="3"/>
      <c r="C83" s="117" t="s">
        <v>1127</v>
      </c>
      <c r="D83" s="39"/>
      <c r="E83" s="38"/>
      <c r="F83" s="42"/>
      <c r="G83" s="38"/>
      <c r="H83" s="42"/>
      <c r="I83" s="38"/>
      <c r="J83" s="42"/>
      <c r="K83" s="38"/>
      <c r="L83" s="42"/>
      <c r="M83" s="38"/>
      <c r="N83" s="42"/>
      <c r="O83" s="38"/>
      <c r="P83" s="42"/>
      <c r="Q83" s="38"/>
      <c r="R83" s="42">
        <v>17900</v>
      </c>
      <c r="S83" s="38">
        <v>45509</v>
      </c>
      <c r="T83" s="42"/>
      <c r="U83" s="38"/>
      <c r="V83" s="42"/>
      <c r="W83" s="38"/>
      <c r="X83" s="42"/>
      <c r="Y83" s="38"/>
      <c r="Z83" s="42"/>
      <c r="AA83" s="38"/>
      <c r="AC83" s="24">
        <v>1</v>
      </c>
      <c r="AD83" s="18" t="s">
        <v>44</v>
      </c>
      <c r="AE83" s="48">
        <v>45606</v>
      </c>
      <c r="AF83" s="81">
        <v>3000</v>
      </c>
    </row>
    <row r="84" spans="2:32" x14ac:dyDescent="0.3">
      <c r="B84" s="3"/>
      <c r="C84" s="117" t="s">
        <v>1150</v>
      </c>
      <c r="D84" s="39"/>
      <c r="E84" s="38"/>
      <c r="F84" s="42"/>
      <c r="G84" s="38"/>
      <c r="H84" s="42"/>
      <c r="I84" s="38"/>
      <c r="J84" s="42"/>
      <c r="K84" s="38"/>
      <c r="L84" s="42"/>
      <c r="M84" s="38"/>
      <c r="N84" s="42"/>
      <c r="O84" s="38"/>
      <c r="P84" s="42"/>
      <c r="Q84" s="38"/>
      <c r="R84" s="42"/>
      <c r="S84" s="38"/>
      <c r="T84" s="42"/>
      <c r="U84" s="38"/>
      <c r="V84" s="42"/>
      <c r="W84" s="38"/>
      <c r="X84" s="42">
        <f>2250+5500+6320</f>
        <v>14070</v>
      </c>
      <c r="Y84" s="38" t="s">
        <v>1151</v>
      </c>
      <c r="Z84" s="42">
        <v>2500</v>
      </c>
      <c r="AA84" s="38">
        <v>45645</v>
      </c>
      <c r="AC84" s="24">
        <v>2</v>
      </c>
      <c r="AD84" s="18" t="s">
        <v>89</v>
      </c>
      <c r="AE84" s="48">
        <v>45606</v>
      </c>
      <c r="AF84" s="81">
        <v>6600</v>
      </c>
    </row>
    <row r="85" spans="2:32" ht="15" thickBot="1" x14ac:dyDescent="0.35">
      <c r="B85" s="3"/>
      <c r="C85" s="117"/>
      <c r="D85" s="330"/>
      <c r="E85" s="253"/>
      <c r="F85" s="75"/>
      <c r="G85" s="38"/>
      <c r="H85" s="75"/>
      <c r="I85" s="38"/>
      <c r="J85" s="75"/>
      <c r="K85" s="38"/>
      <c r="L85" s="75"/>
      <c r="M85" s="38"/>
      <c r="N85" s="75"/>
      <c r="O85" s="38"/>
      <c r="P85" s="75"/>
      <c r="Q85" s="38"/>
      <c r="R85" s="75"/>
      <c r="S85" s="38"/>
      <c r="T85" s="75"/>
      <c r="U85" s="38"/>
      <c r="V85" s="75"/>
      <c r="W85" s="38"/>
      <c r="X85" s="75"/>
      <c r="Y85" s="38"/>
      <c r="Z85" s="75"/>
      <c r="AA85" s="38"/>
      <c r="AC85" s="24">
        <v>3</v>
      </c>
      <c r="AD85" s="213" t="s">
        <v>115</v>
      </c>
      <c r="AE85" s="48"/>
      <c r="AF85" s="81"/>
    </row>
    <row r="86" spans="2:32" ht="15" thickBot="1" x14ac:dyDescent="0.35">
      <c r="B86" s="44"/>
      <c r="C86" s="118"/>
      <c r="D86" s="126">
        <f>SUM(D75:D85)</f>
        <v>29960</v>
      </c>
      <c r="E86" s="328"/>
      <c r="F86" s="126">
        <f>SUM(F75:F85)</f>
        <v>0</v>
      </c>
      <c r="G86" s="45"/>
      <c r="H86" s="126">
        <f>SUM(H75:H85)</f>
        <v>37790</v>
      </c>
      <c r="I86" s="45"/>
      <c r="J86" s="126">
        <f>SUM(J75:J85)</f>
        <v>22080</v>
      </c>
      <c r="K86" s="45"/>
      <c r="L86" s="126">
        <f>SUM(L75:L85)</f>
        <v>0</v>
      </c>
      <c r="M86" s="45"/>
      <c r="N86" s="126">
        <f>SUM(N75:N85)</f>
        <v>17000</v>
      </c>
      <c r="O86" s="45"/>
      <c r="P86" s="126">
        <f>SUM(P75:P85)</f>
        <v>81170</v>
      </c>
      <c r="Q86" s="45"/>
      <c r="R86" s="126">
        <f>SUM(R75:R85)</f>
        <v>17900</v>
      </c>
      <c r="S86" s="45"/>
      <c r="T86" s="126">
        <f>SUM(T75:T85)</f>
        <v>1500</v>
      </c>
      <c r="U86" s="45"/>
      <c r="V86" s="126">
        <f>SUM(V75:V85)</f>
        <v>23900</v>
      </c>
      <c r="W86" s="45"/>
      <c r="X86" s="126">
        <f>SUM(X75:X85)</f>
        <v>14570</v>
      </c>
      <c r="Y86" s="45"/>
      <c r="Z86" s="126">
        <f>SUM(Z75:Z85)</f>
        <v>2500</v>
      </c>
      <c r="AA86" s="45"/>
      <c r="AC86" s="24">
        <v>4</v>
      </c>
      <c r="AD86" s="18" t="s">
        <v>952</v>
      </c>
      <c r="AE86" s="48"/>
      <c r="AF86" s="81"/>
    </row>
    <row r="87" spans="2:32" ht="15" thickTop="1" x14ac:dyDescent="0.3">
      <c r="B87" s="3" t="s">
        <v>129</v>
      </c>
      <c r="C87" s="117" t="s">
        <v>988</v>
      </c>
      <c r="D87" s="159"/>
      <c r="E87" s="94"/>
      <c r="F87" s="106"/>
      <c r="G87" s="94"/>
      <c r="H87" s="106"/>
      <c r="I87" s="94"/>
      <c r="J87" s="106"/>
      <c r="K87" s="94"/>
      <c r="L87" s="106"/>
      <c r="M87" s="94"/>
      <c r="N87" s="106">
        <f>26800+8000</f>
        <v>34800</v>
      </c>
      <c r="O87" s="94" t="s">
        <v>991</v>
      </c>
      <c r="P87" s="106"/>
      <c r="Q87" s="94"/>
      <c r="R87" s="106"/>
      <c r="S87" s="94"/>
      <c r="T87" s="106"/>
      <c r="U87" s="94"/>
      <c r="V87" s="106"/>
      <c r="W87" s="94"/>
      <c r="X87" s="106"/>
      <c r="Y87" s="94"/>
      <c r="Z87" s="106"/>
      <c r="AA87" s="94"/>
      <c r="AC87" s="24">
        <v>5</v>
      </c>
      <c r="AD87" s="18" t="s">
        <v>1137</v>
      </c>
      <c r="AE87" s="48">
        <v>45606</v>
      </c>
      <c r="AF87" s="81">
        <v>6000</v>
      </c>
    </row>
    <row r="88" spans="2:32" x14ac:dyDescent="0.3">
      <c r="B88" s="3"/>
      <c r="C88" s="117" t="s">
        <v>130</v>
      </c>
      <c r="D88" s="159"/>
      <c r="E88" s="38"/>
      <c r="F88" s="106"/>
      <c r="G88" s="38"/>
      <c r="H88" s="106"/>
      <c r="I88" s="38"/>
      <c r="J88" s="106"/>
      <c r="K88" s="38"/>
      <c r="L88" s="106"/>
      <c r="M88" s="38"/>
      <c r="N88" s="106">
        <v>12000</v>
      </c>
      <c r="O88" s="38">
        <v>45461</v>
      </c>
      <c r="P88" s="106"/>
      <c r="Q88" s="38"/>
      <c r="R88" s="106"/>
      <c r="S88" s="38"/>
      <c r="T88" s="106"/>
      <c r="U88" s="38"/>
      <c r="V88" s="106"/>
      <c r="W88" s="38"/>
      <c r="X88" s="106"/>
      <c r="Y88" s="38"/>
      <c r="Z88" s="106"/>
      <c r="AA88" s="38"/>
      <c r="AC88" s="24">
        <v>6</v>
      </c>
      <c r="AD88" s="18"/>
      <c r="AE88" s="48"/>
      <c r="AF88" s="81"/>
    </row>
    <row r="89" spans="2:32" x14ac:dyDescent="0.3">
      <c r="B89" s="3"/>
      <c r="C89" s="117" t="s">
        <v>964</v>
      </c>
      <c r="D89" s="159"/>
      <c r="E89" s="38"/>
      <c r="F89" s="106"/>
      <c r="G89" s="38"/>
      <c r="H89" s="106"/>
      <c r="I89" s="38"/>
      <c r="J89" s="106"/>
      <c r="K89" s="38"/>
      <c r="L89" s="106"/>
      <c r="M89" s="38"/>
      <c r="N89" s="106">
        <f>5900+400</f>
        <v>6300</v>
      </c>
      <c r="O89" s="38">
        <v>45463</v>
      </c>
      <c r="P89" s="106"/>
      <c r="Q89" s="38"/>
      <c r="R89" s="106"/>
      <c r="S89" s="38"/>
      <c r="T89" s="106"/>
      <c r="U89" s="38"/>
      <c r="V89" s="106"/>
      <c r="W89" s="38"/>
      <c r="X89" s="106"/>
      <c r="Y89" s="38"/>
      <c r="Z89" s="106"/>
      <c r="AA89" s="38"/>
      <c r="AC89" s="100">
        <v>45597</v>
      </c>
      <c r="AD89" s="70"/>
      <c r="AE89" s="70"/>
      <c r="AF89" s="71">
        <f>SUM(AF83:AF88)</f>
        <v>15600</v>
      </c>
    </row>
    <row r="90" spans="2:32" x14ac:dyDescent="0.3">
      <c r="B90" s="3"/>
      <c r="C90" s="117" t="s">
        <v>530</v>
      </c>
      <c r="D90" s="159"/>
      <c r="E90" s="38"/>
      <c r="F90" s="106"/>
      <c r="G90" s="38"/>
      <c r="H90" s="106"/>
      <c r="I90" s="38"/>
      <c r="J90" s="106"/>
      <c r="K90" s="38"/>
      <c r="L90" s="106"/>
      <c r="M90" s="38"/>
      <c r="N90" s="106">
        <v>6150</v>
      </c>
      <c r="O90" s="38">
        <v>45450</v>
      </c>
      <c r="P90" s="106"/>
      <c r="Q90" s="38"/>
      <c r="R90" s="106"/>
      <c r="S90" s="38"/>
      <c r="T90" s="106"/>
      <c r="U90" s="38"/>
      <c r="V90" s="106"/>
      <c r="W90" s="38"/>
      <c r="X90" s="106"/>
      <c r="Y90" s="38"/>
      <c r="Z90" s="106"/>
      <c r="AA90" s="38"/>
    </row>
    <row r="91" spans="2:32" x14ac:dyDescent="0.3">
      <c r="B91" s="3"/>
      <c r="C91" s="117" t="s">
        <v>131</v>
      </c>
      <c r="D91" s="159"/>
      <c r="E91" s="38"/>
      <c r="F91" s="106"/>
      <c r="G91" s="38"/>
      <c r="H91" s="106"/>
      <c r="I91" s="38"/>
      <c r="J91" s="106"/>
      <c r="K91" s="38"/>
      <c r="L91" s="106"/>
      <c r="M91" s="38"/>
      <c r="N91" s="106">
        <f>3000+1500+2300</f>
        <v>6800</v>
      </c>
      <c r="O91" s="38">
        <v>45463</v>
      </c>
      <c r="P91" s="106"/>
      <c r="Q91" s="38"/>
      <c r="R91" s="106"/>
      <c r="S91" s="38"/>
      <c r="T91" s="106"/>
      <c r="U91" s="38"/>
      <c r="V91" s="106"/>
      <c r="W91" s="38"/>
      <c r="X91" s="106"/>
      <c r="Y91" s="38"/>
      <c r="Z91" s="106"/>
      <c r="AA91" s="38"/>
      <c r="AC91" s="24">
        <v>1</v>
      </c>
      <c r="AD91" s="18" t="s">
        <v>44</v>
      </c>
      <c r="AE91" s="48">
        <v>45636</v>
      </c>
      <c r="AF91" s="81">
        <v>3000</v>
      </c>
    </row>
    <row r="92" spans="2:32" ht="15" thickBot="1" x14ac:dyDescent="0.35">
      <c r="B92" s="44"/>
      <c r="C92" s="118"/>
      <c r="D92" s="46">
        <f>SUM(D87:D91)</f>
        <v>0</v>
      </c>
      <c r="E92" s="45"/>
      <c r="F92" s="124">
        <f>SUM(F87:F91)</f>
        <v>0</v>
      </c>
      <c r="G92" s="45"/>
      <c r="H92" s="124">
        <f>SUM(H87:H91)</f>
        <v>0</v>
      </c>
      <c r="I92" s="45"/>
      <c r="J92" s="124">
        <f>SUM(J87:J91)</f>
        <v>0</v>
      </c>
      <c r="K92" s="45"/>
      <c r="L92" s="124">
        <f>SUM(L87:L91)</f>
        <v>0</v>
      </c>
      <c r="M92" s="45"/>
      <c r="N92" s="235">
        <f>SUM(N87:N91)</f>
        <v>66050</v>
      </c>
      <c r="O92" s="45"/>
      <c r="P92" s="124">
        <f>SUM(P87:P91)</f>
        <v>0</v>
      </c>
      <c r="Q92" s="45"/>
      <c r="R92" s="124">
        <f>SUM(R87:R91)</f>
        <v>0</v>
      </c>
      <c r="S92" s="45"/>
      <c r="T92" s="124">
        <f>SUM(T87:T91)</f>
        <v>0</v>
      </c>
      <c r="U92" s="45"/>
      <c r="V92" s="124">
        <f>SUM(V87:V91)</f>
        <v>0</v>
      </c>
      <c r="W92" s="45"/>
      <c r="X92" s="124">
        <f>SUM(X87:X91)</f>
        <v>0</v>
      </c>
      <c r="Y92" s="45"/>
      <c r="Z92" s="124">
        <f>SUM(Z87:Z91)</f>
        <v>0</v>
      </c>
      <c r="AA92" s="45"/>
      <c r="AC92" s="24">
        <v>2</v>
      </c>
      <c r="AD92" s="18" t="s">
        <v>89</v>
      </c>
      <c r="AE92" s="48">
        <v>45645</v>
      </c>
      <c r="AF92" s="81">
        <v>7000</v>
      </c>
    </row>
    <row r="93" spans="2:32" ht="15" thickTop="1" x14ac:dyDescent="0.3">
      <c r="B93" s="3" t="s">
        <v>291</v>
      </c>
      <c r="C93" s="117" t="s">
        <v>97</v>
      </c>
      <c r="D93" s="39"/>
      <c r="E93" s="38"/>
      <c r="F93" s="42"/>
      <c r="G93" s="38"/>
      <c r="H93" s="42">
        <v>41600</v>
      </c>
      <c r="I93" s="38">
        <v>45379</v>
      </c>
      <c r="J93" s="42"/>
      <c r="K93" s="38"/>
      <c r="L93" s="42"/>
      <c r="M93" s="38"/>
      <c r="N93" s="42"/>
      <c r="O93" s="38"/>
      <c r="P93" s="42"/>
      <c r="Q93" s="38"/>
      <c r="R93" s="42"/>
      <c r="S93" s="38"/>
      <c r="T93" s="42"/>
      <c r="U93" s="38"/>
      <c r="V93" s="42" t="s">
        <v>1141</v>
      </c>
      <c r="W93" s="38"/>
      <c r="X93" s="42" t="s">
        <v>1141</v>
      </c>
      <c r="Y93" s="38"/>
      <c r="Z93" s="42" t="s">
        <v>1141</v>
      </c>
      <c r="AA93" s="38"/>
      <c r="AC93" s="24">
        <v>3</v>
      </c>
      <c r="AD93" s="213" t="s">
        <v>115</v>
      </c>
      <c r="AE93" s="48">
        <v>45645</v>
      </c>
      <c r="AF93" s="81">
        <v>2500</v>
      </c>
    </row>
    <row r="94" spans="2:32" x14ac:dyDescent="0.3">
      <c r="B94" s="3"/>
      <c r="C94" s="122" t="s">
        <v>844</v>
      </c>
      <c r="D94" s="39"/>
      <c r="E94" s="38"/>
      <c r="F94" s="42"/>
      <c r="G94" s="38"/>
      <c r="H94" s="42">
        <v>5050</v>
      </c>
      <c r="I94" s="38">
        <v>45366</v>
      </c>
      <c r="J94" s="42"/>
      <c r="K94" s="38"/>
      <c r="L94" s="42"/>
      <c r="M94" s="38"/>
      <c r="N94" s="42"/>
      <c r="O94" s="38"/>
      <c r="P94" s="42"/>
      <c r="Q94" s="38"/>
      <c r="R94" s="42"/>
      <c r="S94" s="38"/>
      <c r="T94" s="42"/>
      <c r="U94" s="38"/>
      <c r="V94" s="42"/>
      <c r="W94" s="38"/>
      <c r="X94" s="42"/>
      <c r="Y94" s="38"/>
      <c r="Z94" s="42"/>
      <c r="AA94" s="38"/>
      <c r="AC94" s="24">
        <v>4</v>
      </c>
      <c r="AD94" s="18" t="s">
        <v>952</v>
      </c>
      <c r="AE94" s="48">
        <v>45636</v>
      </c>
      <c r="AF94" s="81">
        <v>7610</v>
      </c>
    </row>
    <row r="95" spans="2:32" x14ac:dyDescent="0.3">
      <c r="B95" s="3"/>
      <c r="C95" t="s">
        <v>748</v>
      </c>
      <c r="D95" s="39"/>
      <c r="E95" s="38"/>
      <c r="F95" s="42"/>
      <c r="G95" s="38"/>
      <c r="H95" s="42">
        <v>23500</v>
      </c>
      <c r="I95" s="38">
        <v>45366</v>
      </c>
      <c r="J95" s="42"/>
      <c r="K95" s="38"/>
      <c r="L95" s="42"/>
      <c r="M95" s="38"/>
      <c r="N95" s="42"/>
      <c r="O95" s="38"/>
      <c r="P95" s="42"/>
      <c r="Q95" s="38"/>
      <c r="R95" s="42"/>
      <c r="S95" s="38"/>
      <c r="T95" s="42"/>
      <c r="U95" s="38"/>
      <c r="V95" s="42"/>
      <c r="W95" s="38"/>
      <c r="X95" s="42"/>
      <c r="Y95" s="38"/>
      <c r="Z95" s="42"/>
      <c r="AA95" s="38"/>
      <c r="AC95" s="24">
        <v>5</v>
      </c>
      <c r="AD95" s="18" t="s">
        <v>1157</v>
      </c>
      <c r="AE95" s="48"/>
      <c r="AF95" s="81">
        <v>500</v>
      </c>
    </row>
    <row r="96" spans="2:32" x14ac:dyDescent="0.3">
      <c r="B96" s="3"/>
      <c r="C96" s="207" t="s">
        <v>96</v>
      </c>
      <c r="D96" s="159"/>
      <c r="E96" s="38"/>
      <c r="F96" s="106"/>
      <c r="G96" s="38"/>
      <c r="H96" s="106"/>
      <c r="I96" s="38"/>
      <c r="J96" s="106">
        <f>-Naveed!AL130-Naveed!AL132-Naveed!AL133-Naveed!AL134</f>
        <v>27460</v>
      </c>
      <c r="K96" s="38">
        <v>45388</v>
      </c>
      <c r="L96" s="106"/>
      <c r="M96" s="38"/>
      <c r="N96" s="106"/>
      <c r="O96" s="38"/>
      <c r="P96" s="106"/>
      <c r="Q96" s="38"/>
      <c r="R96" s="106"/>
      <c r="S96" s="38"/>
      <c r="T96" s="106"/>
      <c r="U96" s="38"/>
      <c r="V96" s="106"/>
      <c r="W96" s="38"/>
      <c r="X96" s="106"/>
      <c r="Y96" s="38"/>
      <c r="Z96" s="106"/>
      <c r="AA96" s="38"/>
      <c r="AC96" s="24">
        <v>6</v>
      </c>
      <c r="AD96" s="18"/>
      <c r="AE96" s="48"/>
      <c r="AF96" s="81"/>
    </row>
    <row r="97" spans="2:32" x14ac:dyDescent="0.3">
      <c r="B97" s="3"/>
      <c r="C97" s="117" t="s">
        <v>98</v>
      </c>
      <c r="D97" s="282"/>
      <c r="E97" s="38"/>
      <c r="F97" s="204"/>
      <c r="G97" s="38"/>
      <c r="H97" s="204"/>
      <c r="I97" s="38"/>
      <c r="J97" s="204">
        <f>-Naveed!AL131</f>
        <v>30000</v>
      </c>
      <c r="K97" s="38">
        <v>45388</v>
      </c>
      <c r="L97" s="204"/>
      <c r="M97" s="38"/>
      <c r="N97" s="204"/>
      <c r="O97" s="38"/>
      <c r="P97" s="204"/>
      <c r="Q97" s="38"/>
      <c r="R97" s="204"/>
      <c r="S97" s="38"/>
      <c r="T97" s="204"/>
      <c r="U97" s="38"/>
      <c r="V97" s="204"/>
      <c r="W97" s="38"/>
      <c r="X97" s="204"/>
      <c r="Y97" s="38"/>
      <c r="Z97" s="204"/>
      <c r="AA97" s="38"/>
      <c r="AC97" s="100">
        <v>45627</v>
      </c>
      <c r="AD97" s="70"/>
      <c r="AE97" s="70"/>
      <c r="AF97" s="71">
        <f>SUM(AF91:AF96)</f>
        <v>20610</v>
      </c>
    </row>
    <row r="98" spans="2:32" x14ac:dyDescent="0.3">
      <c r="B98" s="3"/>
      <c r="C98" s="117" t="s">
        <v>95</v>
      </c>
      <c r="D98" s="39"/>
      <c r="E98" s="38"/>
      <c r="F98" s="42"/>
      <c r="G98" s="38"/>
      <c r="H98" s="42"/>
      <c r="I98" s="38"/>
      <c r="J98" s="42">
        <v>63000</v>
      </c>
      <c r="K98" s="38">
        <v>45392</v>
      </c>
      <c r="L98" s="42"/>
      <c r="M98" s="38"/>
      <c r="N98" s="42"/>
      <c r="O98" s="38"/>
      <c r="P98" s="42"/>
      <c r="Q98" s="38"/>
      <c r="R98" s="42"/>
      <c r="S98" s="38"/>
      <c r="T98" s="42"/>
      <c r="U98" s="38"/>
      <c r="V98" s="42"/>
      <c r="W98" s="38"/>
      <c r="X98" s="42"/>
      <c r="Y98" s="38"/>
      <c r="Z98" s="42"/>
      <c r="AA98" s="38"/>
    </row>
    <row r="99" spans="2:32" ht="15" thickBot="1" x14ac:dyDescent="0.35">
      <c r="B99" s="44"/>
      <c r="C99" s="118"/>
      <c r="D99" s="126">
        <f>SUM(D93:D98)</f>
        <v>0</v>
      </c>
      <c r="E99" s="45"/>
      <c r="F99" s="126">
        <f>SUM(F93:F98)</f>
        <v>0</v>
      </c>
      <c r="G99" s="45"/>
      <c r="H99" s="126">
        <f>SUM(H93:H98)</f>
        <v>70150</v>
      </c>
      <c r="I99" s="45"/>
      <c r="J99" s="126">
        <f>SUM(J93:J98)</f>
        <v>120460</v>
      </c>
      <c r="K99" s="45"/>
      <c r="L99" s="126">
        <f>SUM(L93:L98)</f>
        <v>0</v>
      </c>
      <c r="M99" s="45"/>
      <c r="N99" s="126">
        <f>SUM(N93:N98)</f>
        <v>0</v>
      </c>
      <c r="O99" s="45"/>
      <c r="P99" s="126">
        <f>SUM(P93:P98)</f>
        <v>0</v>
      </c>
      <c r="Q99" s="45"/>
      <c r="R99" s="126">
        <f>SUM(R93:R98)</f>
        <v>0</v>
      </c>
      <c r="S99" s="45"/>
      <c r="T99" s="126">
        <f>SUM(T93:T98)</f>
        <v>0</v>
      </c>
      <c r="U99" s="45"/>
      <c r="V99" s="126">
        <f>SUM(V93:V98)</f>
        <v>0</v>
      </c>
      <c r="W99" s="45"/>
      <c r="X99" s="126">
        <f>SUM(X93:X98)</f>
        <v>0</v>
      </c>
      <c r="Y99" s="45"/>
      <c r="Z99" s="126">
        <f>SUM(Z93:Z98)</f>
        <v>0</v>
      </c>
      <c r="AA99" s="45"/>
    </row>
    <row r="100" spans="2:32" ht="15" thickTop="1" x14ac:dyDescent="0.3">
      <c r="B100" s="3" t="s">
        <v>133</v>
      </c>
      <c r="C100" s="121"/>
      <c r="D100" s="170"/>
      <c r="E100" s="5"/>
      <c r="F100" s="91"/>
      <c r="G100" s="5"/>
      <c r="H100" s="91"/>
      <c r="I100" s="5"/>
      <c r="J100" s="91"/>
      <c r="K100" s="5"/>
      <c r="L100" s="91"/>
      <c r="M100" s="5"/>
      <c r="N100" s="91"/>
      <c r="O100" s="5"/>
      <c r="P100" s="91"/>
      <c r="Q100" s="5"/>
      <c r="R100" s="91"/>
      <c r="S100" s="5"/>
      <c r="T100" s="91"/>
      <c r="U100" s="5"/>
      <c r="V100" s="91"/>
      <c r="W100" s="5"/>
      <c r="X100" s="91"/>
      <c r="Y100" s="5"/>
      <c r="Z100" s="91"/>
      <c r="AA100" s="5"/>
    </row>
    <row r="101" spans="2:32" x14ac:dyDescent="0.3">
      <c r="B101" s="3" t="s">
        <v>1130</v>
      </c>
      <c r="C101" s="121"/>
      <c r="D101" s="39"/>
      <c r="E101" s="38"/>
      <c r="F101" s="42"/>
      <c r="G101" s="38"/>
      <c r="H101" s="42"/>
      <c r="I101" s="38"/>
      <c r="J101" s="42">
        <v>3500</v>
      </c>
      <c r="K101" s="38">
        <v>45392</v>
      </c>
      <c r="L101" s="42"/>
      <c r="M101" s="38"/>
      <c r="N101" s="42">
        <v>25000</v>
      </c>
      <c r="O101" s="38">
        <v>45468</v>
      </c>
      <c r="P101" s="42"/>
      <c r="Q101" s="38"/>
      <c r="R101" s="42">
        <v>21000</v>
      </c>
      <c r="S101" s="38">
        <v>45530</v>
      </c>
      <c r="T101" s="42">
        <v>8000</v>
      </c>
      <c r="U101" s="38">
        <v>45538</v>
      </c>
      <c r="V101" s="42"/>
      <c r="W101" s="38"/>
      <c r="X101" s="42"/>
      <c r="Y101" s="38"/>
      <c r="Z101" s="42"/>
      <c r="AA101" s="38"/>
    </row>
    <row r="102" spans="2:32" x14ac:dyDescent="0.3">
      <c r="B102" s="3" t="s">
        <v>732</v>
      </c>
      <c r="C102" s="121"/>
      <c r="D102" s="39"/>
      <c r="E102" s="38"/>
      <c r="F102" s="42"/>
      <c r="G102" s="38"/>
      <c r="H102" s="42"/>
      <c r="I102" s="38"/>
      <c r="J102" s="42"/>
      <c r="K102" s="38"/>
      <c r="L102" s="42"/>
      <c r="M102" s="38"/>
      <c r="N102" s="42"/>
      <c r="O102" s="38"/>
      <c r="P102" s="42"/>
      <c r="Q102" s="38"/>
      <c r="R102" s="42"/>
      <c r="S102" s="38"/>
      <c r="T102" s="42"/>
      <c r="U102" s="38"/>
      <c r="V102" s="42"/>
      <c r="W102" s="38"/>
      <c r="X102" s="42"/>
      <c r="Y102" s="38"/>
      <c r="Z102" s="42"/>
      <c r="AA102" s="38"/>
    </row>
    <row r="103" spans="2:32" ht="15" thickBot="1" x14ac:dyDescent="0.35">
      <c r="B103" s="44"/>
      <c r="C103" s="118"/>
      <c r="D103" s="126">
        <f>SUM(D100:D102)</f>
        <v>0</v>
      </c>
      <c r="E103" s="45"/>
      <c r="F103" s="126">
        <f>SUM(F100:F102)</f>
        <v>0</v>
      </c>
      <c r="G103" s="45"/>
      <c r="H103" s="126">
        <f>SUM(H100:H102)</f>
        <v>0</v>
      </c>
      <c r="I103" s="45"/>
      <c r="J103" s="126">
        <f>SUM(J100:J102)</f>
        <v>3500</v>
      </c>
      <c r="K103" s="45"/>
      <c r="L103" s="126">
        <f>SUM(L100:L102)</f>
        <v>0</v>
      </c>
      <c r="M103" s="45"/>
      <c r="N103" s="126">
        <f>SUM(N100:N102)</f>
        <v>25000</v>
      </c>
      <c r="O103" s="45"/>
      <c r="P103" s="126">
        <f>SUM(P100:P102)</f>
        <v>0</v>
      </c>
      <c r="Q103" s="45"/>
      <c r="R103" s="126">
        <f>SUM(R100:R102)</f>
        <v>21000</v>
      </c>
      <c r="S103" s="45"/>
      <c r="T103" s="126">
        <f>SUM(T100:T102)</f>
        <v>8000</v>
      </c>
      <c r="U103" s="45"/>
      <c r="V103" s="126">
        <f>SUM(V100:V102)</f>
        <v>0</v>
      </c>
      <c r="W103" s="45"/>
      <c r="X103" s="126">
        <f>SUM(X100:X102)</f>
        <v>0</v>
      </c>
      <c r="Y103" s="45"/>
      <c r="Z103" s="126">
        <f>SUM(Z100:Z102)</f>
        <v>0</v>
      </c>
      <c r="AA103" s="45"/>
    </row>
    <row r="104" spans="2:32" ht="15.6" thickTop="1" thickBot="1" x14ac:dyDescent="0.35">
      <c r="B104" s="50" t="s">
        <v>8</v>
      </c>
      <c r="C104" s="167"/>
      <c r="D104" s="132">
        <f>D14+D22+D25+D33+D36+D39+D46+D56+D74+D86+D92+D99+D103+D66+D61+D69</f>
        <v>712305</v>
      </c>
      <c r="E104" s="171"/>
      <c r="F104" s="132">
        <f>F14+F22+F25+F33+F36+F39+F46+F56+F74+F86+F92+F99+F103+F66+F61+F69</f>
        <v>666071</v>
      </c>
      <c r="G104" s="51"/>
      <c r="H104" s="132">
        <f>H14+H22+H25+H33+H36+H39+H46+H56+H74+H86+H92+H99+H103+H66+H61+H69</f>
        <v>708641</v>
      </c>
      <c r="I104" s="51"/>
      <c r="J104" s="132">
        <f>J14+J22+J25+J33+J36+J39+J46+J56+J74+J86+J92+J99+J103+J66+J61+J69</f>
        <v>666802</v>
      </c>
      <c r="K104" s="51"/>
      <c r="L104" s="132">
        <f>L14+L22+L25+L33+L36+L39+L46+L56+L74+L86+L92+L99+L103+L66+L61+L69</f>
        <v>534100</v>
      </c>
      <c r="M104" s="51"/>
      <c r="N104" s="132">
        <f>N14+N22+N25+N33+N36+N39+N46+N56+N74+N86+N92+N99+N103+N66+N61+N69</f>
        <v>698134</v>
      </c>
      <c r="O104" s="51"/>
      <c r="P104" s="132">
        <f>P14+P22+P25+P33+P36+P39+P46+P56+P74+P86+P92+P99+P103+P66+P61+P69</f>
        <v>884891</v>
      </c>
      <c r="Q104" s="51"/>
      <c r="R104" s="132">
        <f>R14+R22+R25+R33+R36+R39+R46+R56+R74+R86+R92+R99+R103+R66+R61+R69</f>
        <v>830664</v>
      </c>
      <c r="S104" s="51"/>
      <c r="T104" s="132">
        <f>T14+T22+T25+T33+T36+T39+T46+T56+T74+T86+T92+T99+T103+T66+T61+T69</f>
        <v>542130</v>
      </c>
      <c r="U104" s="51"/>
      <c r="V104" s="132">
        <f>V14+V22+V25+V33+V36+V39+V46+V56+V74+V86+V92+V99+V103+V66+V61+V69</f>
        <v>650998</v>
      </c>
      <c r="W104" s="51"/>
      <c r="X104" s="132">
        <f>X14+X22+X25+X33+X36+X39+X46+X56+X74+X86+X92+X99+X103+X66+X61+X69</f>
        <v>731154</v>
      </c>
      <c r="Y104" s="51"/>
      <c r="Z104" s="132">
        <f>Z14+Z22+Z25+Z33+Z36+Z39+Z46+Z56+Z74+Z86+Z92+Z99+Z103+Z66+Z61+Z69</f>
        <v>852282</v>
      </c>
      <c r="AA104" s="51"/>
    </row>
    <row r="105" spans="2:32" ht="15" thickTop="1" x14ac:dyDescent="0.3"/>
  </sheetData>
  <mergeCells count="13">
    <mergeCell ref="Z5:AA5"/>
    <mergeCell ref="B5:C5"/>
    <mergeCell ref="N5:O5"/>
    <mergeCell ref="D5:E5"/>
    <mergeCell ref="F5:G5"/>
    <mergeCell ref="H5:I5"/>
    <mergeCell ref="J5:K5"/>
    <mergeCell ref="L5:M5"/>
    <mergeCell ref="R5:S5"/>
    <mergeCell ref="T5:U5"/>
    <mergeCell ref="V5:W5"/>
    <mergeCell ref="X5:Y5"/>
    <mergeCell ref="P5:Q5"/>
  </mergeCells>
  <pageMargins left="0.7" right="0.7" top="0.75" bottom="0.75" header="0.3" footer="0.3"/>
  <pageSetup scale="3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F1AF-1841-4B24-8EC3-5F0B282A47AA}">
  <dimension ref="B2:Q17"/>
  <sheetViews>
    <sheetView topLeftCell="A28" workbookViewId="0">
      <selection activeCell="D10" sqref="D10"/>
    </sheetView>
  </sheetViews>
  <sheetFormatPr defaultRowHeight="14.4" x14ac:dyDescent="0.3"/>
  <cols>
    <col min="3" max="3" width="15.88671875" bestFit="1" customWidth="1"/>
    <col min="5" max="5" width="19" bestFit="1" customWidth="1"/>
    <col min="6" max="6" width="21.44140625" bestFit="1" customWidth="1"/>
    <col min="7" max="7" width="17.88671875" bestFit="1" customWidth="1"/>
    <col min="11" max="11" width="9.109375" bestFit="1" customWidth="1"/>
    <col min="16" max="16" width="10" bestFit="1" customWidth="1"/>
  </cols>
  <sheetData>
    <row r="2" spans="2:17" x14ac:dyDescent="0.3">
      <c r="B2" s="29" t="s">
        <v>224</v>
      </c>
    </row>
    <row r="3" spans="2:17" x14ac:dyDescent="0.3">
      <c r="B3" t="s">
        <v>137</v>
      </c>
      <c r="L3">
        <v>562500</v>
      </c>
      <c r="M3" t="s">
        <v>70</v>
      </c>
      <c r="P3" s="49">
        <f>750000+750000</f>
        <v>1500000</v>
      </c>
    </row>
    <row r="4" spans="2:17" x14ac:dyDescent="0.3">
      <c r="B4" s="18" t="s">
        <v>50</v>
      </c>
      <c r="C4" s="18" t="s">
        <v>107</v>
      </c>
      <c r="D4" s="102">
        <f>375000+375000</f>
        <v>750000</v>
      </c>
      <c r="E4" s="18" t="s">
        <v>87</v>
      </c>
      <c r="F4" s="18"/>
      <c r="G4" s="74"/>
      <c r="H4" s="74"/>
      <c r="I4" s="74"/>
      <c r="J4" s="74"/>
      <c r="K4" t="s">
        <v>69</v>
      </c>
      <c r="P4" s="49">
        <v>-375000</v>
      </c>
      <c r="Q4" t="s">
        <v>88</v>
      </c>
    </row>
    <row r="5" spans="2:17" x14ac:dyDescent="0.3">
      <c r="B5" s="18" t="s">
        <v>50</v>
      </c>
      <c r="C5" s="18" t="s">
        <v>106</v>
      </c>
      <c r="D5" s="116">
        <f>750000-375000</f>
        <v>375000</v>
      </c>
      <c r="E5" s="18" t="s">
        <v>68</v>
      </c>
      <c r="F5" s="18" t="s">
        <v>136</v>
      </c>
      <c r="G5" s="74"/>
      <c r="H5" s="74"/>
      <c r="I5" s="74"/>
      <c r="J5" s="74"/>
      <c r="K5" s="74">
        <f>SUM(D5:D5)</f>
        <v>375000</v>
      </c>
      <c r="L5" t="s">
        <v>84</v>
      </c>
      <c r="P5" s="49">
        <f>P3+P4</f>
        <v>1125000</v>
      </c>
      <c r="Q5" t="s">
        <v>84</v>
      </c>
    </row>
    <row r="6" spans="2:17" x14ac:dyDescent="0.3">
      <c r="B6" s="18" t="s">
        <v>8</v>
      </c>
      <c r="C6" s="18"/>
      <c r="D6" s="133">
        <f>SUM(D4:D5)</f>
        <v>1125000</v>
      </c>
      <c r="E6" s="18"/>
      <c r="F6" s="18"/>
      <c r="G6" s="74"/>
      <c r="H6" s="74"/>
      <c r="I6" s="74"/>
      <c r="J6" s="74"/>
      <c r="K6" s="74"/>
      <c r="P6" s="49"/>
    </row>
    <row r="7" spans="2:17" x14ac:dyDescent="0.3">
      <c r="B7" s="18"/>
      <c r="C7" s="18" t="s">
        <v>85</v>
      </c>
      <c r="D7" s="102">
        <v>562500</v>
      </c>
      <c r="E7" s="18"/>
      <c r="F7" s="18"/>
      <c r="K7" s="74">
        <f>K5/2</f>
        <v>187500</v>
      </c>
      <c r="L7" t="s">
        <v>85</v>
      </c>
      <c r="P7" s="74">
        <f>P5/2</f>
        <v>562500</v>
      </c>
      <c r="Q7" t="s">
        <v>85</v>
      </c>
    </row>
    <row r="8" spans="2:17" x14ac:dyDescent="0.3">
      <c r="B8" s="18"/>
      <c r="C8" s="18" t="s">
        <v>85</v>
      </c>
      <c r="D8" s="102">
        <v>400000</v>
      </c>
      <c r="E8" s="18"/>
      <c r="F8" s="18"/>
      <c r="K8" s="49">
        <v>400000</v>
      </c>
      <c r="L8" t="s">
        <v>85</v>
      </c>
      <c r="P8" s="49">
        <v>400000</v>
      </c>
      <c r="Q8" t="s">
        <v>85</v>
      </c>
    </row>
    <row r="9" spans="2:17" x14ac:dyDescent="0.3">
      <c r="B9" s="18"/>
      <c r="C9" s="18" t="s">
        <v>139</v>
      </c>
      <c r="D9" s="134">
        <f>D7-D8</f>
        <v>162500</v>
      </c>
      <c r="E9" s="110" t="s">
        <v>86</v>
      </c>
      <c r="F9" s="18"/>
      <c r="G9" s="18" t="s">
        <v>102</v>
      </c>
      <c r="I9" s="74">
        <f>D9</f>
        <v>162500</v>
      </c>
      <c r="K9" s="74">
        <f>K7-K8</f>
        <v>-212500</v>
      </c>
      <c r="L9" t="s">
        <v>86</v>
      </c>
      <c r="P9" s="74">
        <f>P7-P8</f>
        <v>162500</v>
      </c>
      <c r="Q9" t="s">
        <v>86</v>
      </c>
    </row>
    <row r="10" spans="2:17" x14ac:dyDescent="0.3">
      <c r="B10" s="18" t="s">
        <v>53</v>
      </c>
      <c r="C10" s="18" t="s">
        <v>107</v>
      </c>
      <c r="D10" s="134">
        <f>750000/2</f>
        <v>375000</v>
      </c>
      <c r="E10" s="110" t="s">
        <v>101</v>
      </c>
      <c r="F10" s="88">
        <v>44562</v>
      </c>
      <c r="G10" s="18" t="s">
        <v>102</v>
      </c>
      <c r="I10" s="74">
        <f>D10</f>
        <v>375000</v>
      </c>
    </row>
    <row r="11" spans="2:17" x14ac:dyDescent="0.3">
      <c r="B11" s="18" t="s">
        <v>53</v>
      </c>
      <c r="C11" s="18" t="s">
        <v>106</v>
      </c>
      <c r="D11" s="114">
        <f>750000/2</f>
        <v>375000</v>
      </c>
      <c r="E11" s="18" t="s">
        <v>100</v>
      </c>
      <c r="F11" s="88">
        <v>44652</v>
      </c>
      <c r="G11" s="18" t="s">
        <v>104</v>
      </c>
      <c r="H11" s="74"/>
      <c r="I11" s="74">
        <f>SUM(I9:I10)</f>
        <v>537500</v>
      </c>
    </row>
    <row r="12" spans="2:17" x14ac:dyDescent="0.3">
      <c r="H12" s="74"/>
      <c r="I12" s="74"/>
    </row>
    <row r="13" spans="2:17" x14ac:dyDescent="0.3">
      <c r="B13" s="18" t="s">
        <v>53</v>
      </c>
      <c r="C13" s="18" t="s">
        <v>107</v>
      </c>
      <c r="D13" s="114">
        <f>750000/2</f>
        <v>375000</v>
      </c>
      <c r="E13" s="18" t="s">
        <v>105</v>
      </c>
      <c r="F13" s="88">
        <v>44652</v>
      </c>
      <c r="G13" s="18" t="s">
        <v>104</v>
      </c>
      <c r="I13" s="74"/>
    </row>
    <row r="14" spans="2:17" x14ac:dyDescent="0.3">
      <c r="B14" s="18" t="s">
        <v>53</v>
      </c>
      <c r="C14" s="18" t="s">
        <v>106</v>
      </c>
      <c r="D14" s="114">
        <f>750000/2</f>
        <v>375000</v>
      </c>
      <c r="E14" s="18" t="s">
        <v>108</v>
      </c>
      <c r="F14" s="88">
        <v>44743</v>
      </c>
      <c r="G14" s="18" t="s">
        <v>104</v>
      </c>
      <c r="I14" s="74"/>
    </row>
    <row r="15" spans="2:17" x14ac:dyDescent="0.3">
      <c r="I15" s="74"/>
    </row>
    <row r="16" spans="2:17" x14ac:dyDescent="0.3">
      <c r="B16" s="18" t="s">
        <v>53</v>
      </c>
      <c r="C16" s="18" t="s">
        <v>107</v>
      </c>
      <c r="D16" s="114">
        <f>750000/2</f>
        <v>375000</v>
      </c>
      <c r="E16" s="18" t="s">
        <v>126</v>
      </c>
      <c r="F16" s="88">
        <v>44743</v>
      </c>
      <c r="G16" s="18" t="s">
        <v>104</v>
      </c>
      <c r="I16" s="140" t="s">
        <v>149</v>
      </c>
    </row>
    <row r="17" spans="2:9" x14ac:dyDescent="0.3">
      <c r="B17" s="163" t="s">
        <v>53</v>
      </c>
      <c r="C17" s="163" t="s">
        <v>106</v>
      </c>
      <c r="D17" s="164">
        <f>750000/2</f>
        <v>375000</v>
      </c>
      <c r="E17" s="163" t="s">
        <v>127</v>
      </c>
      <c r="F17" s="165">
        <v>44835</v>
      </c>
      <c r="G17" s="163" t="s">
        <v>128</v>
      </c>
      <c r="I17" s="74"/>
    </row>
  </sheetData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47"/>
  <sheetViews>
    <sheetView workbookViewId="0">
      <selection activeCell="D1" sqref="D1"/>
    </sheetView>
  </sheetViews>
  <sheetFormatPr defaultRowHeight="14.4" x14ac:dyDescent="0.3"/>
  <cols>
    <col min="2" max="2" width="8.6640625" customWidth="1"/>
    <col min="3" max="3" width="49.33203125" customWidth="1"/>
    <col min="4" max="4" width="16.88671875" customWidth="1"/>
  </cols>
  <sheetData>
    <row r="2" spans="2:4" ht="18" x14ac:dyDescent="0.35">
      <c r="B2" s="35" t="s">
        <v>0</v>
      </c>
      <c r="C2" s="29"/>
      <c r="D2" s="30" t="s">
        <v>14</v>
      </c>
    </row>
    <row r="3" spans="2:4" ht="18" x14ac:dyDescent="0.35">
      <c r="B3" s="35" t="s">
        <v>9</v>
      </c>
      <c r="C3" s="29"/>
      <c r="D3" s="29"/>
    </row>
    <row r="4" spans="2:4" ht="8.25" customHeight="1" thickBot="1" x14ac:dyDescent="0.35"/>
    <row r="5" spans="2:4" x14ac:dyDescent="0.3">
      <c r="B5" s="19" t="s">
        <v>10</v>
      </c>
      <c r="C5" s="20" t="s">
        <v>11</v>
      </c>
      <c r="D5" s="21" t="s">
        <v>1</v>
      </c>
    </row>
    <row r="6" spans="2:4" x14ac:dyDescent="0.3">
      <c r="B6" s="25"/>
      <c r="C6" s="18"/>
      <c r="D6" s="26"/>
    </row>
    <row r="7" spans="2:4" x14ac:dyDescent="0.3">
      <c r="B7" s="27">
        <v>1</v>
      </c>
      <c r="C7" s="18"/>
      <c r="D7" s="26"/>
    </row>
    <row r="8" spans="2:4" x14ac:dyDescent="0.3">
      <c r="B8" s="27">
        <v>2</v>
      </c>
      <c r="C8" s="18"/>
      <c r="D8" s="26"/>
    </row>
    <row r="9" spans="2:4" x14ac:dyDescent="0.3">
      <c r="B9" s="27">
        <v>3</v>
      </c>
      <c r="C9" s="18"/>
      <c r="D9" s="26"/>
    </row>
    <row r="10" spans="2:4" ht="15" thickBot="1" x14ac:dyDescent="0.35">
      <c r="B10" s="31"/>
      <c r="C10" s="32"/>
      <c r="D10" s="33"/>
    </row>
    <row r="11" spans="2:4" ht="15" thickBot="1" x14ac:dyDescent="0.35">
      <c r="B11" s="34" t="s">
        <v>8</v>
      </c>
      <c r="C11" s="22"/>
      <c r="D11" s="23"/>
    </row>
    <row r="13" spans="2:4" ht="9" customHeight="1" x14ac:dyDescent="0.3"/>
    <row r="14" spans="2:4" x14ac:dyDescent="0.3">
      <c r="B14" s="28"/>
      <c r="C14" s="28"/>
      <c r="D14" s="28"/>
    </row>
    <row r="15" spans="2:4" x14ac:dyDescent="0.3">
      <c r="B15" t="s">
        <v>12</v>
      </c>
      <c r="D15" t="s">
        <v>13</v>
      </c>
    </row>
    <row r="18" spans="2:4" ht="18" x14ac:dyDescent="0.35">
      <c r="B18" s="35" t="s">
        <v>0</v>
      </c>
      <c r="C18" s="29"/>
      <c r="D18" s="30" t="s">
        <v>14</v>
      </c>
    </row>
    <row r="19" spans="2:4" ht="18" x14ac:dyDescent="0.35">
      <c r="B19" s="35" t="s">
        <v>9</v>
      </c>
      <c r="C19" s="29"/>
      <c r="D19" s="29"/>
    </row>
    <row r="20" spans="2:4" ht="7.5" customHeight="1" thickBot="1" x14ac:dyDescent="0.35"/>
    <row r="21" spans="2:4" x14ac:dyDescent="0.3">
      <c r="B21" s="19" t="s">
        <v>10</v>
      </c>
      <c r="C21" s="20" t="s">
        <v>11</v>
      </c>
      <c r="D21" s="21" t="s">
        <v>1</v>
      </c>
    </row>
    <row r="22" spans="2:4" x14ac:dyDescent="0.3">
      <c r="B22" s="25"/>
      <c r="C22" s="18"/>
      <c r="D22" s="26"/>
    </row>
    <row r="23" spans="2:4" x14ac:dyDescent="0.3">
      <c r="B23" s="27">
        <v>1</v>
      </c>
      <c r="C23" s="18"/>
      <c r="D23" s="26"/>
    </row>
    <row r="24" spans="2:4" x14ac:dyDescent="0.3">
      <c r="B24" s="27">
        <v>2</v>
      </c>
      <c r="C24" s="18"/>
      <c r="D24" s="26"/>
    </row>
    <row r="25" spans="2:4" x14ac:dyDescent="0.3">
      <c r="B25" s="27">
        <v>3</v>
      </c>
      <c r="C25" s="18"/>
      <c r="D25" s="26"/>
    </row>
    <row r="26" spans="2:4" ht="15" thickBot="1" x14ac:dyDescent="0.35">
      <c r="B26" s="31"/>
      <c r="C26" s="32"/>
      <c r="D26" s="33"/>
    </row>
    <row r="27" spans="2:4" ht="15" thickBot="1" x14ac:dyDescent="0.35">
      <c r="B27" s="34" t="s">
        <v>8</v>
      </c>
      <c r="C27" s="22"/>
      <c r="D27" s="23"/>
    </row>
    <row r="29" spans="2:4" ht="10.5" customHeight="1" x14ac:dyDescent="0.3"/>
    <row r="30" spans="2:4" x14ac:dyDescent="0.3">
      <c r="B30" s="28"/>
      <c r="C30" s="28"/>
      <c r="D30" s="28"/>
    </row>
    <row r="31" spans="2:4" x14ac:dyDescent="0.3">
      <c r="B31" t="s">
        <v>12</v>
      </c>
      <c r="D31" t="s">
        <v>13</v>
      </c>
    </row>
    <row r="34" spans="2:4" ht="18" x14ac:dyDescent="0.35">
      <c r="B34" s="35" t="s">
        <v>0</v>
      </c>
      <c r="C34" s="29"/>
      <c r="D34" s="30" t="s">
        <v>14</v>
      </c>
    </row>
    <row r="35" spans="2:4" ht="18" x14ac:dyDescent="0.35">
      <c r="B35" s="35" t="s">
        <v>9</v>
      </c>
      <c r="C35" s="29"/>
      <c r="D35" s="29"/>
    </row>
    <row r="36" spans="2:4" ht="8.25" customHeight="1" thickBot="1" x14ac:dyDescent="0.35"/>
    <row r="37" spans="2:4" x14ac:dyDescent="0.3">
      <c r="B37" s="19" t="s">
        <v>10</v>
      </c>
      <c r="C37" s="20" t="s">
        <v>11</v>
      </c>
      <c r="D37" s="21" t="s">
        <v>1</v>
      </c>
    </row>
    <row r="38" spans="2:4" x14ac:dyDescent="0.3">
      <c r="B38" s="25"/>
      <c r="C38" s="18"/>
      <c r="D38" s="26"/>
    </row>
    <row r="39" spans="2:4" x14ac:dyDescent="0.3">
      <c r="B39" s="27">
        <v>1</v>
      </c>
      <c r="C39" s="18"/>
      <c r="D39" s="26"/>
    </row>
    <row r="40" spans="2:4" x14ac:dyDescent="0.3">
      <c r="B40" s="27">
        <v>2</v>
      </c>
      <c r="C40" s="18"/>
      <c r="D40" s="26"/>
    </row>
    <row r="41" spans="2:4" x14ac:dyDescent="0.3">
      <c r="B41" s="27">
        <v>3</v>
      </c>
      <c r="C41" s="18"/>
      <c r="D41" s="26"/>
    </row>
    <row r="42" spans="2:4" ht="15" thickBot="1" x14ac:dyDescent="0.35">
      <c r="B42" s="31"/>
      <c r="C42" s="32"/>
      <c r="D42" s="33"/>
    </row>
    <row r="43" spans="2:4" ht="15" thickBot="1" x14ac:dyDescent="0.35">
      <c r="B43" s="34" t="s">
        <v>8</v>
      </c>
      <c r="C43" s="22"/>
      <c r="D43" s="23"/>
    </row>
    <row r="45" spans="2:4" ht="7.5" customHeight="1" x14ac:dyDescent="0.3"/>
    <row r="46" spans="2:4" x14ac:dyDescent="0.3">
      <c r="B46" s="28"/>
      <c r="C46" s="28"/>
      <c r="D46" s="28"/>
    </row>
    <row r="47" spans="2:4" x14ac:dyDescent="0.3">
      <c r="B47" t="s">
        <v>12</v>
      </c>
      <c r="D47" t="s">
        <v>13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3B62-D5EE-40A7-BFBE-F06F96ABDC88}">
  <dimension ref="B3:K16"/>
  <sheetViews>
    <sheetView topLeftCell="A4" workbookViewId="0">
      <selection activeCell="K10" sqref="K10"/>
    </sheetView>
  </sheetViews>
  <sheetFormatPr defaultRowHeight="14.4" x14ac:dyDescent="0.3"/>
  <cols>
    <col min="2" max="2" width="9.21875" bestFit="1" customWidth="1"/>
    <col min="3" max="3" width="5" bestFit="1" customWidth="1"/>
  </cols>
  <sheetData>
    <row r="3" spans="2:11" x14ac:dyDescent="0.3">
      <c r="B3" s="48">
        <v>45849</v>
      </c>
      <c r="C3" s="423" t="s">
        <v>1395</v>
      </c>
      <c r="D3" s="88">
        <v>45658</v>
      </c>
      <c r="E3" s="88">
        <v>45809</v>
      </c>
      <c r="F3" s="18"/>
      <c r="G3" s="18">
        <v>6</v>
      </c>
      <c r="H3" s="18">
        <v>9500</v>
      </c>
      <c r="I3" s="18">
        <f t="shared" ref="I3:I16" si="0">H3*G3</f>
        <v>57000</v>
      </c>
    </row>
    <row r="4" spans="2:11" x14ac:dyDescent="0.3">
      <c r="B4" s="48">
        <v>45668</v>
      </c>
      <c r="C4" s="423" t="s">
        <v>1182</v>
      </c>
      <c r="D4" s="88">
        <v>45597</v>
      </c>
      <c r="E4" s="88">
        <v>45627</v>
      </c>
      <c r="F4" s="18"/>
      <c r="G4" s="18">
        <v>2</v>
      </c>
      <c r="H4" s="18">
        <v>7500</v>
      </c>
      <c r="I4" s="18">
        <f t="shared" si="0"/>
        <v>15000</v>
      </c>
    </row>
    <row r="5" spans="2:11" x14ac:dyDescent="0.3">
      <c r="B5" s="48">
        <v>45568</v>
      </c>
      <c r="C5" s="423" t="s">
        <v>1030</v>
      </c>
      <c r="D5" s="88">
        <v>45566</v>
      </c>
      <c r="E5" s="88">
        <v>45566</v>
      </c>
      <c r="F5" s="18"/>
      <c r="G5" s="18">
        <v>1</v>
      </c>
      <c r="H5" s="18">
        <v>7500</v>
      </c>
      <c r="I5" s="18">
        <f t="shared" si="0"/>
        <v>7500</v>
      </c>
    </row>
    <row r="6" spans="2:11" x14ac:dyDescent="0.3">
      <c r="B6" s="48">
        <v>45538</v>
      </c>
      <c r="C6" s="423" t="s">
        <v>1029</v>
      </c>
      <c r="D6" s="88">
        <v>45536</v>
      </c>
      <c r="E6" s="88">
        <v>45536</v>
      </c>
      <c r="F6" s="18"/>
      <c r="G6" s="18">
        <v>1</v>
      </c>
      <c r="H6" s="18">
        <v>7500</v>
      </c>
      <c r="I6" s="18">
        <f t="shared" si="0"/>
        <v>7500</v>
      </c>
    </row>
    <row r="7" spans="2:11" x14ac:dyDescent="0.3">
      <c r="B7" s="48">
        <v>45510</v>
      </c>
      <c r="C7" s="423" t="s">
        <v>946</v>
      </c>
      <c r="D7" s="88">
        <v>45474</v>
      </c>
      <c r="E7" s="88">
        <v>45505</v>
      </c>
      <c r="F7" s="18"/>
      <c r="G7" s="18">
        <v>2</v>
      </c>
      <c r="H7" s="18">
        <v>7500</v>
      </c>
      <c r="I7" s="18">
        <f t="shared" si="0"/>
        <v>15000</v>
      </c>
    </row>
    <row r="8" spans="2:11" x14ac:dyDescent="0.3">
      <c r="B8" s="48">
        <v>45446</v>
      </c>
      <c r="C8" s="423" t="s">
        <v>900</v>
      </c>
      <c r="D8" s="88">
        <v>45809</v>
      </c>
      <c r="E8" s="88">
        <v>45809</v>
      </c>
      <c r="F8" s="18"/>
      <c r="G8" s="18">
        <v>1</v>
      </c>
      <c r="H8" s="18">
        <v>7500</v>
      </c>
      <c r="I8" s="18">
        <f t="shared" si="0"/>
        <v>7500</v>
      </c>
    </row>
    <row r="9" spans="2:11" x14ac:dyDescent="0.3">
      <c r="B9" s="383">
        <v>45414</v>
      </c>
      <c r="C9" s="466" t="s">
        <v>900</v>
      </c>
      <c r="D9" s="382">
        <v>45778</v>
      </c>
      <c r="E9" s="382">
        <v>45778</v>
      </c>
      <c r="F9" s="381"/>
      <c r="G9" s="381">
        <v>1</v>
      </c>
      <c r="H9" s="381">
        <v>7500</v>
      </c>
      <c r="I9" s="381">
        <f t="shared" ref="I9" si="1">H9*G9</f>
        <v>7500</v>
      </c>
      <c r="K9" t="s">
        <v>1659</v>
      </c>
    </row>
    <row r="10" spans="2:11" x14ac:dyDescent="0.3">
      <c r="B10" s="48">
        <v>45387</v>
      </c>
      <c r="C10" s="423" t="s">
        <v>792</v>
      </c>
      <c r="D10" s="88">
        <v>45748</v>
      </c>
      <c r="E10" s="88">
        <v>45748</v>
      </c>
      <c r="F10" s="18"/>
      <c r="G10" s="18">
        <v>1</v>
      </c>
      <c r="H10" s="18">
        <v>7500</v>
      </c>
      <c r="I10" s="18">
        <f t="shared" si="0"/>
        <v>7500</v>
      </c>
    </row>
    <row r="11" spans="2:11" x14ac:dyDescent="0.3">
      <c r="B11" s="48">
        <v>45356</v>
      </c>
      <c r="C11" s="423" t="s">
        <v>766</v>
      </c>
      <c r="D11" s="88">
        <v>45717</v>
      </c>
      <c r="E11" s="88">
        <v>45717</v>
      </c>
      <c r="F11" s="18"/>
      <c r="G11" s="18">
        <v>1</v>
      </c>
      <c r="H11" s="18">
        <v>7500</v>
      </c>
      <c r="I11" s="18">
        <f t="shared" si="0"/>
        <v>7500</v>
      </c>
    </row>
    <row r="12" spans="2:11" x14ac:dyDescent="0.3">
      <c r="B12" s="48">
        <v>45351</v>
      </c>
      <c r="C12" s="423" t="s">
        <v>722</v>
      </c>
      <c r="D12" s="88">
        <v>45689</v>
      </c>
      <c r="E12" s="88">
        <v>45689</v>
      </c>
      <c r="F12" s="18"/>
      <c r="G12" s="18">
        <v>1</v>
      </c>
      <c r="H12" s="18">
        <v>7500</v>
      </c>
      <c r="I12" s="18">
        <f t="shared" si="0"/>
        <v>7500</v>
      </c>
    </row>
    <row r="13" spans="2:11" x14ac:dyDescent="0.3">
      <c r="B13" s="48">
        <v>45311</v>
      </c>
      <c r="C13" s="423" t="s">
        <v>1510</v>
      </c>
      <c r="D13" s="88">
        <v>45658</v>
      </c>
      <c r="E13" s="88">
        <v>45658</v>
      </c>
      <c r="F13" s="18"/>
      <c r="G13" s="18">
        <v>1</v>
      </c>
      <c r="H13" s="18">
        <v>7500</v>
      </c>
      <c r="I13" s="18">
        <f t="shared" si="0"/>
        <v>7500</v>
      </c>
    </row>
    <row r="14" spans="2:11" x14ac:dyDescent="0.3">
      <c r="B14" s="424">
        <v>45316</v>
      </c>
      <c r="C14" s="425" t="s">
        <v>1511</v>
      </c>
      <c r="D14" s="426">
        <v>45992</v>
      </c>
      <c r="E14" s="426">
        <v>45992</v>
      </c>
      <c r="F14" s="427"/>
      <c r="G14" s="427">
        <v>1</v>
      </c>
      <c r="H14" s="427">
        <v>7500</v>
      </c>
      <c r="I14" s="427">
        <f t="shared" si="0"/>
        <v>7500</v>
      </c>
    </row>
    <row r="15" spans="2:11" x14ac:dyDescent="0.3">
      <c r="B15" s="424">
        <v>45316</v>
      </c>
      <c r="C15" s="425" t="s">
        <v>1511</v>
      </c>
      <c r="D15" s="426">
        <v>45931</v>
      </c>
      <c r="E15" s="426">
        <v>45931</v>
      </c>
      <c r="F15" s="427"/>
      <c r="G15" s="427">
        <v>1</v>
      </c>
      <c r="H15" s="427">
        <v>7500</v>
      </c>
      <c r="I15" s="427">
        <f t="shared" si="0"/>
        <v>7500</v>
      </c>
    </row>
    <row r="16" spans="2:11" x14ac:dyDescent="0.3">
      <c r="B16" s="48">
        <v>45263</v>
      </c>
      <c r="C16" s="423" t="s">
        <v>632</v>
      </c>
      <c r="D16" s="88">
        <v>45962</v>
      </c>
      <c r="E16" s="88">
        <v>45992</v>
      </c>
      <c r="F16" s="18"/>
      <c r="G16" s="18">
        <v>2</v>
      </c>
      <c r="H16" s="18">
        <v>7500</v>
      </c>
      <c r="I16" s="18">
        <f t="shared" si="0"/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FP 2026</vt:lpstr>
      <vt:lpstr>Recpt 2026</vt:lpstr>
      <vt:lpstr>Exp 2026</vt:lpstr>
      <vt:lpstr>Funds Breakup</vt:lpstr>
      <vt:lpstr>Advertisment</vt:lpstr>
      <vt:lpstr>Sheet2</vt:lpstr>
      <vt:lpstr>Naveed</vt:lpstr>
      <vt:lpstr>FP 2025</vt:lpstr>
      <vt:lpstr>Recpt 2025</vt:lpstr>
      <vt:lpstr>Sheet1</vt:lpstr>
      <vt:lpstr>Exp</vt:lpstr>
      <vt:lpstr>Exp 2025</vt:lpstr>
      <vt:lpstr>Exp 2024</vt:lpstr>
      <vt:lpstr>Khyzer - JIJI</vt:lpstr>
      <vt:lpstr>Voucher</vt:lpstr>
      <vt:lpstr>Rehan Bhai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 Niaz</dc:creator>
  <cp:lastModifiedBy>Muhammad Naveed Ullah Ansari</cp:lastModifiedBy>
  <cp:lastPrinted>2026-02-21T20:23:17Z</cp:lastPrinted>
  <dcterms:created xsi:type="dcterms:W3CDTF">2018-10-31T13:33:08Z</dcterms:created>
  <dcterms:modified xsi:type="dcterms:W3CDTF">2026-04-06T04:41:47Z</dcterms:modified>
</cp:coreProperties>
</file>